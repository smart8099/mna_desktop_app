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abdulbasit/Desktop/mna/reference/"/>
    </mc:Choice>
  </mc:AlternateContent>
  <xr:revisionPtr revIDLastSave="0" documentId="13_ncr:1_{522DD89B-627C-A640-AC2E-1697CE66EBF8}" xr6:coauthVersionLast="47" xr6:coauthVersionMax="47" xr10:uidLastSave="{00000000-0000-0000-0000-000000000000}"/>
  <bookViews>
    <workbookView xWindow="0" yWindow="500" windowWidth="23260" windowHeight="12460" activeTab="2" xr2:uid="{00000000-000D-0000-FFFF-FFFF00000000}"/>
  </bookViews>
  <sheets>
    <sheet name="START HERE" sheetId="1" r:id="rId1"/>
    <sheet name="SETTINGS" sheetId="2" r:id="rId2"/>
    <sheet name="STUDENTS" sheetId="3" r:id="rId3"/>
    <sheet name="TEACHERS" sheetId="4" r:id="rId4"/>
    <sheet name="FEES" sheetId="5" r:id="rId5"/>
    <sheet name="EXAM FEES" sheetId="6" r:id="rId6"/>
    <sheet name="ATTENDANCE" sheetId="7" r:id="rId7"/>
    <sheet name="RESULTS" sheetId="8" r:id="rId8"/>
    <sheet name="REPORT CARD" sheetId="9" r:id="rId9"/>
    <sheet name="EXAM RECEIPT" sheetId="10" r:id="rId10"/>
    <sheet name="DASHBOARD" sheetId="11" r:id="rId11"/>
  </sheets>
  <definedNames>
    <definedName name="_xlnm._FilterDatabase" localSheetId="2" hidden="1">STUDENTS!$A$4:$P$204</definedName>
    <definedName name="_xlnm.Print_Area" localSheetId="9">'EXAM RECEIPT'!$A$1:$H$20</definedName>
    <definedName name="_xlnm.Print_Area" localSheetId="8">'REPORT CARD'!$A$1:$H$28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" i="11" l="1"/>
  <c r="C19" i="11" s="1"/>
  <c r="A18" i="11"/>
  <c r="C18" i="11" s="1"/>
  <c r="A17" i="11"/>
  <c r="C17" i="11" s="1"/>
  <c r="A16" i="11"/>
  <c r="C16" i="11" s="1"/>
  <c r="A15" i="11"/>
  <c r="A14" i="11"/>
  <c r="C14" i="11" s="1"/>
  <c r="D9" i="11"/>
  <c r="G5" i="11"/>
  <c r="D5" i="11"/>
  <c r="A5" i="11"/>
  <c r="B11" i="10"/>
  <c r="B10" i="10"/>
  <c r="B9" i="10"/>
  <c r="B8" i="10"/>
  <c r="B7" i="10"/>
  <c r="B6" i="10"/>
  <c r="A19" i="9"/>
  <c r="G19" i="9" s="1"/>
  <c r="A18" i="9"/>
  <c r="B18" i="9" s="1"/>
  <c r="A17" i="9"/>
  <c r="B17" i="9" s="1"/>
  <c r="A16" i="9"/>
  <c r="C16" i="9" s="1"/>
  <c r="A15" i="9"/>
  <c r="B15" i="9" s="1"/>
  <c r="A14" i="9"/>
  <c r="A13" i="9"/>
  <c r="G13" i="9" s="1"/>
  <c r="C10" i="9"/>
  <c r="B10" i="9"/>
  <c r="H4" i="9"/>
  <c r="L1004" i="8"/>
  <c r="N1004" i="8" s="1"/>
  <c r="K1004" i="8"/>
  <c r="J1004" i="8"/>
  <c r="F1004" i="8"/>
  <c r="E1004" i="8"/>
  <c r="A1004" i="8"/>
  <c r="L1003" i="8"/>
  <c r="N1003" i="8" s="1"/>
  <c r="K1003" i="8"/>
  <c r="J1003" i="8"/>
  <c r="F1003" i="8"/>
  <c r="E1003" i="8"/>
  <c r="A1003" i="8"/>
  <c r="L1002" i="8"/>
  <c r="N1002" i="8" s="1"/>
  <c r="K1002" i="8"/>
  <c r="J1002" i="8"/>
  <c r="F1002" i="8"/>
  <c r="E1002" i="8"/>
  <c r="A1002" i="8"/>
  <c r="L1001" i="8"/>
  <c r="K1001" i="8"/>
  <c r="J1001" i="8"/>
  <c r="F1001" i="8"/>
  <c r="E1001" i="8"/>
  <c r="A1001" i="8"/>
  <c r="L1000" i="8"/>
  <c r="N1000" i="8" s="1"/>
  <c r="K1000" i="8"/>
  <c r="J1000" i="8"/>
  <c r="F1000" i="8"/>
  <c r="E1000" i="8"/>
  <c r="A1000" i="8"/>
  <c r="L999" i="8"/>
  <c r="N999" i="8" s="1"/>
  <c r="K999" i="8"/>
  <c r="J999" i="8"/>
  <c r="F999" i="8"/>
  <c r="E999" i="8"/>
  <c r="A999" i="8"/>
  <c r="L998" i="8"/>
  <c r="K998" i="8"/>
  <c r="J998" i="8"/>
  <c r="F998" i="8"/>
  <c r="E998" i="8"/>
  <c r="A998" i="8"/>
  <c r="L997" i="8"/>
  <c r="N997" i="8" s="1"/>
  <c r="K997" i="8"/>
  <c r="J997" i="8"/>
  <c r="F997" i="8"/>
  <c r="E997" i="8"/>
  <c r="A997" i="8"/>
  <c r="L996" i="8"/>
  <c r="M996" i="8" s="1"/>
  <c r="K996" i="8"/>
  <c r="J996" i="8"/>
  <c r="F996" i="8"/>
  <c r="E996" i="8"/>
  <c r="A996" i="8"/>
  <c r="L995" i="8"/>
  <c r="N995" i="8" s="1"/>
  <c r="K995" i="8"/>
  <c r="J995" i="8"/>
  <c r="F995" i="8"/>
  <c r="E995" i="8"/>
  <c r="A995" i="8"/>
  <c r="L994" i="8"/>
  <c r="K994" i="8"/>
  <c r="J994" i="8"/>
  <c r="F994" i="8"/>
  <c r="E994" i="8"/>
  <c r="A994" i="8"/>
  <c r="L993" i="8"/>
  <c r="N993" i="8" s="1"/>
  <c r="K993" i="8"/>
  <c r="J993" i="8"/>
  <c r="F993" i="8"/>
  <c r="E993" i="8"/>
  <c r="A993" i="8"/>
  <c r="L992" i="8"/>
  <c r="K992" i="8"/>
  <c r="J992" i="8"/>
  <c r="F992" i="8"/>
  <c r="E992" i="8"/>
  <c r="A992" i="8"/>
  <c r="L991" i="8"/>
  <c r="N991" i="8" s="1"/>
  <c r="K991" i="8"/>
  <c r="J991" i="8"/>
  <c r="F991" i="8"/>
  <c r="E991" i="8"/>
  <c r="A991" i="8"/>
  <c r="L990" i="8"/>
  <c r="N990" i="8" s="1"/>
  <c r="K990" i="8"/>
  <c r="J990" i="8"/>
  <c r="F990" i="8"/>
  <c r="E990" i="8"/>
  <c r="A990" i="8"/>
  <c r="L989" i="8"/>
  <c r="N989" i="8" s="1"/>
  <c r="K989" i="8"/>
  <c r="J989" i="8"/>
  <c r="F989" i="8"/>
  <c r="E989" i="8"/>
  <c r="A989" i="8"/>
  <c r="L988" i="8"/>
  <c r="N988" i="8" s="1"/>
  <c r="K988" i="8"/>
  <c r="J988" i="8"/>
  <c r="F988" i="8"/>
  <c r="E988" i="8"/>
  <c r="A988" i="8"/>
  <c r="L987" i="8"/>
  <c r="K987" i="8"/>
  <c r="J987" i="8"/>
  <c r="F987" i="8"/>
  <c r="E987" i="8"/>
  <c r="A987" i="8"/>
  <c r="L986" i="8"/>
  <c r="N986" i="8" s="1"/>
  <c r="K986" i="8"/>
  <c r="J986" i="8"/>
  <c r="F986" i="8"/>
  <c r="E986" i="8"/>
  <c r="A986" i="8"/>
  <c r="L985" i="8"/>
  <c r="N985" i="8" s="1"/>
  <c r="K985" i="8"/>
  <c r="J985" i="8"/>
  <c r="F985" i="8"/>
  <c r="E985" i="8"/>
  <c r="A985" i="8"/>
  <c r="L984" i="8"/>
  <c r="N984" i="8" s="1"/>
  <c r="K984" i="8"/>
  <c r="J984" i="8"/>
  <c r="F984" i="8"/>
  <c r="E984" i="8"/>
  <c r="A984" i="8"/>
  <c r="L983" i="8"/>
  <c r="N983" i="8" s="1"/>
  <c r="K983" i="8"/>
  <c r="J983" i="8"/>
  <c r="F983" i="8"/>
  <c r="E983" i="8"/>
  <c r="A983" i="8"/>
  <c r="L982" i="8"/>
  <c r="N982" i="8" s="1"/>
  <c r="K982" i="8"/>
  <c r="J982" i="8"/>
  <c r="F982" i="8"/>
  <c r="E982" i="8"/>
  <c r="A982" i="8"/>
  <c r="L981" i="8"/>
  <c r="N981" i="8" s="1"/>
  <c r="K981" i="8"/>
  <c r="J981" i="8"/>
  <c r="F981" i="8"/>
  <c r="E981" i="8"/>
  <c r="A981" i="8"/>
  <c r="L980" i="8"/>
  <c r="K980" i="8"/>
  <c r="J980" i="8"/>
  <c r="F980" i="8"/>
  <c r="E980" i="8"/>
  <c r="A980" i="8"/>
  <c r="L979" i="8"/>
  <c r="N979" i="8" s="1"/>
  <c r="K979" i="8"/>
  <c r="J979" i="8"/>
  <c r="F979" i="8"/>
  <c r="E979" i="8"/>
  <c r="A979" i="8"/>
  <c r="L978" i="8"/>
  <c r="K978" i="8"/>
  <c r="J978" i="8"/>
  <c r="F978" i="8"/>
  <c r="E978" i="8"/>
  <c r="A978" i="8"/>
  <c r="L977" i="8"/>
  <c r="N977" i="8" s="1"/>
  <c r="K977" i="8"/>
  <c r="J977" i="8"/>
  <c r="F977" i="8"/>
  <c r="E977" i="8"/>
  <c r="A977" i="8"/>
  <c r="L976" i="8"/>
  <c r="N976" i="8" s="1"/>
  <c r="K976" i="8"/>
  <c r="J976" i="8"/>
  <c r="F976" i="8"/>
  <c r="E976" i="8"/>
  <c r="A976" i="8"/>
  <c r="L975" i="8"/>
  <c r="N975" i="8" s="1"/>
  <c r="K975" i="8"/>
  <c r="J975" i="8"/>
  <c r="F975" i="8"/>
  <c r="E975" i="8"/>
  <c r="A975" i="8"/>
  <c r="L974" i="8"/>
  <c r="N974" i="8" s="1"/>
  <c r="K974" i="8"/>
  <c r="J974" i="8"/>
  <c r="F974" i="8"/>
  <c r="E974" i="8"/>
  <c r="A974" i="8"/>
  <c r="L973" i="8"/>
  <c r="K973" i="8"/>
  <c r="J973" i="8"/>
  <c r="F973" i="8"/>
  <c r="E973" i="8"/>
  <c r="A973" i="8"/>
  <c r="L972" i="8"/>
  <c r="K972" i="8"/>
  <c r="J972" i="8"/>
  <c r="F972" i="8"/>
  <c r="E972" i="8"/>
  <c r="A972" i="8"/>
  <c r="L971" i="8"/>
  <c r="N971" i="8" s="1"/>
  <c r="K971" i="8"/>
  <c r="J971" i="8"/>
  <c r="F971" i="8"/>
  <c r="E971" i="8"/>
  <c r="A971" i="8"/>
  <c r="L970" i="8"/>
  <c r="N970" i="8" s="1"/>
  <c r="K970" i="8"/>
  <c r="J970" i="8"/>
  <c r="F970" i="8"/>
  <c r="E970" i="8"/>
  <c r="A970" i="8"/>
  <c r="L969" i="8"/>
  <c r="M969" i="8" s="1"/>
  <c r="K969" i="8"/>
  <c r="J969" i="8"/>
  <c r="F969" i="8"/>
  <c r="E969" i="8"/>
  <c r="A969" i="8"/>
  <c r="L968" i="8"/>
  <c r="N968" i="8" s="1"/>
  <c r="K968" i="8"/>
  <c r="J968" i="8"/>
  <c r="F968" i="8"/>
  <c r="E968" i="8"/>
  <c r="A968" i="8"/>
  <c r="L967" i="8"/>
  <c r="N967" i="8" s="1"/>
  <c r="K967" i="8"/>
  <c r="J967" i="8"/>
  <c r="F967" i="8"/>
  <c r="E967" i="8"/>
  <c r="A967" i="8"/>
  <c r="L966" i="8"/>
  <c r="N966" i="8" s="1"/>
  <c r="K966" i="8"/>
  <c r="J966" i="8"/>
  <c r="F966" i="8"/>
  <c r="E966" i="8"/>
  <c r="A966" i="8"/>
  <c r="L965" i="8"/>
  <c r="N965" i="8" s="1"/>
  <c r="K965" i="8"/>
  <c r="J965" i="8"/>
  <c r="F965" i="8"/>
  <c r="E965" i="8"/>
  <c r="A965" i="8"/>
  <c r="L964" i="8"/>
  <c r="K964" i="8"/>
  <c r="J964" i="8"/>
  <c r="F964" i="8"/>
  <c r="E964" i="8"/>
  <c r="A964" i="8"/>
  <c r="L963" i="8"/>
  <c r="K963" i="8"/>
  <c r="J963" i="8"/>
  <c r="F963" i="8"/>
  <c r="E963" i="8"/>
  <c r="A963" i="8"/>
  <c r="L962" i="8"/>
  <c r="K962" i="8"/>
  <c r="J962" i="8"/>
  <c r="F962" i="8"/>
  <c r="E962" i="8"/>
  <c r="A962" i="8"/>
  <c r="L961" i="8"/>
  <c r="N961" i="8" s="1"/>
  <c r="K961" i="8"/>
  <c r="J961" i="8"/>
  <c r="F961" i="8"/>
  <c r="E961" i="8"/>
  <c r="A961" i="8"/>
  <c r="L960" i="8"/>
  <c r="N960" i="8" s="1"/>
  <c r="K960" i="8"/>
  <c r="J960" i="8"/>
  <c r="F960" i="8"/>
  <c r="E960" i="8"/>
  <c r="A960" i="8"/>
  <c r="L959" i="8"/>
  <c r="N959" i="8" s="1"/>
  <c r="K959" i="8"/>
  <c r="J959" i="8"/>
  <c r="F959" i="8"/>
  <c r="E959" i="8"/>
  <c r="A959" i="8"/>
  <c r="L958" i="8"/>
  <c r="N958" i="8" s="1"/>
  <c r="K958" i="8"/>
  <c r="J958" i="8"/>
  <c r="F958" i="8"/>
  <c r="E958" i="8"/>
  <c r="A958" i="8"/>
  <c r="L957" i="8"/>
  <c r="N957" i="8" s="1"/>
  <c r="K957" i="8"/>
  <c r="J957" i="8"/>
  <c r="F957" i="8"/>
  <c r="E957" i="8"/>
  <c r="A957" i="8"/>
  <c r="L956" i="8"/>
  <c r="N956" i="8" s="1"/>
  <c r="K956" i="8"/>
  <c r="J956" i="8"/>
  <c r="F956" i="8"/>
  <c r="E956" i="8"/>
  <c r="A956" i="8"/>
  <c r="L955" i="8"/>
  <c r="N955" i="8" s="1"/>
  <c r="K955" i="8"/>
  <c r="J955" i="8"/>
  <c r="F955" i="8"/>
  <c r="E955" i="8"/>
  <c r="A955" i="8"/>
  <c r="L954" i="8"/>
  <c r="K954" i="8"/>
  <c r="J954" i="8"/>
  <c r="F954" i="8"/>
  <c r="E954" i="8"/>
  <c r="A954" i="8"/>
  <c r="L953" i="8"/>
  <c r="N953" i="8" s="1"/>
  <c r="K953" i="8"/>
  <c r="J953" i="8"/>
  <c r="F953" i="8"/>
  <c r="E953" i="8"/>
  <c r="A953" i="8"/>
  <c r="L952" i="8"/>
  <c r="N952" i="8" s="1"/>
  <c r="K952" i="8"/>
  <c r="J952" i="8"/>
  <c r="F952" i="8"/>
  <c r="E952" i="8"/>
  <c r="A952" i="8"/>
  <c r="L951" i="8"/>
  <c r="M951" i="8" s="1"/>
  <c r="K951" i="8"/>
  <c r="J951" i="8"/>
  <c r="F951" i="8"/>
  <c r="E951" i="8"/>
  <c r="A951" i="8"/>
  <c r="L950" i="8"/>
  <c r="K950" i="8"/>
  <c r="J950" i="8"/>
  <c r="F950" i="8"/>
  <c r="E950" i="8"/>
  <c r="A950" i="8"/>
  <c r="L949" i="8"/>
  <c r="N949" i="8" s="1"/>
  <c r="K949" i="8"/>
  <c r="J949" i="8"/>
  <c r="F949" i="8"/>
  <c r="E949" i="8"/>
  <c r="A949" i="8"/>
  <c r="L948" i="8"/>
  <c r="N948" i="8" s="1"/>
  <c r="K948" i="8"/>
  <c r="J948" i="8"/>
  <c r="F948" i="8"/>
  <c r="E948" i="8"/>
  <c r="A948" i="8"/>
  <c r="L947" i="8"/>
  <c r="N947" i="8" s="1"/>
  <c r="K947" i="8"/>
  <c r="J947" i="8"/>
  <c r="F947" i="8"/>
  <c r="E947" i="8"/>
  <c r="A947" i="8"/>
  <c r="L946" i="8"/>
  <c r="N946" i="8" s="1"/>
  <c r="K946" i="8"/>
  <c r="J946" i="8"/>
  <c r="F946" i="8"/>
  <c r="E946" i="8"/>
  <c r="A946" i="8"/>
  <c r="L945" i="8"/>
  <c r="M945" i="8" s="1"/>
  <c r="K945" i="8"/>
  <c r="J945" i="8"/>
  <c r="F945" i="8"/>
  <c r="E945" i="8"/>
  <c r="A945" i="8"/>
  <c r="L944" i="8"/>
  <c r="K944" i="8"/>
  <c r="J944" i="8"/>
  <c r="F944" i="8"/>
  <c r="E944" i="8"/>
  <c r="A944" i="8"/>
  <c r="L943" i="8"/>
  <c r="N943" i="8" s="1"/>
  <c r="K943" i="8"/>
  <c r="J943" i="8"/>
  <c r="F943" i="8"/>
  <c r="E943" i="8"/>
  <c r="A943" i="8"/>
  <c r="L942" i="8"/>
  <c r="N942" i="8" s="1"/>
  <c r="K942" i="8"/>
  <c r="J942" i="8"/>
  <c r="F942" i="8"/>
  <c r="E942" i="8"/>
  <c r="A942" i="8"/>
  <c r="L941" i="8"/>
  <c r="N941" i="8" s="1"/>
  <c r="K941" i="8"/>
  <c r="J941" i="8"/>
  <c r="F941" i="8"/>
  <c r="E941" i="8"/>
  <c r="A941" i="8"/>
  <c r="L940" i="8"/>
  <c r="K940" i="8"/>
  <c r="J940" i="8"/>
  <c r="F940" i="8"/>
  <c r="E940" i="8"/>
  <c r="A940" i="8"/>
  <c r="L939" i="8"/>
  <c r="N939" i="8" s="1"/>
  <c r="K939" i="8"/>
  <c r="J939" i="8"/>
  <c r="F939" i="8"/>
  <c r="E939" i="8"/>
  <c r="A939" i="8"/>
  <c r="L938" i="8"/>
  <c r="K938" i="8"/>
  <c r="J938" i="8"/>
  <c r="F938" i="8"/>
  <c r="E938" i="8"/>
  <c r="A938" i="8"/>
  <c r="L937" i="8"/>
  <c r="N937" i="8" s="1"/>
  <c r="K937" i="8"/>
  <c r="J937" i="8"/>
  <c r="F937" i="8"/>
  <c r="E937" i="8"/>
  <c r="A937" i="8"/>
  <c r="L936" i="8"/>
  <c r="N936" i="8" s="1"/>
  <c r="K936" i="8"/>
  <c r="J936" i="8"/>
  <c r="F936" i="8"/>
  <c r="E936" i="8"/>
  <c r="A936" i="8"/>
  <c r="L935" i="8"/>
  <c r="N935" i="8" s="1"/>
  <c r="K935" i="8"/>
  <c r="J935" i="8"/>
  <c r="F935" i="8"/>
  <c r="E935" i="8"/>
  <c r="A935" i="8"/>
  <c r="L934" i="8"/>
  <c r="N934" i="8" s="1"/>
  <c r="K934" i="8"/>
  <c r="J934" i="8"/>
  <c r="F934" i="8"/>
  <c r="E934" i="8"/>
  <c r="A934" i="8"/>
  <c r="L933" i="8"/>
  <c r="M933" i="8" s="1"/>
  <c r="K933" i="8"/>
  <c r="J933" i="8"/>
  <c r="F933" i="8"/>
  <c r="E933" i="8"/>
  <c r="A933" i="8"/>
  <c r="L932" i="8"/>
  <c r="N932" i="8" s="1"/>
  <c r="K932" i="8"/>
  <c r="J932" i="8"/>
  <c r="F932" i="8"/>
  <c r="E932" i="8"/>
  <c r="A932" i="8"/>
  <c r="L931" i="8"/>
  <c r="K931" i="8"/>
  <c r="J931" i="8"/>
  <c r="F931" i="8"/>
  <c r="E931" i="8"/>
  <c r="A931" i="8"/>
  <c r="L930" i="8"/>
  <c r="N930" i="8" s="1"/>
  <c r="K930" i="8"/>
  <c r="J930" i="8"/>
  <c r="F930" i="8"/>
  <c r="E930" i="8"/>
  <c r="A930" i="8"/>
  <c r="L929" i="8"/>
  <c r="K929" i="8"/>
  <c r="J929" i="8"/>
  <c r="F929" i="8"/>
  <c r="E929" i="8"/>
  <c r="A929" i="8"/>
  <c r="L928" i="8"/>
  <c r="N928" i="8" s="1"/>
  <c r="K928" i="8"/>
  <c r="J928" i="8"/>
  <c r="F928" i="8"/>
  <c r="E928" i="8"/>
  <c r="A928" i="8"/>
  <c r="L927" i="8"/>
  <c r="N927" i="8" s="1"/>
  <c r="K927" i="8"/>
  <c r="J927" i="8"/>
  <c r="F927" i="8"/>
  <c r="E927" i="8"/>
  <c r="A927" i="8"/>
  <c r="L926" i="8"/>
  <c r="K926" i="8"/>
  <c r="J926" i="8"/>
  <c r="F926" i="8"/>
  <c r="E926" i="8"/>
  <c r="A926" i="8"/>
  <c r="L925" i="8"/>
  <c r="N925" i="8" s="1"/>
  <c r="K925" i="8"/>
  <c r="J925" i="8"/>
  <c r="F925" i="8"/>
  <c r="E925" i="8"/>
  <c r="A925" i="8"/>
  <c r="L924" i="8"/>
  <c r="M924" i="8" s="1"/>
  <c r="K924" i="8"/>
  <c r="J924" i="8"/>
  <c r="F924" i="8"/>
  <c r="E924" i="8"/>
  <c r="A924" i="8"/>
  <c r="L923" i="8"/>
  <c r="N923" i="8" s="1"/>
  <c r="K923" i="8"/>
  <c r="J923" i="8"/>
  <c r="F923" i="8"/>
  <c r="E923" i="8"/>
  <c r="A923" i="8"/>
  <c r="L922" i="8"/>
  <c r="N922" i="8" s="1"/>
  <c r="K922" i="8"/>
  <c r="J922" i="8"/>
  <c r="F922" i="8"/>
  <c r="E922" i="8"/>
  <c r="A922" i="8"/>
  <c r="L921" i="8"/>
  <c r="N921" i="8" s="1"/>
  <c r="K921" i="8"/>
  <c r="J921" i="8"/>
  <c r="F921" i="8"/>
  <c r="E921" i="8"/>
  <c r="A921" i="8"/>
  <c r="L920" i="8"/>
  <c r="N920" i="8" s="1"/>
  <c r="K920" i="8"/>
  <c r="J920" i="8"/>
  <c r="F920" i="8"/>
  <c r="E920" i="8"/>
  <c r="A920" i="8"/>
  <c r="L919" i="8"/>
  <c r="N919" i="8" s="1"/>
  <c r="K919" i="8"/>
  <c r="J919" i="8"/>
  <c r="F919" i="8"/>
  <c r="E919" i="8"/>
  <c r="A919" i="8"/>
  <c r="L918" i="8"/>
  <c r="N918" i="8" s="1"/>
  <c r="K918" i="8"/>
  <c r="J918" i="8"/>
  <c r="F918" i="8"/>
  <c r="E918" i="8"/>
  <c r="A918" i="8"/>
  <c r="L917" i="8"/>
  <c r="N917" i="8" s="1"/>
  <c r="K917" i="8"/>
  <c r="J917" i="8"/>
  <c r="F917" i="8"/>
  <c r="E917" i="8"/>
  <c r="A917" i="8"/>
  <c r="L916" i="8"/>
  <c r="N916" i="8" s="1"/>
  <c r="K916" i="8"/>
  <c r="J916" i="8"/>
  <c r="F916" i="8"/>
  <c r="E916" i="8"/>
  <c r="A916" i="8"/>
  <c r="L915" i="8"/>
  <c r="M915" i="8" s="1"/>
  <c r="K915" i="8"/>
  <c r="J915" i="8"/>
  <c r="F915" i="8"/>
  <c r="E915" i="8"/>
  <c r="A915" i="8"/>
  <c r="L914" i="8"/>
  <c r="K914" i="8"/>
  <c r="J914" i="8"/>
  <c r="F914" i="8"/>
  <c r="E914" i="8"/>
  <c r="A914" i="8"/>
  <c r="L913" i="8"/>
  <c r="K913" i="8"/>
  <c r="J913" i="8"/>
  <c r="F913" i="8"/>
  <c r="E913" i="8"/>
  <c r="A913" i="8"/>
  <c r="L912" i="8"/>
  <c r="N912" i="8" s="1"/>
  <c r="K912" i="8"/>
  <c r="J912" i="8"/>
  <c r="F912" i="8"/>
  <c r="E912" i="8"/>
  <c r="A912" i="8"/>
  <c r="L911" i="8"/>
  <c r="N911" i="8" s="1"/>
  <c r="K911" i="8"/>
  <c r="J911" i="8"/>
  <c r="F911" i="8"/>
  <c r="E911" i="8"/>
  <c r="A911" i="8"/>
  <c r="L910" i="8"/>
  <c r="N910" i="8" s="1"/>
  <c r="K910" i="8"/>
  <c r="J910" i="8"/>
  <c r="F910" i="8"/>
  <c r="E910" i="8"/>
  <c r="A910" i="8"/>
  <c r="L909" i="8"/>
  <c r="M909" i="8" s="1"/>
  <c r="K909" i="8"/>
  <c r="J909" i="8"/>
  <c r="F909" i="8"/>
  <c r="E909" i="8"/>
  <c r="A909" i="8"/>
  <c r="L908" i="8"/>
  <c r="K908" i="8"/>
  <c r="J908" i="8"/>
  <c r="F908" i="8"/>
  <c r="E908" i="8"/>
  <c r="A908" i="8"/>
  <c r="L907" i="8"/>
  <c r="N907" i="8" s="1"/>
  <c r="K907" i="8"/>
  <c r="J907" i="8"/>
  <c r="F907" i="8"/>
  <c r="E907" i="8"/>
  <c r="A907" i="8"/>
  <c r="L906" i="8"/>
  <c r="M906" i="8" s="1"/>
  <c r="K906" i="8"/>
  <c r="J906" i="8"/>
  <c r="F906" i="8"/>
  <c r="E906" i="8"/>
  <c r="A906" i="8"/>
  <c r="L905" i="8"/>
  <c r="N905" i="8" s="1"/>
  <c r="K905" i="8"/>
  <c r="J905" i="8"/>
  <c r="F905" i="8"/>
  <c r="E905" i="8"/>
  <c r="A905" i="8"/>
  <c r="L904" i="8"/>
  <c r="K904" i="8"/>
  <c r="J904" i="8"/>
  <c r="F904" i="8"/>
  <c r="E904" i="8"/>
  <c r="A904" i="8"/>
  <c r="L903" i="8"/>
  <c r="K903" i="8"/>
  <c r="J903" i="8"/>
  <c r="F903" i="8"/>
  <c r="E903" i="8"/>
  <c r="A903" i="8"/>
  <c r="L902" i="8"/>
  <c r="N902" i="8" s="1"/>
  <c r="K902" i="8"/>
  <c r="J902" i="8"/>
  <c r="F902" i="8"/>
  <c r="E902" i="8"/>
  <c r="A902" i="8"/>
  <c r="L901" i="8"/>
  <c r="N901" i="8" s="1"/>
  <c r="K901" i="8"/>
  <c r="J901" i="8"/>
  <c r="F901" i="8"/>
  <c r="E901" i="8"/>
  <c r="A901" i="8"/>
  <c r="L900" i="8"/>
  <c r="N900" i="8" s="1"/>
  <c r="K900" i="8"/>
  <c r="J900" i="8"/>
  <c r="F900" i="8"/>
  <c r="E900" i="8"/>
  <c r="A900" i="8"/>
  <c r="L899" i="8"/>
  <c r="N899" i="8" s="1"/>
  <c r="K899" i="8"/>
  <c r="J899" i="8"/>
  <c r="F899" i="8"/>
  <c r="E899" i="8"/>
  <c r="A899" i="8"/>
  <c r="L898" i="8"/>
  <c r="N898" i="8" s="1"/>
  <c r="K898" i="8"/>
  <c r="J898" i="8"/>
  <c r="F898" i="8"/>
  <c r="E898" i="8"/>
  <c r="A898" i="8"/>
  <c r="L897" i="8"/>
  <c r="M897" i="8" s="1"/>
  <c r="K897" i="8"/>
  <c r="J897" i="8"/>
  <c r="F897" i="8"/>
  <c r="E897" i="8"/>
  <c r="A897" i="8"/>
  <c r="L896" i="8"/>
  <c r="N896" i="8" s="1"/>
  <c r="K896" i="8"/>
  <c r="J896" i="8"/>
  <c r="F896" i="8"/>
  <c r="E896" i="8"/>
  <c r="A896" i="8"/>
  <c r="L895" i="8"/>
  <c r="N895" i="8" s="1"/>
  <c r="K895" i="8"/>
  <c r="J895" i="8"/>
  <c r="F895" i="8"/>
  <c r="E895" i="8"/>
  <c r="A895" i="8"/>
  <c r="L894" i="8"/>
  <c r="N894" i="8" s="1"/>
  <c r="K894" i="8"/>
  <c r="J894" i="8"/>
  <c r="F894" i="8"/>
  <c r="E894" i="8"/>
  <c r="A894" i="8"/>
  <c r="L893" i="8"/>
  <c r="N893" i="8" s="1"/>
  <c r="K893" i="8"/>
  <c r="J893" i="8"/>
  <c r="F893" i="8"/>
  <c r="E893" i="8"/>
  <c r="A893" i="8"/>
  <c r="L892" i="8"/>
  <c r="N892" i="8" s="1"/>
  <c r="K892" i="8"/>
  <c r="J892" i="8"/>
  <c r="F892" i="8"/>
  <c r="E892" i="8"/>
  <c r="A892" i="8"/>
  <c r="L891" i="8"/>
  <c r="K891" i="8"/>
  <c r="J891" i="8"/>
  <c r="F891" i="8"/>
  <c r="E891" i="8"/>
  <c r="A891" i="8"/>
  <c r="L890" i="8"/>
  <c r="K890" i="8"/>
  <c r="J890" i="8"/>
  <c r="F890" i="8"/>
  <c r="E890" i="8"/>
  <c r="A890" i="8"/>
  <c r="L889" i="8"/>
  <c r="N889" i="8" s="1"/>
  <c r="K889" i="8"/>
  <c r="J889" i="8"/>
  <c r="F889" i="8"/>
  <c r="E889" i="8"/>
  <c r="A889" i="8"/>
  <c r="L888" i="8"/>
  <c r="K888" i="8"/>
  <c r="J888" i="8"/>
  <c r="F888" i="8"/>
  <c r="E888" i="8"/>
  <c r="A888" i="8"/>
  <c r="L887" i="8"/>
  <c r="N887" i="8" s="1"/>
  <c r="K887" i="8"/>
  <c r="J887" i="8"/>
  <c r="F887" i="8"/>
  <c r="E887" i="8"/>
  <c r="A887" i="8"/>
  <c r="L886" i="8"/>
  <c r="K886" i="8"/>
  <c r="J886" i="8"/>
  <c r="F886" i="8"/>
  <c r="E886" i="8"/>
  <c r="A886" i="8"/>
  <c r="L885" i="8"/>
  <c r="N885" i="8" s="1"/>
  <c r="K885" i="8"/>
  <c r="J885" i="8"/>
  <c r="F885" i="8"/>
  <c r="E885" i="8"/>
  <c r="A885" i="8"/>
  <c r="L884" i="8"/>
  <c r="K884" i="8"/>
  <c r="J884" i="8"/>
  <c r="F884" i="8"/>
  <c r="E884" i="8"/>
  <c r="A884" i="8"/>
  <c r="L883" i="8"/>
  <c r="N883" i="8" s="1"/>
  <c r="K883" i="8"/>
  <c r="J883" i="8"/>
  <c r="F883" i="8"/>
  <c r="E883" i="8"/>
  <c r="A883" i="8"/>
  <c r="L882" i="8"/>
  <c r="N882" i="8" s="1"/>
  <c r="K882" i="8"/>
  <c r="J882" i="8"/>
  <c r="F882" i="8"/>
  <c r="E882" i="8"/>
  <c r="A882" i="8"/>
  <c r="L881" i="8"/>
  <c r="N881" i="8" s="1"/>
  <c r="K881" i="8"/>
  <c r="J881" i="8"/>
  <c r="F881" i="8"/>
  <c r="E881" i="8"/>
  <c r="A881" i="8"/>
  <c r="L880" i="8"/>
  <c r="N880" i="8" s="1"/>
  <c r="K880" i="8"/>
  <c r="J880" i="8"/>
  <c r="F880" i="8"/>
  <c r="E880" i="8"/>
  <c r="A880" i="8"/>
  <c r="L879" i="8"/>
  <c r="K879" i="8"/>
  <c r="J879" i="8"/>
  <c r="F879" i="8"/>
  <c r="E879" i="8"/>
  <c r="A879" i="8"/>
  <c r="L878" i="8"/>
  <c r="N878" i="8" s="1"/>
  <c r="K878" i="8"/>
  <c r="J878" i="8"/>
  <c r="F878" i="8"/>
  <c r="E878" i="8"/>
  <c r="A878" i="8"/>
  <c r="L877" i="8"/>
  <c r="K877" i="8"/>
  <c r="J877" i="8"/>
  <c r="F877" i="8"/>
  <c r="E877" i="8"/>
  <c r="A877" i="8"/>
  <c r="L876" i="8"/>
  <c r="M876" i="8" s="1"/>
  <c r="K876" i="8"/>
  <c r="J876" i="8"/>
  <c r="F876" i="8"/>
  <c r="E876" i="8"/>
  <c r="A876" i="8"/>
  <c r="L875" i="8"/>
  <c r="N875" i="8" s="1"/>
  <c r="K875" i="8"/>
  <c r="J875" i="8"/>
  <c r="F875" i="8"/>
  <c r="E875" i="8"/>
  <c r="A875" i="8"/>
  <c r="L874" i="8"/>
  <c r="N874" i="8" s="1"/>
  <c r="K874" i="8"/>
  <c r="J874" i="8"/>
  <c r="F874" i="8"/>
  <c r="E874" i="8"/>
  <c r="A874" i="8"/>
  <c r="L873" i="8"/>
  <c r="K873" i="8"/>
  <c r="J873" i="8"/>
  <c r="F873" i="8"/>
  <c r="E873" i="8"/>
  <c r="A873" i="8"/>
  <c r="L872" i="8"/>
  <c r="K872" i="8"/>
  <c r="J872" i="8"/>
  <c r="F872" i="8"/>
  <c r="E872" i="8"/>
  <c r="A872" i="8"/>
  <c r="L871" i="8"/>
  <c r="K871" i="8"/>
  <c r="J871" i="8"/>
  <c r="F871" i="8"/>
  <c r="E871" i="8"/>
  <c r="A871" i="8"/>
  <c r="L870" i="8"/>
  <c r="K870" i="8"/>
  <c r="J870" i="8"/>
  <c r="F870" i="8"/>
  <c r="E870" i="8"/>
  <c r="A870" i="8"/>
  <c r="L869" i="8"/>
  <c r="N869" i="8" s="1"/>
  <c r="K869" i="8"/>
  <c r="J869" i="8"/>
  <c r="F869" i="8"/>
  <c r="E869" i="8"/>
  <c r="A869" i="8"/>
  <c r="L868" i="8"/>
  <c r="K868" i="8"/>
  <c r="J868" i="8"/>
  <c r="F868" i="8"/>
  <c r="E868" i="8"/>
  <c r="A868" i="8"/>
  <c r="L867" i="8"/>
  <c r="K867" i="8"/>
  <c r="J867" i="8"/>
  <c r="F867" i="8"/>
  <c r="E867" i="8"/>
  <c r="A867" i="8"/>
  <c r="L866" i="8"/>
  <c r="N866" i="8" s="1"/>
  <c r="K866" i="8"/>
  <c r="J866" i="8"/>
  <c r="F866" i="8"/>
  <c r="E866" i="8"/>
  <c r="A866" i="8"/>
  <c r="L865" i="8"/>
  <c r="K865" i="8"/>
  <c r="J865" i="8"/>
  <c r="F865" i="8"/>
  <c r="E865" i="8"/>
  <c r="A865" i="8"/>
  <c r="L864" i="8"/>
  <c r="N864" i="8" s="1"/>
  <c r="K864" i="8"/>
  <c r="J864" i="8"/>
  <c r="F864" i="8"/>
  <c r="E864" i="8"/>
  <c r="A864" i="8"/>
  <c r="L863" i="8"/>
  <c r="N863" i="8" s="1"/>
  <c r="K863" i="8"/>
  <c r="J863" i="8"/>
  <c r="F863" i="8"/>
  <c r="E863" i="8"/>
  <c r="A863" i="8"/>
  <c r="L862" i="8"/>
  <c r="N862" i="8" s="1"/>
  <c r="K862" i="8"/>
  <c r="J862" i="8"/>
  <c r="F862" i="8"/>
  <c r="E862" i="8"/>
  <c r="A862" i="8"/>
  <c r="L861" i="8"/>
  <c r="K861" i="8"/>
  <c r="J861" i="8"/>
  <c r="F861" i="8"/>
  <c r="E861" i="8"/>
  <c r="A861" i="8"/>
  <c r="L860" i="8"/>
  <c r="N860" i="8" s="1"/>
  <c r="K860" i="8"/>
  <c r="J860" i="8"/>
  <c r="F860" i="8"/>
  <c r="E860" i="8"/>
  <c r="A860" i="8"/>
  <c r="L859" i="8"/>
  <c r="K859" i="8"/>
  <c r="J859" i="8"/>
  <c r="F859" i="8"/>
  <c r="E859" i="8"/>
  <c r="A859" i="8"/>
  <c r="L858" i="8"/>
  <c r="M858" i="8" s="1"/>
  <c r="K858" i="8"/>
  <c r="J858" i="8"/>
  <c r="F858" i="8"/>
  <c r="E858" i="8"/>
  <c r="A858" i="8"/>
  <c r="L857" i="8"/>
  <c r="N857" i="8" s="1"/>
  <c r="K857" i="8"/>
  <c r="J857" i="8"/>
  <c r="F857" i="8"/>
  <c r="E857" i="8"/>
  <c r="A857" i="8"/>
  <c r="L856" i="8"/>
  <c r="N856" i="8" s="1"/>
  <c r="K856" i="8"/>
  <c r="J856" i="8"/>
  <c r="F856" i="8"/>
  <c r="E856" i="8"/>
  <c r="A856" i="8"/>
  <c r="L855" i="8"/>
  <c r="K855" i="8"/>
  <c r="J855" i="8"/>
  <c r="F855" i="8"/>
  <c r="E855" i="8"/>
  <c r="A855" i="8"/>
  <c r="L854" i="8"/>
  <c r="K854" i="8"/>
  <c r="J854" i="8"/>
  <c r="F854" i="8"/>
  <c r="E854" i="8"/>
  <c r="A854" i="8"/>
  <c r="L853" i="8"/>
  <c r="K853" i="8"/>
  <c r="J853" i="8"/>
  <c r="F853" i="8"/>
  <c r="E853" i="8"/>
  <c r="A853" i="8"/>
  <c r="L852" i="8"/>
  <c r="N852" i="8" s="1"/>
  <c r="K852" i="8"/>
  <c r="J852" i="8"/>
  <c r="F852" i="8"/>
  <c r="E852" i="8"/>
  <c r="A852" i="8"/>
  <c r="L851" i="8"/>
  <c r="N851" i="8" s="1"/>
  <c r="K851" i="8"/>
  <c r="J851" i="8"/>
  <c r="F851" i="8"/>
  <c r="E851" i="8"/>
  <c r="A851" i="8"/>
  <c r="L850" i="8"/>
  <c r="K850" i="8"/>
  <c r="J850" i="8"/>
  <c r="F850" i="8"/>
  <c r="E850" i="8"/>
  <c r="A850" i="8"/>
  <c r="L849" i="8"/>
  <c r="N849" i="8" s="1"/>
  <c r="K849" i="8"/>
  <c r="J849" i="8"/>
  <c r="F849" i="8"/>
  <c r="E849" i="8"/>
  <c r="A849" i="8"/>
  <c r="L848" i="8"/>
  <c r="K848" i="8"/>
  <c r="J848" i="8"/>
  <c r="F848" i="8"/>
  <c r="E848" i="8"/>
  <c r="A848" i="8"/>
  <c r="L847" i="8"/>
  <c r="N847" i="8" s="1"/>
  <c r="K847" i="8"/>
  <c r="J847" i="8"/>
  <c r="F847" i="8"/>
  <c r="E847" i="8"/>
  <c r="A847" i="8"/>
  <c r="L846" i="8"/>
  <c r="K846" i="8"/>
  <c r="J846" i="8"/>
  <c r="F846" i="8"/>
  <c r="E846" i="8"/>
  <c r="A846" i="8"/>
  <c r="L845" i="8"/>
  <c r="N845" i="8" s="1"/>
  <c r="K845" i="8"/>
  <c r="J845" i="8"/>
  <c r="F845" i="8"/>
  <c r="E845" i="8"/>
  <c r="A845" i="8"/>
  <c r="L844" i="8"/>
  <c r="K844" i="8"/>
  <c r="J844" i="8"/>
  <c r="F844" i="8"/>
  <c r="E844" i="8"/>
  <c r="A844" i="8"/>
  <c r="L843" i="8"/>
  <c r="M843" i="8" s="1"/>
  <c r="K843" i="8"/>
  <c r="J843" i="8"/>
  <c r="F843" i="8"/>
  <c r="E843" i="8"/>
  <c r="A843" i="8"/>
  <c r="L842" i="8"/>
  <c r="N842" i="8" s="1"/>
  <c r="K842" i="8"/>
  <c r="J842" i="8"/>
  <c r="F842" i="8"/>
  <c r="E842" i="8"/>
  <c r="A842" i="8"/>
  <c r="L841" i="8"/>
  <c r="K841" i="8"/>
  <c r="J841" i="8"/>
  <c r="F841" i="8"/>
  <c r="E841" i="8"/>
  <c r="A841" i="8"/>
  <c r="L840" i="8"/>
  <c r="M840" i="8" s="1"/>
  <c r="K840" i="8"/>
  <c r="J840" i="8"/>
  <c r="F840" i="8"/>
  <c r="E840" i="8"/>
  <c r="A840" i="8"/>
  <c r="L839" i="8"/>
  <c r="K839" i="8"/>
  <c r="J839" i="8"/>
  <c r="F839" i="8"/>
  <c r="E839" i="8"/>
  <c r="A839" i="8"/>
  <c r="L838" i="8"/>
  <c r="N838" i="8" s="1"/>
  <c r="K838" i="8"/>
  <c r="J838" i="8"/>
  <c r="F838" i="8"/>
  <c r="E838" i="8"/>
  <c r="A838" i="8"/>
  <c r="L837" i="8"/>
  <c r="K837" i="8"/>
  <c r="J837" i="8"/>
  <c r="F837" i="8"/>
  <c r="E837" i="8"/>
  <c r="A837" i="8"/>
  <c r="L836" i="8"/>
  <c r="K836" i="8"/>
  <c r="J836" i="8"/>
  <c r="F836" i="8"/>
  <c r="E836" i="8"/>
  <c r="A836" i="8"/>
  <c r="L835" i="8"/>
  <c r="K835" i="8"/>
  <c r="J835" i="8"/>
  <c r="F835" i="8"/>
  <c r="E835" i="8"/>
  <c r="A835" i="8"/>
  <c r="L834" i="8"/>
  <c r="K834" i="8"/>
  <c r="J834" i="8"/>
  <c r="F834" i="8"/>
  <c r="E834" i="8"/>
  <c r="A834" i="8"/>
  <c r="L833" i="8"/>
  <c r="N833" i="8" s="1"/>
  <c r="K833" i="8"/>
  <c r="J833" i="8"/>
  <c r="F833" i="8"/>
  <c r="E833" i="8"/>
  <c r="A833" i="8"/>
  <c r="L832" i="8"/>
  <c r="K832" i="8"/>
  <c r="J832" i="8"/>
  <c r="F832" i="8"/>
  <c r="E832" i="8"/>
  <c r="A832" i="8"/>
  <c r="L831" i="8"/>
  <c r="N831" i="8" s="1"/>
  <c r="K831" i="8"/>
  <c r="J831" i="8"/>
  <c r="F831" i="8"/>
  <c r="E831" i="8"/>
  <c r="A831" i="8"/>
  <c r="L830" i="8"/>
  <c r="K830" i="8"/>
  <c r="J830" i="8"/>
  <c r="F830" i="8"/>
  <c r="E830" i="8"/>
  <c r="A830" i="8"/>
  <c r="L829" i="8"/>
  <c r="N829" i="8" s="1"/>
  <c r="K829" i="8"/>
  <c r="J829" i="8"/>
  <c r="F829" i="8"/>
  <c r="E829" i="8"/>
  <c r="A829" i="8"/>
  <c r="L828" i="8"/>
  <c r="K828" i="8"/>
  <c r="J828" i="8"/>
  <c r="F828" i="8"/>
  <c r="E828" i="8"/>
  <c r="A828" i="8"/>
  <c r="L827" i="8"/>
  <c r="M827" i="8" s="1"/>
  <c r="K827" i="8"/>
  <c r="J827" i="8"/>
  <c r="F827" i="8"/>
  <c r="E827" i="8"/>
  <c r="A827" i="8"/>
  <c r="L826" i="8"/>
  <c r="N826" i="8" s="1"/>
  <c r="K826" i="8"/>
  <c r="J826" i="8"/>
  <c r="F826" i="8"/>
  <c r="E826" i="8"/>
  <c r="A826" i="8"/>
  <c r="L825" i="8"/>
  <c r="N825" i="8" s="1"/>
  <c r="K825" i="8"/>
  <c r="J825" i="8"/>
  <c r="F825" i="8"/>
  <c r="E825" i="8"/>
  <c r="A825" i="8"/>
  <c r="L824" i="8"/>
  <c r="M824" i="8" s="1"/>
  <c r="K824" i="8"/>
  <c r="J824" i="8"/>
  <c r="F824" i="8"/>
  <c r="E824" i="8"/>
  <c r="A824" i="8"/>
  <c r="L823" i="8"/>
  <c r="K823" i="8"/>
  <c r="J823" i="8"/>
  <c r="F823" i="8"/>
  <c r="E823" i="8"/>
  <c r="A823" i="8"/>
  <c r="L822" i="8"/>
  <c r="N822" i="8" s="1"/>
  <c r="K822" i="8"/>
  <c r="J822" i="8"/>
  <c r="F822" i="8"/>
  <c r="E822" i="8"/>
  <c r="A822" i="8"/>
  <c r="L821" i="8"/>
  <c r="K821" i="8"/>
  <c r="J821" i="8"/>
  <c r="F821" i="8"/>
  <c r="E821" i="8"/>
  <c r="A821" i="8"/>
  <c r="L820" i="8"/>
  <c r="N820" i="8" s="1"/>
  <c r="K820" i="8"/>
  <c r="J820" i="8"/>
  <c r="F820" i="8"/>
  <c r="E820" i="8"/>
  <c r="A820" i="8"/>
  <c r="L819" i="8"/>
  <c r="K819" i="8"/>
  <c r="J819" i="8"/>
  <c r="F819" i="8"/>
  <c r="E819" i="8"/>
  <c r="A819" i="8"/>
  <c r="L818" i="8"/>
  <c r="K818" i="8"/>
  <c r="J818" i="8"/>
  <c r="F818" i="8"/>
  <c r="E818" i="8"/>
  <c r="A818" i="8"/>
  <c r="L817" i="8"/>
  <c r="K817" i="8"/>
  <c r="J817" i="8"/>
  <c r="F817" i="8"/>
  <c r="E817" i="8"/>
  <c r="A817" i="8"/>
  <c r="L816" i="8"/>
  <c r="N816" i="8" s="1"/>
  <c r="K816" i="8"/>
  <c r="J816" i="8"/>
  <c r="F816" i="8"/>
  <c r="E816" i="8"/>
  <c r="A816" i="8"/>
  <c r="L815" i="8"/>
  <c r="N815" i="8" s="1"/>
  <c r="K815" i="8"/>
  <c r="J815" i="8"/>
  <c r="F815" i="8"/>
  <c r="E815" i="8"/>
  <c r="A815" i="8"/>
  <c r="L814" i="8"/>
  <c r="K814" i="8"/>
  <c r="J814" i="8"/>
  <c r="F814" i="8"/>
  <c r="E814" i="8"/>
  <c r="A814" i="8"/>
  <c r="L813" i="8"/>
  <c r="M813" i="8" s="1"/>
  <c r="K813" i="8"/>
  <c r="J813" i="8"/>
  <c r="F813" i="8"/>
  <c r="E813" i="8"/>
  <c r="A813" i="8"/>
  <c r="L812" i="8"/>
  <c r="M812" i="8" s="1"/>
  <c r="K812" i="8"/>
  <c r="J812" i="8"/>
  <c r="F812" i="8"/>
  <c r="E812" i="8"/>
  <c r="A812" i="8"/>
  <c r="L811" i="8"/>
  <c r="N811" i="8" s="1"/>
  <c r="K811" i="8"/>
  <c r="J811" i="8"/>
  <c r="F811" i="8"/>
  <c r="E811" i="8"/>
  <c r="A811" i="8"/>
  <c r="L810" i="8"/>
  <c r="K810" i="8"/>
  <c r="J810" i="8"/>
  <c r="F810" i="8"/>
  <c r="E810" i="8"/>
  <c r="A810" i="8"/>
  <c r="L809" i="8"/>
  <c r="K809" i="8"/>
  <c r="J809" i="8"/>
  <c r="F809" i="8"/>
  <c r="E809" i="8"/>
  <c r="A809" i="8"/>
  <c r="L808" i="8"/>
  <c r="N808" i="8" s="1"/>
  <c r="K808" i="8"/>
  <c r="J808" i="8"/>
  <c r="F808" i="8"/>
  <c r="E808" i="8"/>
  <c r="A808" i="8"/>
  <c r="L807" i="8"/>
  <c r="K807" i="8"/>
  <c r="J807" i="8"/>
  <c r="F807" i="8"/>
  <c r="E807" i="8"/>
  <c r="A807" i="8"/>
  <c r="L806" i="8"/>
  <c r="N806" i="8" s="1"/>
  <c r="K806" i="8"/>
  <c r="J806" i="8"/>
  <c r="F806" i="8"/>
  <c r="E806" i="8"/>
  <c r="A806" i="8"/>
  <c r="L805" i="8"/>
  <c r="K805" i="8"/>
  <c r="J805" i="8"/>
  <c r="F805" i="8"/>
  <c r="E805" i="8"/>
  <c r="A805" i="8"/>
  <c r="L804" i="8"/>
  <c r="N804" i="8" s="1"/>
  <c r="K804" i="8"/>
  <c r="J804" i="8"/>
  <c r="F804" i="8"/>
  <c r="E804" i="8"/>
  <c r="A804" i="8"/>
  <c r="L803" i="8"/>
  <c r="K803" i="8"/>
  <c r="J803" i="8"/>
  <c r="F803" i="8"/>
  <c r="E803" i="8"/>
  <c r="A803" i="8"/>
  <c r="L802" i="8"/>
  <c r="K802" i="8"/>
  <c r="J802" i="8"/>
  <c r="F802" i="8"/>
  <c r="E802" i="8"/>
  <c r="A802" i="8"/>
  <c r="L801" i="8"/>
  <c r="N801" i="8" s="1"/>
  <c r="K801" i="8"/>
  <c r="J801" i="8"/>
  <c r="F801" i="8"/>
  <c r="E801" i="8"/>
  <c r="A801" i="8"/>
  <c r="L800" i="8"/>
  <c r="K800" i="8"/>
  <c r="J800" i="8"/>
  <c r="F800" i="8"/>
  <c r="E800" i="8"/>
  <c r="A800" i="8"/>
  <c r="L799" i="8"/>
  <c r="N799" i="8" s="1"/>
  <c r="K799" i="8"/>
  <c r="J799" i="8"/>
  <c r="F799" i="8"/>
  <c r="E799" i="8"/>
  <c r="A799" i="8"/>
  <c r="L798" i="8"/>
  <c r="N798" i="8" s="1"/>
  <c r="K798" i="8"/>
  <c r="J798" i="8"/>
  <c r="F798" i="8"/>
  <c r="E798" i="8"/>
  <c r="A798" i="8"/>
  <c r="L797" i="8"/>
  <c r="N797" i="8" s="1"/>
  <c r="K797" i="8"/>
  <c r="J797" i="8"/>
  <c r="F797" i="8"/>
  <c r="E797" i="8"/>
  <c r="A797" i="8"/>
  <c r="L796" i="8"/>
  <c r="K796" i="8"/>
  <c r="J796" i="8"/>
  <c r="F796" i="8"/>
  <c r="E796" i="8"/>
  <c r="A796" i="8"/>
  <c r="L795" i="8"/>
  <c r="K795" i="8"/>
  <c r="J795" i="8"/>
  <c r="F795" i="8"/>
  <c r="E795" i="8"/>
  <c r="A795" i="8"/>
  <c r="L794" i="8"/>
  <c r="M794" i="8" s="1"/>
  <c r="K794" i="8"/>
  <c r="J794" i="8"/>
  <c r="F794" i="8"/>
  <c r="E794" i="8"/>
  <c r="A794" i="8"/>
  <c r="L793" i="8"/>
  <c r="K793" i="8"/>
  <c r="J793" i="8"/>
  <c r="F793" i="8"/>
  <c r="E793" i="8"/>
  <c r="A793" i="8"/>
  <c r="L792" i="8"/>
  <c r="K792" i="8"/>
  <c r="J792" i="8"/>
  <c r="F792" i="8"/>
  <c r="E792" i="8"/>
  <c r="A792" i="8"/>
  <c r="L791" i="8"/>
  <c r="M791" i="8" s="1"/>
  <c r="K791" i="8"/>
  <c r="J791" i="8"/>
  <c r="F791" i="8"/>
  <c r="E791" i="8"/>
  <c r="A791" i="8"/>
  <c r="L790" i="8"/>
  <c r="N790" i="8" s="1"/>
  <c r="K790" i="8"/>
  <c r="J790" i="8"/>
  <c r="F790" i="8"/>
  <c r="E790" i="8"/>
  <c r="A790" i="8"/>
  <c r="L789" i="8"/>
  <c r="N789" i="8" s="1"/>
  <c r="K789" i="8"/>
  <c r="J789" i="8"/>
  <c r="F789" i="8"/>
  <c r="E789" i="8"/>
  <c r="A789" i="8"/>
  <c r="L788" i="8"/>
  <c r="K788" i="8"/>
  <c r="J788" i="8"/>
  <c r="F788" i="8"/>
  <c r="E788" i="8"/>
  <c r="A788" i="8"/>
  <c r="L787" i="8"/>
  <c r="N787" i="8" s="1"/>
  <c r="K787" i="8"/>
  <c r="J787" i="8"/>
  <c r="F787" i="8"/>
  <c r="E787" i="8"/>
  <c r="A787" i="8"/>
  <c r="L786" i="8"/>
  <c r="N786" i="8" s="1"/>
  <c r="K786" i="8"/>
  <c r="J786" i="8"/>
  <c r="F786" i="8"/>
  <c r="E786" i="8"/>
  <c r="A786" i="8"/>
  <c r="L785" i="8"/>
  <c r="N785" i="8" s="1"/>
  <c r="K785" i="8"/>
  <c r="J785" i="8"/>
  <c r="F785" i="8"/>
  <c r="E785" i="8"/>
  <c r="A785" i="8"/>
  <c r="L784" i="8"/>
  <c r="N784" i="8" s="1"/>
  <c r="K784" i="8"/>
  <c r="J784" i="8"/>
  <c r="F784" i="8"/>
  <c r="E784" i="8"/>
  <c r="A784" i="8"/>
  <c r="L783" i="8"/>
  <c r="K783" i="8"/>
  <c r="J783" i="8"/>
  <c r="F783" i="8"/>
  <c r="E783" i="8"/>
  <c r="A783" i="8"/>
  <c r="L782" i="8"/>
  <c r="K782" i="8"/>
  <c r="J782" i="8"/>
  <c r="F782" i="8"/>
  <c r="E782" i="8"/>
  <c r="A782" i="8"/>
  <c r="L781" i="8"/>
  <c r="K781" i="8"/>
  <c r="J781" i="8"/>
  <c r="F781" i="8"/>
  <c r="E781" i="8"/>
  <c r="A781" i="8"/>
  <c r="L780" i="8"/>
  <c r="N780" i="8" s="1"/>
  <c r="K780" i="8"/>
  <c r="J780" i="8"/>
  <c r="F780" i="8"/>
  <c r="E780" i="8"/>
  <c r="A780" i="8"/>
  <c r="L779" i="8"/>
  <c r="N779" i="8" s="1"/>
  <c r="K779" i="8"/>
  <c r="J779" i="8"/>
  <c r="F779" i="8"/>
  <c r="E779" i="8"/>
  <c r="A779" i="8"/>
  <c r="L778" i="8"/>
  <c r="N778" i="8" s="1"/>
  <c r="K778" i="8"/>
  <c r="J778" i="8"/>
  <c r="F778" i="8"/>
  <c r="E778" i="8"/>
  <c r="A778" i="8"/>
  <c r="L777" i="8"/>
  <c r="K777" i="8"/>
  <c r="J777" i="8"/>
  <c r="F777" i="8"/>
  <c r="E777" i="8"/>
  <c r="A777" i="8"/>
  <c r="L776" i="8"/>
  <c r="M776" i="8" s="1"/>
  <c r="K776" i="8"/>
  <c r="J776" i="8"/>
  <c r="F776" i="8"/>
  <c r="E776" i="8"/>
  <c r="A776" i="8"/>
  <c r="L775" i="8"/>
  <c r="N775" i="8" s="1"/>
  <c r="K775" i="8"/>
  <c r="J775" i="8"/>
  <c r="F775" i="8"/>
  <c r="E775" i="8"/>
  <c r="A775" i="8"/>
  <c r="L774" i="8"/>
  <c r="N774" i="8" s="1"/>
  <c r="K774" i="8"/>
  <c r="J774" i="8"/>
  <c r="F774" i="8"/>
  <c r="E774" i="8"/>
  <c r="A774" i="8"/>
  <c r="L773" i="8"/>
  <c r="N773" i="8" s="1"/>
  <c r="K773" i="8"/>
  <c r="J773" i="8"/>
  <c r="F773" i="8"/>
  <c r="E773" i="8"/>
  <c r="A773" i="8"/>
  <c r="L772" i="8"/>
  <c r="N772" i="8" s="1"/>
  <c r="K772" i="8"/>
  <c r="J772" i="8"/>
  <c r="F772" i="8"/>
  <c r="E772" i="8"/>
  <c r="A772" i="8"/>
  <c r="L771" i="8"/>
  <c r="K771" i="8"/>
  <c r="J771" i="8"/>
  <c r="F771" i="8"/>
  <c r="E771" i="8"/>
  <c r="A771" i="8"/>
  <c r="L770" i="8"/>
  <c r="N770" i="8" s="1"/>
  <c r="K770" i="8"/>
  <c r="J770" i="8"/>
  <c r="F770" i="8"/>
  <c r="E770" i="8"/>
  <c r="A770" i="8"/>
  <c r="L769" i="8"/>
  <c r="N769" i="8" s="1"/>
  <c r="K769" i="8"/>
  <c r="J769" i="8"/>
  <c r="F769" i="8"/>
  <c r="E769" i="8"/>
  <c r="A769" i="8"/>
  <c r="L768" i="8"/>
  <c r="N768" i="8" s="1"/>
  <c r="K768" i="8"/>
  <c r="J768" i="8"/>
  <c r="F768" i="8"/>
  <c r="E768" i="8"/>
  <c r="A768" i="8"/>
  <c r="L767" i="8"/>
  <c r="K767" i="8"/>
  <c r="J767" i="8"/>
  <c r="F767" i="8"/>
  <c r="E767" i="8"/>
  <c r="A767" i="8"/>
  <c r="L766" i="8"/>
  <c r="K766" i="8"/>
  <c r="J766" i="8"/>
  <c r="F766" i="8"/>
  <c r="E766" i="8"/>
  <c r="A766" i="8"/>
  <c r="L765" i="8"/>
  <c r="M765" i="8" s="1"/>
  <c r="K765" i="8"/>
  <c r="J765" i="8"/>
  <c r="F765" i="8"/>
  <c r="E765" i="8"/>
  <c r="A765" i="8"/>
  <c r="L764" i="8"/>
  <c r="K764" i="8"/>
  <c r="J764" i="8"/>
  <c r="F764" i="8"/>
  <c r="E764" i="8"/>
  <c r="A764" i="8"/>
  <c r="L763" i="8"/>
  <c r="N763" i="8" s="1"/>
  <c r="K763" i="8"/>
  <c r="J763" i="8"/>
  <c r="F763" i="8"/>
  <c r="E763" i="8"/>
  <c r="A763" i="8"/>
  <c r="L762" i="8"/>
  <c r="N762" i="8" s="1"/>
  <c r="K762" i="8"/>
  <c r="J762" i="8"/>
  <c r="F762" i="8"/>
  <c r="E762" i="8"/>
  <c r="A762" i="8"/>
  <c r="L761" i="8"/>
  <c r="N761" i="8" s="1"/>
  <c r="K761" i="8"/>
  <c r="J761" i="8"/>
  <c r="F761" i="8"/>
  <c r="E761" i="8"/>
  <c r="A761" i="8"/>
  <c r="L760" i="8"/>
  <c r="N760" i="8" s="1"/>
  <c r="K760" i="8"/>
  <c r="J760" i="8"/>
  <c r="F760" i="8"/>
  <c r="E760" i="8"/>
  <c r="A760" i="8"/>
  <c r="L759" i="8"/>
  <c r="N759" i="8" s="1"/>
  <c r="K759" i="8"/>
  <c r="J759" i="8"/>
  <c r="F759" i="8"/>
  <c r="E759" i="8"/>
  <c r="A759" i="8"/>
  <c r="L758" i="8"/>
  <c r="N758" i="8" s="1"/>
  <c r="K758" i="8"/>
  <c r="J758" i="8"/>
  <c r="F758" i="8"/>
  <c r="E758" i="8"/>
  <c r="A758" i="8"/>
  <c r="L757" i="8"/>
  <c r="K757" i="8"/>
  <c r="J757" i="8"/>
  <c r="F757" i="8"/>
  <c r="E757" i="8"/>
  <c r="A757" i="8"/>
  <c r="L756" i="8"/>
  <c r="N756" i="8" s="1"/>
  <c r="K756" i="8"/>
  <c r="J756" i="8"/>
  <c r="F756" i="8"/>
  <c r="E756" i="8"/>
  <c r="A756" i="8"/>
  <c r="L755" i="8"/>
  <c r="N755" i="8" s="1"/>
  <c r="K755" i="8"/>
  <c r="J755" i="8"/>
  <c r="F755" i="8"/>
  <c r="E755" i="8"/>
  <c r="A755" i="8"/>
  <c r="L754" i="8"/>
  <c r="N754" i="8" s="1"/>
  <c r="K754" i="8"/>
  <c r="J754" i="8"/>
  <c r="F754" i="8"/>
  <c r="E754" i="8"/>
  <c r="A754" i="8"/>
  <c r="L753" i="8"/>
  <c r="N753" i="8" s="1"/>
  <c r="K753" i="8"/>
  <c r="J753" i="8"/>
  <c r="F753" i="8"/>
  <c r="E753" i="8"/>
  <c r="A753" i="8"/>
  <c r="L752" i="8"/>
  <c r="N752" i="8" s="1"/>
  <c r="K752" i="8"/>
  <c r="J752" i="8"/>
  <c r="F752" i="8"/>
  <c r="E752" i="8"/>
  <c r="A752" i="8"/>
  <c r="L751" i="8"/>
  <c r="N751" i="8" s="1"/>
  <c r="K751" i="8"/>
  <c r="J751" i="8"/>
  <c r="F751" i="8"/>
  <c r="E751" i="8"/>
  <c r="A751" i="8"/>
  <c r="L750" i="8"/>
  <c r="N750" i="8" s="1"/>
  <c r="K750" i="8"/>
  <c r="J750" i="8"/>
  <c r="F750" i="8"/>
  <c r="E750" i="8"/>
  <c r="A750" i="8"/>
  <c r="L749" i="8"/>
  <c r="N749" i="8" s="1"/>
  <c r="K749" i="8"/>
  <c r="J749" i="8"/>
  <c r="F749" i="8"/>
  <c r="E749" i="8"/>
  <c r="A749" i="8"/>
  <c r="L748" i="8"/>
  <c r="N748" i="8" s="1"/>
  <c r="K748" i="8"/>
  <c r="J748" i="8"/>
  <c r="F748" i="8"/>
  <c r="E748" i="8"/>
  <c r="A748" i="8"/>
  <c r="L747" i="8"/>
  <c r="N747" i="8" s="1"/>
  <c r="K747" i="8"/>
  <c r="J747" i="8"/>
  <c r="F747" i="8"/>
  <c r="E747" i="8"/>
  <c r="A747" i="8"/>
  <c r="L746" i="8"/>
  <c r="N746" i="8" s="1"/>
  <c r="K746" i="8"/>
  <c r="J746" i="8"/>
  <c r="F746" i="8"/>
  <c r="E746" i="8"/>
  <c r="A746" i="8"/>
  <c r="L745" i="8"/>
  <c r="N745" i="8" s="1"/>
  <c r="K745" i="8"/>
  <c r="J745" i="8"/>
  <c r="F745" i="8"/>
  <c r="E745" i="8"/>
  <c r="A745" i="8"/>
  <c r="L744" i="8"/>
  <c r="M744" i="8" s="1"/>
  <c r="K744" i="8"/>
  <c r="J744" i="8"/>
  <c r="F744" i="8"/>
  <c r="E744" i="8"/>
  <c r="A744" i="8"/>
  <c r="L743" i="8"/>
  <c r="K743" i="8"/>
  <c r="J743" i="8"/>
  <c r="F743" i="8"/>
  <c r="E743" i="8"/>
  <c r="A743" i="8"/>
  <c r="L742" i="8"/>
  <c r="N742" i="8" s="1"/>
  <c r="K742" i="8"/>
  <c r="J742" i="8"/>
  <c r="F742" i="8"/>
  <c r="E742" i="8"/>
  <c r="A742" i="8"/>
  <c r="L741" i="8"/>
  <c r="N741" i="8" s="1"/>
  <c r="K741" i="8"/>
  <c r="J741" i="8"/>
  <c r="F741" i="8"/>
  <c r="E741" i="8"/>
  <c r="A741" i="8"/>
  <c r="L740" i="8"/>
  <c r="K740" i="8"/>
  <c r="J740" i="8"/>
  <c r="F740" i="8"/>
  <c r="E740" i="8"/>
  <c r="A740" i="8"/>
  <c r="L739" i="8"/>
  <c r="N739" i="8" s="1"/>
  <c r="K739" i="8"/>
  <c r="J739" i="8"/>
  <c r="F739" i="8"/>
  <c r="E739" i="8"/>
  <c r="A739" i="8"/>
  <c r="L738" i="8"/>
  <c r="N738" i="8" s="1"/>
  <c r="K738" i="8"/>
  <c r="J738" i="8"/>
  <c r="F738" i="8"/>
  <c r="E738" i="8"/>
  <c r="A738" i="8"/>
  <c r="L737" i="8"/>
  <c r="K737" i="8"/>
  <c r="J737" i="8"/>
  <c r="F737" i="8"/>
  <c r="E737" i="8"/>
  <c r="A737" i="8"/>
  <c r="L736" i="8"/>
  <c r="K736" i="8"/>
  <c r="J736" i="8"/>
  <c r="F736" i="8"/>
  <c r="E736" i="8"/>
  <c r="A736" i="8"/>
  <c r="L735" i="8"/>
  <c r="N735" i="8" s="1"/>
  <c r="K735" i="8"/>
  <c r="J735" i="8"/>
  <c r="F735" i="8"/>
  <c r="E735" i="8"/>
  <c r="A735" i="8"/>
  <c r="L734" i="8"/>
  <c r="K734" i="8"/>
  <c r="J734" i="8"/>
  <c r="F734" i="8"/>
  <c r="E734" i="8"/>
  <c r="A734" i="8"/>
  <c r="L733" i="8"/>
  <c r="N733" i="8" s="1"/>
  <c r="K733" i="8"/>
  <c r="J733" i="8"/>
  <c r="F733" i="8"/>
  <c r="E733" i="8"/>
  <c r="A733" i="8"/>
  <c r="L732" i="8"/>
  <c r="M732" i="8" s="1"/>
  <c r="K732" i="8"/>
  <c r="J732" i="8"/>
  <c r="F732" i="8"/>
  <c r="E732" i="8"/>
  <c r="A732" i="8"/>
  <c r="L731" i="8"/>
  <c r="K731" i="8"/>
  <c r="J731" i="8"/>
  <c r="F731" i="8"/>
  <c r="E731" i="8"/>
  <c r="A731" i="8"/>
  <c r="L730" i="8"/>
  <c r="N730" i="8" s="1"/>
  <c r="K730" i="8"/>
  <c r="J730" i="8"/>
  <c r="F730" i="8"/>
  <c r="E730" i="8"/>
  <c r="A730" i="8"/>
  <c r="L729" i="8"/>
  <c r="K729" i="8"/>
  <c r="J729" i="8"/>
  <c r="F729" i="8"/>
  <c r="E729" i="8"/>
  <c r="A729" i="8"/>
  <c r="L728" i="8"/>
  <c r="K728" i="8"/>
  <c r="J728" i="8"/>
  <c r="F728" i="8"/>
  <c r="E728" i="8"/>
  <c r="A728" i="8"/>
  <c r="L727" i="8"/>
  <c r="N727" i="8" s="1"/>
  <c r="K727" i="8"/>
  <c r="J727" i="8"/>
  <c r="F727" i="8"/>
  <c r="E727" i="8"/>
  <c r="A727" i="8"/>
  <c r="L726" i="8"/>
  <c r="N726" i="8" s="1"/>
  <c r="K726" i="8"/>
  <c r="J726" i="8"/>
  <c r="F726" i="8"/>
  <c r="E726" i="8"/>
  <c r="A726" i="8"/>
  <c r="L725" i="8"/>
  <c r="K725" i="8"/>
  <c r="J725" i="8"/>
  <c r="F725" i="8"/>
  <c r="E725" i="8"/>
  <c r="A725" i="8"/>
  <c r="L724" i="8"/>
  <c r="N724" i="8" s="1"/>
  <c r="K724" i="8"/>
  <c r="J724" i="8"/>
  <c r="F724" i="8"/>
  <c r="E724" i="8"/>
  <c r="A724" i="8"/>
  <c r="L723" i="8"/>
  <c r="N723" i="8" s="1"/>
  <c r="K723" i="8"/>
  <c r="J723" i="8"/>
  <c r="F723" i="8"/>
  <c r="E723" i="8"/>
  <c r="A723" i="8"/>
  <c r="L722" i="8"/>
  <c r="K722" i="8"/>
  <c r="J722" i="8"/>
  <c r="F722" i="8"/>
  <c r="E722" i="8"/>
  <c r="A722" i="8"/>
  <c r="L721" i="8"/>
  <c r="N721" i="8" s="1"/>
  <c r="K721" i="8"/>
  <c r="J721" i="8"/>
  <c r="F721" i="8"/>
  <c r="E721" i="8"/>
  <c r="A721" i="8"/>
  <c r="L720" i="8"/>
  <c r="M720" i="8" s="1"/>
  <c r="K720" i="8"/>
  <c r="J720" i="8"/>
  <c r="F720" i="8"/>
  <c r="E720" i="8"/>
  <c r="A720" i="8"/>
  <c r="L719" i="8"/>
  <c r="K719" i="8"/>
  <c r="J719" i="8"/>
  <c r="F719" i="8"/>
  <c r="E719" i="8"/>
  <c r="A719" i="8"/>
  <c r="L718" i="8"/>
  <c r="N718" i="8" s="1"/>
  <c r="K718" i="8"/>
  <c r="J718" i="8"/>
  <c r="F718" i="8"/>
  <c r="E718" i="8"/>
  <c r="A718" i="8"/>
  <c r="L717" i="8"/>
  <c r="M717" i="8" s="1"/>
  <c r="K717" i="8"/>
  <c r="J717" i="8"/>
  <c r="F717" i="8"/>
  <c r="E717" i="8"/>
  <c r="A717" i="8"/>
  <c r="L716" i="8"/>
  <c r="K716" i="8"/>
  <c r="J716" i="8"/>
  <c r="F716" i="8"/>
  <c r="E716" i="8"/>
  <c r="A716" i="8"/>
  <c r="L715" i="8"/>
  <c r="N715" i="8" s="1"/>
  <c r="K715" i="8"/>
  <c r="J715" i="8"/>
  <c r="F715" i="8"/>
  <c r="E715" i="8"/>
  <c r="A715" i="8"/>
  <c r="L714" i="8"/>
  <c r="N714" i="8" s="1"/>
  <c r="K714" i="8"/>
  <c r="J714" i="8"/>
  <c r="F714" i="8"/>
  <c r="E714" i="8"/>
  <c r="A714" i="8"/>
  <c r="L713" i="8"/>
  <c r="K713" i="8"/>
  <c r="J713" i="8"/>
  <c r="F713" i="8"/>
  <c r="E713" i="8"/>
  <c r="A713" i="8"/>
  <c r="L712" i="8"/>
  <c r="N712" i="8" s="1"/>
  <c r="K712" i="8"/>
  <c r="J712" i="8"/>
  <c r="F712" i="8"/>
  <c r="E712" i="8"/>
  <c r="A712" i="8"/>
  <c r="L711" i="8"/>
  <c r="N711" i="8" s="1"/>
  <c r="K711" i="8"/>
  <c r="J711" i="8"/>
  <c r="F711" i="8"/>
  <c r="E711" i="8"/>
  <c r="A711" i="8"/>
  <c r="L710" i="8"/>
  <c r="K710" i="8"/>
  <c r="J710" i="8"/>
  <c r="F710" i="8"/>
  <c r="E710" i="8"/>
  <c r="A710" i="8"/>
  <c r="L709" i="8"/>
  <c r="N709" i="8" s="1"/>
  <c r="K709" i="8"/>
  <c r="J709" i="8"/>
  <c r="F709" i="8"/>
  <c r="E709" i="8"/>
  <c r="A709" i="8"/>
  <c r="L708" i="8"/>
  <c r="N708" i="8" s="1"/>
  <c r="K708" i="8"/>
  <c r="J708" i="8"/>
  <c r="F708" i="8"/>
  <c r="E708" i="8"/>
  <c r="A708" i="8"/>
  <c r="L707" i="8"/>
  <c r="K707" i="8"/>
  <c r="J707" i="8"/>
  <c r="F707" i="8"/>
  <c r="E707" i="8"/>
  <c r="A707" i="8"/>
  <c r="L706" i="8"/>
  <c r="N706" i="8" s="1"/>
  <c r="K706" i="8"/>
  <c r="J706" i="8"/>
  <c r="F706" i="8"/>
  <c r="E706" i="8"/>
  <c r="A706" i="8"/>
  <c r="L705" i="8"/>
  <c r="K705" i="8"/>
  <c r="J705" i="8"/>
  <c r="F705" i="8"/>
  <c r="E705" i="8"/>
  <c r="A705" i="8"/>
  <c r="L704" i="8"/>
  <c r="K704" i="8"/>
  <c r="J704" i="8"/>
  <c r="F704" i="8"/>
  <c r="E704" i="8"/>
  <c r="A704" i="8"/>
  <c r="L703" i="8"/>
  <c r="N703" i="8" s="1"/>
  <c r="K703" i="8"/>
  <c r="J703" i="8"/>
  <c r="F703" i="8"/>
  <c r="E703" i="8"/>
  <c r="A703" i="8"/>
  <c r="L702" i="8"/>
  <c r="N702" i="8" s="1"/>
  <c r="K702" i="8"/>
  <c r="J702" i="8"/>
  <c r="F702" i="8"/>
  <c r="E702" i="8"/>
  <c r="A702" i="8"/>
  <c r="L701" i="8"/>
  <c r="K701" i="8"/>
  <c r="J701" i="8"/>
  <c r="F701" i="8"/>
  <c r="E701" i="8"/>
  <c r="A701" i="8"/>
  <c r="L700" i="8"/>
  <c r="K700" i="8"/>
  <c r="J700" i="8"/>
  <c r="F700" i="8"/>
  <c r="E700" i="8"/>
  <c r="A700" i="8"/>
  <c r="L699" i="8"/>
  <c r="N699" i="8" s="1"/>
  <c r="K699" i="8"/>
  <c r="J699" i="8"/>
  <c r="F699" i="8"/>
  <c r="E699" i="8"/>
  <c r="A699" i="8"/>
  <c r="L698" i="8"/>
  <c r="K698" i="8"/>
  <c r="J698" i="8"/>
  <c r="F698" i="8"/>
  <c r="E698" i="8"/>
  <c r="A698" i="8"/>
  <c r="L697" i="8"/>
  <c r="N697" i="8" s="1"/>
  <c r="K697" i="8"/>
  <c r="J697" i="8"/>
  <c r="F697" i="8"/>
  <c r="E697" i="8"/>
  <c r="A697" i="8"/>
  <c r="L696" i="8"/>
  <c r="M696" i="8" s="1"/>
  <c r="K696" i="8"/>
  <c r="J696" i="8"/>
  <c r="F696" i="8"/>
  <c r="E696" i="8"/>
  <c r="A696" i="8"/>
  <c r="L695" i="8"/>
  <c r="K695" i="8"/>
  <c r="J695" i="8"/>
  <c r="F695" i="8"/>
  <c r="E695" i="8"/>
  <c r="A695" i="8"/>
  <c r="L694" i="8"/>
  <c r="N694" i="8" s="1"/>
  <c r="K694" i="8"/>
  <c r="J694" i="8"/>
  <c r="F694" i="8"/>
  <c r="E694" i="8"/>
  <c r="A694" i="8"/>
  <c r="L693" i="8"/>
  <c r="K693" i="8"/>
  <c r="J693" i="8"/>
  <c r="F693" i="8"/>
  <c r="E693" i="8"/>
  <c r="A693" i="8"/>
  <c r="L692" i="8"/>
  <c r="K692" i="8"/>
  <c r="J692" i="8"/>
  <c r="F692" i="8"/>
  <c r="E692" i="8"/>
  <c r="A692" i="8"/>
  <c r="L691" i="8"/>
  <c r="N691" i="8" s="1"/>
  <c r="K691" i="8"/>
  <c r="J691" i="8"/>
  <c r="F691" i="8"/>
  <c r="E691" i="8"/>
  <c r="A691" i="8"/>
  <c r="L690" i="8"/>
  <c r="N690" i="8" s="1"/>
  <c r="K690" i="8"/>
  <c r="J690" i="8"/>
  <c r="F690" i="8"/>
  <c r="E690" i="8"/>
  <c r="A690" i="8"/>
  <c r="L689" i="8"/>
  <c r="K689" i="8"/>
  <c r="J689" i="8"/>
  <c r="F689" i="8"/>
  <c r="E689" i="8"/>
  <c r="A689" i="8"/>
  <c r="L688" i="8"/>
  <c r="N688" i="8" s="1"/>
  <c r="K688" i="8"/>
  <c r="J688" i="8"/>
  <c r="F688" i="8"/>
  <c r="E688" i="8"/>
  <c r="A688" i="8"/>
  <c r="L687" i="8"/>
  <c r="N687" i="8" s="1"/>
  <c r="K687" i="8"/>
  <c r="J687" i="8"/>
  <c r="F687" i="8"/>
  <c r="E687" i="8"/>
  <c r="A687" i="8"/>
  <c r="L686" i="8"/>
  <c r="K686" i="8"/>
  <c r="J686" i="8"/>
  <c r="F686" i="8"/>
  <c r="E686" i="8"/>
  <c r="A686" i="8"/>
  <c r="L685" i="8"/>
  <c r="N685" i="8" s="1"/>
  <c r="K685" i="8"/>
  <c r="J685" i="8"/>
  <c r="F685" i="8"/>
  <c r="E685" i="8"/>
  <c r="A685" i="8"/>
  <c r="L684" i="8"/>
  <c r="N684" i="8" s="1"/>
  <c r="K684" i="8"/>
  <c r="J684" i="8"/>
  <c r="F684" i="8"/>
  <c r="E684" i="8"/>
  <c r="A684" i="8"/>
  <c r="L683" i="8"/>
  <c r="K683" i="8"/>
  <c r="J683" i="8"/>
  <c r="F683" i="8"/>
  <c r="E683" i="8"/>
  <c r="A683" i="8"/>
  <c r="L682" i="8"/>
  <c r="N682" i="8" s="1"/>
  <c r="K682" i="8"/>
  <c r="J682" i="8"/>
  <c r="F682" i="8"/>
  <c r="E682" i="8"/>
  <c r="A682" i="8"/>
  <c r="L681" i="8"/>
  <c r="K681" i="8"/>
  <c r="J681" i="8"/>
  <c r="F681" i="8"/>
  <c r="E681" i="8"/>
  <c r="A681" i="8"/>
  <c r="L680" i="8"/>
  <c r="K680" i="8"/>
  <c r="J680" i="8"/>
  <c r="F680" i="8"/>
  <c r="E680" i="8"/>
  <c r="A680" i="8"/>
  <c r="L679" i="8"/>
  <c r="N679" i="8" s="1"/>
  <c r="K679" i="8"/>
  <c r="J679" i="8"/>
  <c r="F679" i="8"/>
  <c r="E679" i="8"/>
  <c r="A679" i="8"/>
  <c r="L678" i="8"/>
  <c r="N678" i="8" s="1"/>
  <c r="K678" i="8"/>
  <c r="J678" i="8"/>
  <c r="F678" i="8"/>
  <c r="E678" i="8"/>
  <c r="A678" i="8"/>
  <c r="L677" i="8"/>
  <c r="K677" i="8"/>
  <c r="J677" i="8"/>
  <c r="F677" i="8"/>
  <c r="E677" i="8"/>
  <c r="A677" i="8"/>
  <c r="L676" i="8"/>
  <c r="N676" i="8" s="1"/>
  <c r="K676" i="8"/>
  <c r="J676" i="8"/>
  <c r="F676" i="8"/>
  <c r="E676" i="8"/>
  <c r="A676" i="8"/>
  <c r="L675" i="8"/>
  <c r="N675" i="8" s="1"/>
  <c r="K675" i="8"/>
  <c r="J675" i="8"/>
  <c r="F675" i="8"/>
  <c r="E675" i="8"/>
  <c r="A675" i="8"/>
  <c r="L674" i="8"/>
  <c r="K674" i="8"/>
  <c r="J674" i="8"/>
  <c r="F674" i="8"/>
  <c r="E674" i="8"/>
  <c r="A674" i="8"/>
  <c r="L673" i="8"/>
  <c r="N673" i="8" s="1"/>
  <c r="K673" i="8"/>
  <c r="J673" i="8"/>
  <c r="F673" i="8"/>
  <c r="E673" i="8"/>
  <c r="A673" i="8"/>
  <c r="L672" i="8"/>
  <c r="N672" i="8" s="1"/>
  <c r="K672" i="8"/>
  <c r="J672" i="8"/>
  <c r="F672" i="8"/>
  <c r="E672" i="8"/>
  <c r="A672" i="8"/>
  <c r="L671" i="8"/>
  <c r="K671" i="8"/>
  <c r="J671" i="8"/>
  <c r="F671" i="8"/>
  <c r="E671" i="8"/>
  <c r="A671" i="8"/>
  <c r="L670" i="8"/>
  <c r="N670" i="8" s="1"/>
  <c r="K670" i="8"/>
  <c r="J670" i="8"/>
  <c r="F670" i="8"/>
  <c r="E670" i="8"/>
  <c r="A670" i="8"/>
  <c r="L669" i="8"/>
  <c r="M669" i="8" s="1"/>
  <c r="K669" i="8"/>
  <c r="J669" i="8"/>
  <c r="F669" i="8"/>
  <c r="E669" i="8"/>
  <c r="A669" i="8"/>
  <c r="L668" i="8"/>
  <c r="K668" i="8"/>
  <c r="J668" i="8"/>
  <c r="F668" i="8"/>
  <c r="E668" i="8"/>
  <c r="A668" i="8"/>
  <c r="L667" i="8"/>
  <c r="N667" i="8" s="1"/>
  <c r="K667" i="8"/>
  <c r="J667" i="8"/>
  <c r="F667" i="8"/>
  <c r="E667" i="8"/>
  <c r="A667" i="8"/>
  <c r="L666" i="8"/>
  <c r="N666" i="8" s="1"/>
  <c r="K666" i="8"/>
  <c r="J666" i="8"/>
  <c r="F666" i="8"/>
  <c r="E666" i="8"/>
  <c r="A666" i="8"/>
  <c r="L665" i="8"/>
  <c r="K665" i="8"/>
  <c r="J665" i="8"/>
  <c r="F665" i="8"/>
  <c r="E665" i="8"/>
  <c r="A665" i="8"/>
  <c r="L664" i="8"/>
  <c r="N664" i="8" s="1"/>
  <c r="K664" i="8"/>
  <c r="J664" i="8"/>
  <c r="F664" i="8"/>
  <c r="E664" i="8"/>
  <c r="A664" i="8"/>
  <c r="L663" i="8"/>
  <c r="N663" i="8" s="1"/>
  <c r="K663" i="8"/>
  <c r="J663" i="8"/>
  <c r="F663" i="8"/>
  <c r="E663" i="8"/>
  <c r="A663" i="8"/>
  <c r="L662" i="8"/>
  <c r="K662" i="8"/>
  <c r="J662" i="8"/>
  <c r="F662" i="8"/>
  <c r="E662" i="8"/>
  <c r="A662" i="8"/>
  <c r="L661" i="8"/>
  <c r="N661" i="8" s="1"/>
  <c r="K661" i="8"/>
  <c r="J661" i="8"/>
  <c r="F661" i="8"/>
  <c r="E661" i="8"/>
  <c r="A661" i="8"/>
  <c r="L660" i="8"/>
  <c r="N660" i="8" s="1"/>
  <c r="K660" i="8"/>
  <c r="J660" i="8"/>
  <c r="F660" i="8"/>
  <c r="E660" i="8"/>
  <c r="A660" i="8"/>
  <c r="L659" i="8"/>
  <c r="K659" i="8"/>
  <c r="J659" i="8"/>
  <c r="F659" i="8"/>
  <c r="E659" i="8"/>
  <c r="A659" i="8"/>
  <c r="L658" i="8"/>
  <c r="N658" i="8" s="1"/>
  <c r="K658" i="8"/>
  <c r="J658" i="8"/>
  <c r="F658" i="8"/>
  <c r="E658" i="8"/>
  <c r="A658" i="8"/>
  <c r="L657" i="8"/>
  <c r="K657" i="8"/>
  <c r="J657" i="8"/>
  <c r="F657" i="8"/>
  <c r="E657" i="8"/>
  <c r="A657" i="8"/>
  <c r="L656" i="8"/>
  <c r="K656" i="8"/>
  <c r="J656" i="8"/>
  <c r="F656" i="8"/>
  <c r="E656" i="8"/>
  <c r="A656" i="8"/>
  <c r="L655" i="8"/>
  <c r="N655" i="8" s="1"/>
  <c r="K655" i="8"/>
  <c r="J655" i="8"/>
  <c r="F655" i="8"/>
  <c r="E655" i="8"/>
  <c r="A655" i="8"/>
  <c r="L654" i="8"/>
  <c r="N654" i="8" s="1"/>
  <c r="K654" i="8"/>
  <c r="J654" i="8"/>
  <c r="F654" i="8"/>
  <c r="E654" i="8"/>
  <c r="A654" i="8"/>
  <c r="L653" i="8"/>
  <c r="K653" i="8"/>
  <c r="J653" i="8"/>
  <c r="F653" i="8"/>
  <c r="E653" i="8"/>
  <c r="A653" i="8"/>
  <c r="L652" i="8"/>
  <c r="N652" i="8" s="1"/>
  <c r="K652" i="8"/>
  <c r="J652" i="8"/>
  <c r="F652" i="8"/>
  <c r="E652" i="8"/>
  <c r="A652" i="8"/>
  <c r="L651" i="8"/>
  <c r="K651" i="8"/>
  <c r="J651" i="8"/>
  <c r="F651" i="8"/>
  <c r="E651" i="8"/>
  <c r="A651" i="8"/>
  <c r="L650" i="8"/>
  <c r="N650" i="8" s="1"/>
  <c r="K650" i="8"/>
  <c r="J650" i="8"/>
  <c r="F650" i="8"/>
  <c r="E650" i="8"/>
  <c r="A650" i="8"/>
  <c r="L649" i="8"/>
  <c r="K649" i="8"/>
  <c r="J649" i="8"/>
  <c r="F649" i="8"/>
  <c r="E649" i="8"/>
  <c r="A649" i="8"/>
  <c r="L648" i="8"/>
  <c r="M648" i="8" s="1"/>
  <c r="K648" i="8"/>
  <c r="J648" i="8"/>
  <c r="F648" i="8"/>
  <c r="E648" i="8"/>
  <c r="A648" i="8"/>
  <c r="L647" i="8"/>
  <c r="N647" i="8" s="1"/>
  <c r="K647" i="8"/>
  <c r="J647" i="8"/>
  <c r="F647" i="8"/>
  <c r="E647" i="8"/>
  <c r="A647" i="8"/>
  <c r="L646" i="8"/>
  <c r="K646" i="8"/>
  <c r="J646" i="8"/>
  <c r="F646" i="8"/>
  <c r="E646" i="8"/>
  <c r="A646" i="8"/>
  <c r="L645" i="8"/>
  <c r="M645" i="8" s="1"/>
  <c r="K645" i="8"/>
  <c r="J645" i="8"/>
  <c r="F645" i="8"/>
  <c r="E645" i="8"/>
  <c r="A645" i="8"/>
  <c r="L644" i="8"/>
  <c r="N644" i="8" s="1"/>
  <c r="K644" i="8"/>
  <c r="J644" i="8"/>
  <c r="F644" i="8"/>
  <c r="E644" i="8"/>
  <c r="A644" i="8"/>
  <c r="L643" i="8"/>
  <c r="N643" i="8" s="1"/>
  <c r="K643" i="8"/>
  <c r="J643" i="8"/>
  <c r="F643" i="8"/>
  <c r="E643" i="8"/>
  <c r="A643" i="8"/>
  <c r="L642" i="8"/>
  <c r="M642" i="8" s="1"/>
  <c r="K642" i="8"/>
  <c r="J642" i="8"/>
  <c r="F642" i="8"/>
  <c r="E642" i="8"/>
  <c r="A642" i="8"/>
  <c r="L641" i="8"/>
  <c r="N641" i="8" s="1"/>
  <c r="K641" i="8"/>
  <c r="J641" i="8"/>
  <c r="F641" i="8"/>
  <c r="E641" i="8"/>
  <c r="A641" i="8"/>
  <c r="L640" i="8"/>
  <c r="N640" i="8" s="1"/>
  <c r="K640" i="8"/>
  <c r="J640" i="8"/>
  <c r="F640" i="8"/>
  <c r="E640" i="8"/>
  <c r="A640" i="8"/>
  <c r="L639" i="8"/>
  <c r="N639" i="8" s="1"/>
  <c r="K639" i="8"/>
  <c r="J639" i="8"/>
  <c r="F639" i="8"/>
  <c r="E639" i="8"/>
  <c r="A639" i="8"/>
  <c r="L638" i="8"/>
  <c r="N638" i="8" s="1"/>
  <c r="K638" i="8"/>
  <c r="J638" i="8"/>
  <c r="F638" i="8"/>
  <c r="E638" i="8"/>
  <c r="A638" i="8"/>
  <c r="L637" i="8"/>
  <c r="N637" i="8" s="1"/>
  <c r="K637" i="8"/>
  <c r="J637" i="8"/>
  <c r="F637" i="8"/>
  <c r="E637" i="8"/>
  <c r="A637" i="8"/>
  <c r="L636" i="8"/>
  <c r="M636" i="8" s="1"/>
  <c r="K636" i="8"/>
  <c r="J636" i="8"/>
  <c r="F636" i="8"/>
  <c r="E636" i="8"/>
  <c r="A636" i="8"/>
  <c r="L635" i="8"/>
  <c r="N635" i="8" s="1"/>
  <c r="K635" i="8"/>
  <c r="J635" i="8"/>
  <c r="F635" i="8"/>
  <c r="E635" i="8"/>
  <c r="A635" i="8"/>
  <c r="L634" i="8"/>
  <c r="N634" i="8" s="1"/>
  <c r="K634" i="8"/>
  <c r="J634" i="8"/>
  <c r="F634" i="8"/>
  <c r="E634" i="8"/>
  <c r="A634" i="8"/>
  <c r="L633" i="8"/>
  <c r="K633" i="8"/>
  <c r="J633" i="8"/>
  <c r="F633" i="8"/>
  <c r="E633" i="8"/>
  <c r="A633" i="8"/>
  <c r="L632" i="8"/>
  <c r="K632" i="8"/>
  <c r="J632" i="8"/>
  <c r="F632" i="8"/>
  <c r="E632" i="8"/>
  <c r="A632" i="8"/>
  <c r="L631" i="8"/>
  <c r="K631" i="8"/>
  <c r="J631" i="8"/>
  <c r="F631" i="8"/>
  <c r="E631" i="8"/>
  <c r="A631" i="8"/>
  <c r="L630" i="8"/>
  <c r="K630" i="8"/>
  <c r="J630" i="8"/>
  <c r="F630" i="8"/>
  <c r="E630" i="8"/>
  <c r="A630" i="8"/>
  <c r="L629" i="8"/>
  <c r="K629" i="8"/>
  <c r="J629" i="8"/>
  <c r="F629" i="8"/>
  <c r="E629" i="8"/>
  <c r="A629" i="8"/>
  <c r="L628" i="8"/>
  <c r="K628" i="8"/>
  <c r="J628" i="8"/>
  <c r="F628" i="8"/>
  <c r="E628" i="8"/>
  <c r="A628" i="8"/>
  <c r="L627" i="8"/>
  <c r="M627" i="8" s="1"/>
  <c r="K627" i="8"/>
  <c r="J627" i="8"/>
  <c r="F627" i="8"/>
  <c r="E627" i="8"/>
  <c r="A627" i="8"/>
  <c r="L626" i="8"/>
  <c r="N626" i="8" s="1"/>
  <c r="K626" i="8"/>
  <c r="J626" i="8"/>
  <c r="F626" i="8"/>
  <c r="E626" i="8"/>
  <c r="A626" i="8"/>
  <c r="L625" i="8"/>
  <c r="N625" i="8" s="1"/>
  <c r="K625" i="8"/>
  <c r="J625" i="8"/>
  <c r="F625" i="8"/>
  <c r="E625" i="8"/>
  <c r="A625" i="8"/>
  <c r="L624" i="8"/>
  <c r="M624" i="8" s="1"/>
  <c r="K624" i="8"/>
  <c r="J624" i="8"/>
  <c r="F624" i="8"/>
  <c r="E624" i="8"/>
  <c r="A624" i="8"/>
  <c r="L623" i="8"/>
  <c r="N623" i="8" s="1"/>
  <c r="K623" i="8"/>
  <c r="J623" i="8"/>
  <c r="F623" i="8"/>
  <c r="E623" i="8"/>
  <c r="A623" i="8"/>
  <c r="L622" i="8"/>
  <c r="N622" i="8" s="1"/>
  <c r="K622" i="8"/>
  <c r="J622" i="8"/>
  <c r="F622" i="8"/>
  <c r="E622" i="8"/>
  <c r="A622" i="8"/>
  <c r="L621" i="8"/>
  <c r="N621" i="8" s="1"/>
  <c r="K621" i="8"/>
  <c r="J621" i="8"/>
  <c r="F621" i="8"/>
  <c r="E621" i="8"/>
  <c r="A621" i="8"/>
  <c r="L620" i="8"/>
  <c r="N620" i="8" s="1"/>
  <c r="K620" i="8"/>
  <c r="J620" i="8"/>
  <c r="F620" i="8"/>
  <c r="E620" i="8"/>
  <c r="A620" i="8"/>
  <c r="L619" i="8"/>
  <c r="N619" i="8" s="1"/>
  <c r="K619" i="8"/>
  <c r="J619" i="8"/>
  <c r="F619" i="8"/>
  <c r="E619" i="8"/>
  <c r="A619" i="8"/>
  <c r="L618" i="8"/>
  <c r="M618" i="8" s="1"/>
  <c r="K618" i="8"/>
  <c r="J618" i="8"/>
  <c r="F618" i="8"/>
  <c r="E618" i="8"/>
  <c r="A618" i="8"/>
  <c r="L617" i="8"/>
  <c r="N617" i="8" s="1"/>
  <c r="K617" i="8"/>
  <c r="J617" i="8"/>
  <c r="F617" i="8"/>
  <c r="E617" i="8"/>
  <c r="A617" i="8"/>
  <c r="L616" i="8"/>
  <c r="N616" i="8" s="1"/>
  <c r="K616" i="8"/>
  <c r="J616" i="8"/>
  <c r="F616" i="8"/>
  <c r="E616" i="8"/>
  <c r="A616" i="8"/>
  <c r="L615" i="8"/>
  <c r="K615" i="8"/>
  <c r="J615" i="8"/>
  <c r="F615" i="8"/>
  <c r="E615" i="8"/>
  <c r="A615" i="8"/>
  <c r="L614" i="8"/>
  <c r="N614" i="8" s="1"/>
  <c r="K614" i="8"/>
  <c r="J614" i="8"/>
  <c r="F614" i="8"/>
  <c r="E614" i="8"/>
  <c r="A614" i="8"/>
  <c r="L613" i="8"/>
  <c r="K613" i="8"/>
  <c r="J613" i="8"/>
  <c r="F613" i="8"/>
  <c r="E613" i="8"/>
  <c r="A613" i="8"/>
  <c r="L612" i="8"/>
  <c r="K612" i="8"/>
  <c r="J612" i="8"/>
  <c r="F612" i="8"/>
  <c r="E612" i="8"/>
  <c r="A612" i="8"/>
  <c r="L611" i="8"/>
  <c r="K611" i="8"/>
  <c r="J611" i="8"/>
  <c r="F611" i="8"/>
  <c r="E611" i="8"/>
  <c r="A611" i="8"/>
  <c r="L610" i="8"/>
  <c r="K610" i="8"/>
  <c r="J610" i="8"/>
  <c r="F610" i="8"/>
  <c r="E610" i="8"/>
  <c r="A610" i="8"/>
  <c r="L609" i="8"/>
  <c r="N609" i="8" s="1"/>
  <c r="K609" i="8"/>
  <c r="J609" i="8"/>
  <c r="F609" i="8"/>
  <c r="E609" i="8"/>
  <c r="A609" i="8"/>
  <c r="L608" i="8"/>
  <c r="N608" i="8" s="1"/>
  <c r="K608" i="8"/>
  <c r="J608" i="8"/>
  <c r="F608" i="8"/>
  <c r="E608" i="8"/>
  <c r="A608" i="8"/>
  <c r="L607" i="8"/>
  <c r="N607" i="8" s="1"/>
  <c r="K607" i="8"/>
  <c r="J607" i="8"/>
  <c r="F607" i="8"/>
  <c r="E607" i="8"/>
  <c r="A607" i="8"/>
  <c r="L606" i="8"/>
  <c r="M606" i="8" s="1"/>
  <c r="K606" i="8"/>
  <c r="J606" i="8"/>
  <c r="F606" i="8"/>
  <c r="E606" i="8"/>
  <c r="A606" i="8"/>
  <c r="L605" i="8"/>
  <c r="N605" i="8" s="1"/>
  <c r="K605" i="8"/>
  <c r="J605" i="8"/>
  <c r="F605" i="8"/>
  <c r="E605" i="8"/>
  <c r="A605" i="8"/>
  <c r="L604" i="8"/>
  <c r="N604" i="8" s="1"/>
  <c r="K604" i="8"/>
  <c r="J604" i="8"/>
  <c r="F604" i="8"/>
  <c r="E604" i="8"/>
  <c r="A604" i="8"/>
  <c r="L603" i="8"/>
  <c r="K603" i="8"/>
  <c r="J603" i="8"/>
  <c r="F603" i="8"/>
  <c r="E603" i="8"/>
  <c r="A603" i="8"/>
  <c r="L602" i="8"/>
  <c r="N602" i="8" s="1"/>
  <c r="K602" i="8"/>
  <c r="J602" i="8"/>
  <c r="F602" i="8"/>
  <c r="E602" i="8"/>
  <c r="A602" i="8"/>
  <c r="L601" i="8"/>
  <c r="N601" i="8" s="1"/>
  <c r="K601" i="8"/>
  <c r="J601" i="8"/>
  <c r="F601" i="8"/>
  <c r="E601" i="8"/>
  <c r="A601" i="8"/>
  <c r="L600" i="8"/>
  <c r="M600" i="8" s="1"/>
  <c r="K600" i="8"/>
  <c r="J600" i="8"/>
  <c r="F600" i="8"/>
  <c r="E600" i="8"/>
  <c r="A600" i="8"/>
  <c r="L599" i="8"/>
  <c r="N599" i="8" s="1"/>
  <c r="K599" i="8"/>
  <c r="J599" i="8"/>
  <c r="F599" i="8"/>
  <c r="E599" i="8"/>
  <c r="A599" i="8"/>
  <c r="L598" i="8"/>
  <c r="N598" i="8" s="1"/>
  <c r="K598" i="8"/>
  <c r="J598" i="8"/>
  <c r="F598" i="8"/>
  <c r="E598" i="8"/>
  <c r="A598" i="8"/>
  <c r="L597" i="8"/>
  <c r="K597" i="8"/>
  <c r="J597" i="8"/>
  <c r="F597" i="8"/>
  <c r="E597" i="8"/>
  <c r="A597" i="8"/>
  <c r="L596" i="8"/>
  <c r="K596" i="8"/>
  <c r="J596" i="8"/>
  <c r="F596" i="8"/>
  <c r="E596" i="8"/>
  <c r="A596" i="8"/>
  <c r="L595" i="8"/>
  <c r="K595" i="8"/>
  <c r="J595" i="8"/>
  <c r="F595" i="8"/>
  <c r="E595" i="8"/>
  <c r="A595" i="8"/>
  <c r="L594" i="8"/>
  <c r="M594" i="8" s="1"/>
  <c r="K594" i="8"/>
  <c r="J594" i="8"/>
  <c r="F594" i="8"/>
  <c r="E594" i="8"/>
  <c r="A594" i="8"/>
  <c r="L593" i="8"/>
  <c r="N593" i="8" s="1"/>
  <c r="K593" i="8"/>
  <c r="J593" i="8"/>
  <c r="F593" i="8"/>
  <c r="E593" i="8"/>
  <c r="A593" i="8"/>
  <c r="L592" i="8"/>
  <c r="K592" i="8"/>
  <c r="J592" i="8"/>
  <c r="F592" i="8"/>
  <c r="E592" i="8"/>
  <c r="A592" i="8"/>
  <c r="L591" i="8"/>
  <c r="K591" i="8"/>
  <c r="J591" i="8"/>
  <c r="F591" i="8"/>
  <c r="E591" i="8"/>
  <c r="A591" i="8"/>
  <c r="L590" i="8"/>
  <c r="N590" i="8" s="1"/>
  <c r="K590" i="8"/>
  <c r="J590" i="8"/>
  <c r="F590" i="8"/>
  <c r="E590" i="8"/>
  <c r="A590" i="8"/>
  <c r="L589" i="8"/>
  <c r="N589" i="8" s="1"/>
  <c r="K589" i="8"/>
  <c r="J589" i="8"/>
  <c r="F589" i="8"/>
  <c r="E589" i="8"/>
  <c r="A589" i="8"/>
  <c r="L588" i="8"/>
  <c r="N588" i="8" s="1"/>
  <c r="K588" i="8"/>
  <c r="J588" i="8"/>
  <c r="F588" i="8"/>
  <c r="E588" i="8"/>
  <c r="A588" i="8"/>
  <c r="L587" i="8"/>
  <c r="K587" i="8"/>
  <c r="J587" i="8"/>
  <c r="F587" i="8"/>
  <c r="E587" i="8"/>
  <c r="A587" i="8"/>
  <c r="L586" i="8"/>
  <c r="N586" i="8" s="1"/>
  <c r="K586" i="8"/>
  <c r="J586" i="8"/>
  <c r="F586" i="8"/>
  <c r="E586" i="8"/>
  <c r="A586" i="8"/>
  <c r="L585" i="8"/>
  <c r="N585" i="8" s="1"/>
  <c r="K585" i="8"/>
  <c r="J585" i="8"/>
  <c r="F585" i="8"/>
  <c r="E585" i="8"/>
  <c r="A585" i="8"/>
  <c r="L584" i="8"/>
  <c r="N584" i="8" s="1"/>
  <c r="K584" i="8"/>
  <c r="J584" i="8"/>
  <c r="F584" i="8"/>
  <c r="E584" i="8"/>
  <c r="A584" i="8"/>
  <c r="L583" i="8"/>
  <c r="N583" i="8" s="1"/>
  <c r="K583" i="8"/>
  <c r="J583" i="8"/>
  <c r="F583" i="8"/>
  <c r="E583" i="8"/>
  <c r="A583" i="8"/>
  <c r="L582" i="8"/>
  <c r="K582" i="8"/>
  <c r="J582" i="8"/>
  <c r="F582" i="8"/>
  <c r="E582" i="8"/>
  <c r="A582" i="8"/>
  <c r="L581" i="8"/>
  <c r="N581" i="8" s="1"/>
  <c r="K581" i="8"/>
  <c r="J581" i="8"/>
  <c r="F581" i="8"/>
  <c r="E581" i="8"/>
  <c r="A581" i="8"/>
  <c r="L580" i="8"/>
  <c r="N580" i="8" s="1"/>
  <c r="K580" i="8"/>
  <c r="J580" i="8"/>
  <c r="F580" i="8"/>
  <c r="E580" i="8"/>
  <c r="A580" i="8"/>
  <c r="L579" i="8"/>
  <c r="K579" i="8"/>
  <c r="J579" i="8"/>
  <c r="F579" i="8"/>
  <c r="E579" i="8"/>
  <c r="A579" i="8"/>
  <c r="L578" i="8"/>
  <c r="K578" i="8"/>
  <c r="J578" i="8"/>
  <c r="F578" i="8"/>
  <c r="E578" i="8"/>
  <c r="A578" i="8"/>
  <c r="L577" i="8"/>
  <c r="K577" i="8"/>
  <c r="J577" i="8"/>
  <c r="F577" i="8"/>
  <c r="E577" i="8"/>
  <c r="A577" i="8"/>
  <c r="L576" i="8"/>
  <c r="K576" i="8"/>
  <c r="J576" i="8"/>
  <c r="F576" i="8"/>
  <c r="E576" i="8"/>
  <c r="A576" i="8"/>
  <c r="L575" i="8"/>
  <c r="N575" i="8" s="1"/>
  <c r="K575" i="8"/>
  <c r="J575" i="8"/>
  <c r="F575" i="8"/>
  <c r="E575" i="8"/>
  <c r="A575" i="8"/>
  <c r="L574" i="8"/>
  <c r="K574" i="8"/>
  <c r="J574" i="8"/>
  <c r="F574" i="8"/>
  <c r="E574" i="8"/>
  <c r="A574" i="8"/>
  <c r="L573" i="8"/>
  <c r="K573" i="8"/>
  <c r="J573" i="8"/>
  <c r="F573" i="8"/>
  <c r="E573" i="8"/>
  <c r="A573" i="8"/>
  <c r="L572" i="8"/>
  <c r="N572" i="8" s="1"/>
  <c r="K572" i="8"/>
  <c r="J572" i="8"/>
  <c r="F572" i="8"/>
  <c r="E572" i="8"/>
  <c r="A572" i="8"/>
  <c r="L571" i="8"/>
  <c r="N571" i="8" s="1"/>
  <c r="K571" i="8"/>
  <c r="J571" i="8"/>
  <c r="F571" i="8"/>
  <c r="E571" i="8"/>
  <c r="A571" i="8"/>
  <c r="L570" i="8"/>
  <c r="K570" i="8"/>
  <c r="J570" i="8"/>
  <c r="F570" i="8"/>
  <c r="E570" i="8"/>
  <c r="A570" i="8"/>
  <c r="L569" i="8"/>
  <c r="K569" i="8"/>
  <c r="J569" i="8"/>
  <c r="F569" i="8"/>
  <c r="E569" i="8"/>
  <c r="A569" i="8"/>
  <c r="L568" i="8"/>
  <c r="N568" i="8" s="1"/>
  <c r="K568" i="8"/>
  <c r="J568" i="8"/>
  <c r="F568" i="8"/>
  <c r="E568" i="8"/>
  <c r="A568" i="8"/>
  <c r="L567" i="8"/>
  <c r="N567" i="8" s="1"/>
  <c r="K567" i="8"/>
  <c r="J567" i="8"/>
  <c r="F567" i="8"/>
  <c r="E567" i="8"/>
  <c r="A567" i="8"/>
  <c r="L566" i="8"/>
  <c r="K566" i="8"/>
  <c r="J566" i="8"/>
  <c r="F566" i="8"/>
  <c r="E566" i="8"/>
  <c r="A566" i="8"/>
  <c r="L565" i="8"/>
  <c r="K565" i="8"/>
  <c r="J565" i="8"/>
  <c r="F565" i="8"/>
  <c r="E565" i="8"/>
  <c r="A565" i="8"/>
  <c r="L564" i="8"/>
  <c r="M564" i="8" s="1"/>
  <c r="K564" i="8"/>
  <c r="J564" i="8"/>
  <c r="F564" i="8"/>
  <c r="E564" i="8"/>
  <c r="A564" i="8"/>
  <c r="L563" i="8"/>
  <c r="N563" i="8" s="1"/>
  <c r="K563" i="8"/>
  <c r="J563" i="8"/>
  <c r="F563" i="8"/>
  <c r="E563" i="8"/>
  <c r="A563" i="8"/>
  <c r="L562" i="8"/>
  <c r="K562" i="8"/>
  <c r="J562" i="8"/>
  <c r="F562" i="8"/>
  <c r="E562" i="8"/>
  <c r="A562" i="8"/>
  <c r="L561" i="8"/>
  <c r="K561" i="8"/>
  <c r="J561" i="8"/>
  <c r="F561" i="8"/>
  <c r="E561" i="8"/>
  <c r="A561" i="8"/>
  <c r="L560" i="8"/>
  <c r="K560" i="8"/>
  <c r="J560" i="8"/>
  <c r="F560" i="8"/>
  <c r="E560" i="8"/>
  <c r="A560" i="8"/>
  <c r="L559" i="8"/>
  <c r="K559" i="8"/>
  <c r="J559" i="8"/>
  <c r="F559" i="8"/>
  <c r="E559" i="8"/>
  <c r="A559" i="8"/>
  <c r="L558" i="8"/>
  <c r="M558" i="8" s="1"/>
  <c r="K558" i="8"/>
  <c r="J558" i="8"/>
  <c r="F558" i="8"/>
  <c r="E558" i="8"/>
  <c r="A558" i="8"/>
  <c r="L557" i="8"/>
  <c r="N557" i="8" s="1"/>
  <c r="K557" i="8"/>
  <c r="J557" i="8"/>
  <c r="F557" i="8"/>
  <c r="E557" i="8"/>
  <c r="A557" i="8"/>
  <c r="L556" i="8"/>
  <c r="N556" i="8" s="1"/>
  <c r="K556" i="8"/>
  <c r="J556" i="8"/>
  <c r="F556" i="8"/>
  <c r="E556" i="8"/>
  <c r="A556" i="8"/>
  <c r="L555" i="8"/>
  <c r="M555" i="8" s="1"/>
  <c r="K555" i="8"/>
  <c r="J555" i="8"/>
  <c r="F555" i="8"/>
  <c r="E555" i="8"/>
  <c r="A555" i="8"/>
  <c r="L554" i="8"/>
  <c r="N554" i="8" s="1"/>
  <c r="K554" i="8"/>
  <c r="J554" i="8"/>
  <c r="F554" i="8"/>
  <c r="E554" i="8"/>
  <c r="A554" i="8"/>
  <c r="L553" i="8"/>
  <c r="K553" i="8"/>
  <c r="J553" i="8"/>
  <c r="F553" i="8"/>
  <c r="E553" i="8"/>
  <c r="A553" i="8"/>
  <c r="L552" i="8"/>
  <c r="M552" i="8" s="1"/>
  <c r="K552" i="8"/>
  <c r="J552" i="8"/>
  <c r="F552" i="8"/>
  <c r="E552" i="8"/>
  <c r="A552" i="8"/>
  <c r="L551" i="8"/>
  <c r="N551" i="8" s="1"/>
  <c r="K551" i="8"/>
  <c r="J551" i="8"/>
  <c r="F551" i="8"/>
  <c r="E551" i="8"/>
  <c r="A551" i="8"/>
  <c r="L550" i="8"/>
  <c r="N550" i="8" s="1"/>
  <c r="K550" i="8"/>
  <c r="J550" i="8"/>
  <c r="F550" i="8"/>
  <c r="E550" i="8"/>
  <c r="A550" i="8"/>
  <c r="L549" i="8"/>
  <c r="N549" i="8" s="1"/>
  <c r="K549" i="8"/>
  <c r="J549" i="8"/>
  <c r="F549" i="8"/>
  <c r="E549" i="8"/>
  <c r="A549" i="8"/>
  <c r="L548" i="8"/>
  <c r="K548" i="8"/>
  <c r="J548" i="8"/>
  <c r="F548" i="8"/>
  <c r="E548" i="8"/>
  <c r="A548" i="8"/>
  <c r="L547" i="8"/>
  <c r="M547" i="8" s="1"/>
  <c r="K547" i="8"/>
  <c r="J547" i="8"/>
  <c r="F547" i="8"/>
  <c r="E547" i="8"/>
  <c r="A547" i="8"/>
  <c r="L546" i="8"/>
  <c r="K546" i="8"/>
  <c r="J546" i="8"/>
  <c r="F546" i="8"/>
  <c r="E546" i="8"/>
  <c r="A546" i="8"/>
  <c r="L545" i="8"/>
  <c r="K545" i="8"/>
  <c r="J545" i="8"/>
  <c r="F545" i="8"/>
  <c r="E545" i="8"/>
  <c r="A545" i="8"/>
  <c r="L544" i="8"/>
  <c r="N544" i="8" s="1"/>
  <c r="K544" i="8"/>
  <c r="J544" i="8"/>
  <c r="F544" i="8"/>
  <c r="E544" i="8"/>
  <c r="A544" i="8"/>
  <c r="L543" i="8"/>
  <c r="K543" i="8"/>
  <c r="J543" i="8"/>
  <c r="F543" i="8"/>
  <c r="E543" i="8"/>
  <c r="A543" i="8"/>
  <c r="L542" i="8"/>
  <c r="K542" i="8"/>
  <c r="J542" i="8"/>
  <c r="F542" i="8"/>
  <c r="E542" i="8"/>
  <c r="A542" i="8"/>
  <c r="L541" i="8"/>
  <c r="N541" i="8" s="1"/>
  <c r="K541" i="8"/>
  <c r="J541" i="8"/>
  <c r="F541" i="8"/>
  <c r="E541" i="8"/>
  <c r="A541" i="8"/>
  <c r="L540" i="8"/>
  <c r="N540" i="8" s="1"/>
  <c r="K540" i="8"/>
  <c r="J540" i="8"/>
  <c r="F540" i="8"/>
  <c r="E540" i="8"/>
  <c r="A540" i="8"/>
  <c r="L539" i="8"/>
  <c r="K539" i="8"/>
  <c r="J539" i="8"/>
  <c r="F539" i="8"/>
  <c r="E539" i="8"/>
  <c r="A539" i="8"/>
  <c r="L538" i="8"/>
  <c r="N538" i="8" s="1"/>
  <c r="K538" i="8"/>
  <c r="J538" i="8"/>
  <c r="F538" i="8"/>
  <c r="E538" i="8"/>
  <c r="A538" i="8"/>
  <c r="L537" i="8"/>
  <c r="K537" i="8"/>
  <c r="J537" i="8"/>
  <c r="F537" i="8"/>
  <c r="E537" i="8"/>
  <c r="A537" i="8"/>
  <c r="L536" i="8"/>
  <c r="N536" i="8" s="1"/>
  <c r="K536" i="8"/>
  <c r="J536" i="8"/>
  <c r="F536" i="8"/>
  <c r="E536" i="8"/>
  <c r="A536" i="8"/>
  <c r="L535" i="8"/>
  <c r="N535" i="8" s="1"/>
  <c r="K535" i="8"/>
  <c r="J535" i="8"/>
  <c r="F535" i="8"/>
  <c r="E535" i="8"/>
  <c r="A535" i="8"/>
  <c r="L534" i="8"/>
  <c r="K534" i="8"/>
  <c r="J534" i="8"/>
  <c r="F534" i="8"/>
  <c r="E534" i="8"/>
  <c r="A534" i="8"/>
  <c r="L533" i="8"/>
  <c r="K533" i="8"/>
  <c r="J533" i="8"/>
  <c r="F533" i="8"/>
  <c r="E533" i="8"/>
  <c r="A533" i="8"/>
  <c r="L532" i="8"/>
  <c r="K532" i="8"/>
  <c r="J532" i="8"/>
  <c r="F532" i="8"/>
  <c r="E532" i="8"/>
  <c r="A532" i="8"/>
  <c r="L531" i="8"/>
  <c r="N531" i="8" s="1"/>
  <c r="K531" i="8"/>
  <c r="J531" i="8"/>
  <c r="F531" i="8"/>
  <c r="E531" i="8"/>
  <c r="A531" i="8"/>
  <c r="L530" i="8"/>
  <c r="K530" i="8"/>
  <c r="J530" i="8"/>
  <c r="F530" i="8"/>
  <c r="E530" i="8"/>
  <c r="A530" i="8"/>
  <c r="L529" i="8"/>
  <c r="M529" i="8" s="1"/>
  <c r="K529" i="8"/>
  <c r="J529" i="8"/>
  <c r="F529" i="8"/>
  <c r="E529" i="8"/>
  <c r="A529" i="8"/>
  <c r="L528" i="8"/>
  <c r="K528" i="8"/>
  <c r="J528" i="8"/>
  <c r="F528" i="8"/>
  <c r="E528" i="8"/>
  <c r="A528" i="8"/>
  <c r="L527" i="8"/>
  <c r="N527" i="8" s="1"/>
  <c r="K527" i="8"/>
  <c r="J527" i="8"/>
  <c r="F527" i="8"/>
  <c r="E527" i="8"/>
  <c r="A527" i="8"/>
  <c r="L526" i="8"/>
  <c r="N526" i="8" s="1"/>
  <c r="K526" i="8"/>
  <c r="J526" i="8"/>
  <c r="F526" i="8"/>
  <c r="E526" i="8"/>
  <c r="A526" i="8"/>
  <c r="L525" i="8"/>
  <c r="K525" i="8"/>
  <c r="J525" i="8"/>
  <c r="F525" i="8"/>
  <c r="E525" i="8"/>
  <c r="A525" i="8"/>
  <c r="L524" i="8"/>
  <c r="N524" i="8" s="1"/>
  <c r="K524" i="8"/>
  <c r="J524" i="8"/>
  <c r="F524" i="8"/>
  <c r="E524" i="8"/>
  <c r="A524" i="8"/>
  <c r="L523" i="8"/>
  <c r="M523" i="8" s="1"/>
  <c r="K523" i="8"/>
  <c r="J523" i="8"/>
  <c r="F523" i="8"/>
  <c r="E523" i="8"/>
  <c r="A523" i="8"/>
  <c r="L522" i="8"/>
  <c r="M522" i="8" s="1"/>
  <c r="K522" i="8"/>
  <c r="J522" i="8"/>
  <c r="F522" i="8"/>
  <c r="E522" i="8"/>
  <c r="A522" i="8"/>
  <c r="L521" i="8"/>
  <c r="N521" i="8" s="1"/>
  <c r="K521" i="8"/>
  <c r="J521" i="8"/>
  <c r="F521" i="8"/>
  <c r="E521" i="8"/>
  <c r="A521" i="8"/>
  <c r="L520" i="8"/>
  <c r="N520" i="8" s="1"/>
  <c r="K520" i="8"/>
  <c r="J520" i="8"/>
  <c r="F520" i="8"/>
  <c r="E520" i="8"/>
  <c r="A520" i="8"/>
  <c r="L519" i="8"/>
  <c r="M519" i="8" s="1"/>
  <c r="K519" i="8"/>
  <c r="J519" i="8"/>
  <c r="F519" i="8"/>
  <c r="E519" i="8"/>
  <c r="A519" i="8"/>
  <c r="L518" i="8"/>
  <c r="N518" i="8" s="1"/>
  <c r="K518" i="8"/>
  <c r="J518" i="8"/>
  <c r="F518" i="8"/>
  <c r="E518" i="8"/>
  <c r="A518" i="8"/>
  <c r="L517" i="8"/>
  <c r="K517" i="8"/>
  <c r="J517" i="8"/>
  <c r="F517" i="8"/>
  <c r="E517" i="8"/>
  <c r="A517" i="8"/>
  <c r="L516" i="8"/>
  <c r="K516" i="8"/>
  <c r="J516" i="8"/>
  <c r="F516" i="8"/>
  <c r="E516" i="8"/>
  <c r="A516" i="8"/>
  <c r="L515" i="8"/>
  <c r="K515" i="8"/>
  <c r="J515" i="8"/>
  <c r="F515" i="8"/>
  <c r="E515" i="8"/>
  <c r="A515" i="8"/>
  <c r="L514" i="8"/>
  <c r="N514" i="8" s="1"/>
  <c r="K514" i="8"/>
  <c r="J514" i="8"/>
  <c r="F514" i="8"/>
  <c r="E514" i="8"/>
  <c r="A514" i="8"/>
  <c r="L513" i="8"/>
  <c r="N513" i="8" s="1"/>
  <c r="K513" i="8"/>
  <c r="J513" i="8"/>
  <c r="F513" i="8"/>
  <c r="E513" i="8"/>
  <c r="A513" i="8"/>
  <c r="L512" i="8"/>
  <c r="K512" i="8"/>
  <c r="J512" i="8"/>
  <c r="F512" i="8"/>
  <c r="E512" i="8"/>
  <c r="A512" i="8"/>
  <c r="L511" i="8"/>
  <c r="K511" i="8"/>
  <c r="J511" i="8"/>
  <c r="F511" i="8"/>
  <c r="E511" i="8"/>
  <c r="A511" i="8"/>
  <c r="L510" i="8"/>
  <c r="K510" i="8"/>
  <c r="J510" i="8"/>
  <c r="F510" i="8"/>
  <c r="E510" i="8"/>
  <c r="A510" i="8"/>
  <c r="L509" i="8"/>
  <c r="N509" i="8" s="1"/>
  <c r="K509" i="8"/>
  <c r="J509" i="8"/>
  <c r="F509" i="8"/>
  <c r="E509" i="8"/>
  <c r="A509" i="8"/>
  <c r="L508" i="8"/>
  <c r="M508" i="8" s="1"/>
  <c r="K508" i="8"/>
  <c r="J508" i="8"/>
  <c r="F508" i="8"/>
  <c r="E508" i="8"/>
  <c r="A508" i="8"/>
  <c r="L507" i="8"/>
  <c r="N507" i="8" s="1"/>
  <c r="K507" i="8"/>
  <c r="J507" i="8"/>
  <c r="F507" i="8"/>
  <c r="E507" i="8"/>
  <c r="A507" i="8"/>
  <c r="L506" i="8"/>
  <c r="K506" i="8"/>
  <c r="J506" i="8"/>
  <c r="F506" i="8"/>
  <c r="E506" i="8"/>
  <c r="A506" i="8"/>
  <c r="L505" i="8"/>
  <c r="K505" i="8"/>
  <c r="J505" i="8"/>
  <c r="F505" i="8"/>
  <c r="E505" i="8"/>
  <c r="A505" i="8"/>
  <c r="L504" i="8"/>
  <c r="N504" i="8" s="1"/>
  <c r="K504" i="8"/>
  <c r="J504" i="8"/>
  <c r="F504" i="8"/>
  <c r="E504" i="8"/>
  <c r="A504" i="8"/>
  <c r="L503" i="8"/>
  <c r="N503" i="8" s="1"/>
  <c r="K503" i="8"/>
  <c r="J503" i="8"/>
  <c r="F503" i="8"/>
  <c r="E503" i="8"/>
  <c r="A503" i="8"/>
  <c r="L502" i="8"/>
  <c r="K502" i="8"/>
  <c r="J502" i="8"/>
  <c r="F502" i="8"/>
  <c r="E502" i="8"/>
  <c r="A502" i="8"/>
  <c r="L501" i="8"/>
  <c r="N501" i="8" s="1"/>
  <c r="K501" i="8"/>
  <c r="J501" i="8"/>
  <c r="F501" i="8"/>
  <c r="E501" i="8"/>
  <c r="A501" i="8"/>
  <c r="L500" i="8"/>
  <c r="N500" i="8" s="1"/>
  <c r="K500" i="8"/>
  <c r="J500" i="8"/>
  <c r="F500" i="8"/>
  <c r="E500" i="8"/>
  <c r="A500" i="8"/>
  <c r="L499" i="8"/>
  <c r="N499" i="8" s="1"/>
  <c r="K499" i="8"/>
  <c r="J499" i="8"/>
  <c r="F499" i="8"/>
  <c r="E499" i="8"/>
  <c r="A499" i="8"/>
  <c r="L498" i="8"/>
  <c r="K498" i="8"/>
  <c r="J498" i="8"/>
  <c r="F498" i="8"/>
  <c r="E498" i="8"/>
  <c r="A498" i="8"/>
  <c r="L497" i="8"/>
  <c r="N497" i="8" s="1"/>
  <c r="K497" i="8"/>
  <c r="J497" i="8"/>
  <c r="F497" i="8"/>
  <c r="E497" i="8"/>
  <c r="A497" i="8"/>
  <c r="L496" i="8"/>
  <c r="N496" i="8" s="1"/>
  <c r="K496" i="8"/>
  <c r="J496" i="8"/>
  <c r="F496" i="8"/>
  <c r="E496" i="8"/>
  <c r="A496" i="8"/>
  <c r="L495" i="8"/>
  <c r="N495" i="8" s="1"/>
  <c r="K495" i="8"/>
  <c r="J495" i="8"/>
  <c r="F495" i="8"/>
  <c r="E495" i="8"/>
  <c r="A495" i="8"/>
  <c r="L494" i="8"/>
  <c r="N494" i="8" s="1"/>
  <c r="K494" i="8"/>
  <c r="J494" i="8"/>
  <c r="F494" i="8"/>
  <c r="E494" i="8"/>
  <c r="A494" i="8"/>
  <c r="L493" i="8"/>
  <c r="K493" i="8"/>
  <c r="J493" i="8"/>
  <c r="F493" i="8"/>
  <c r="E493" i="8"/>
  <c r="A493" i="8"/>
  <c r="L492" i="8"/>
  <c r="K492" i="8"/>
  <c r="J492" i="8"/>
  <c r="F492" i="8"/>
  <c r="E492" i="8"/>
  <c r="A492" i="8"/>
  <c r="L491" i="8"/>
  <c r="N491" i="8" s="1"/>
  <c r="K491" i="8"/>
  <c r="J491" i="8"/>
  <c r="F491" i="8"/>
  <c r="E491" i="8"/>
  <c r="A491" i="8"/>
  <c r="L490" i="8"/>
  <c r="M490" i="8" s="1"/>
  <c r="K490" i="8"/>
  <c r="J490" i="8"/>
  <c r="F490" i="8"/>
  <c r="E490" i="8"/>
  <c r="A490" i="8"/>
  <c r="L489" i="8"/>
  <c r="N489" i="8" s="1"/>
  <c r="K489" i="8"/>
  <c r="J489" i="8"/>
  <c r="F489" i="8"/>
  <c r="E489" i="8"/>
  <c r="A489" i="8"/>
  <c r="L488" i="8"/>
  <c r="N488" i="8" s="1"/>
  <c r="K488" i="8"/>
  <c r="J488" i="8"/>
  <c r="F488" i="8"/>
  <c r="E488" i="8"/>
  <c r="A488" i="8"/>
  <c r="L487" i="8"/>
  <c r="N487" i="8" s="1"/>
  <c r="K487" i="8"/>
  <c r="J487" i="8"/>
  <c r="F487" i="8"/>
  <c r="E487" i="8"/>
  <c r="A487" i="8"/>
  <c r="L486" i="8"/>
  <c r="K486" i="8"/>
  <c r="J486" i="8"/>
  <c r="F486" i="8"/>
  <c r="E486" i="8"/>
  <c r="A486" i="8"/>
  <c r="L485" i="8"/>
  <c r="N485" i="8" s="1"/>
  <c r="K485" i="8"/>
  <c r="J485" i="8"/>
  <c r="F485" i="8"/>
  <c r="E485" i="8"/>
  <c r="A485" i="8"/>
  <c r="L484" i="8"/>
  <c r="N484" i="8" s="1"/>
  <c r="K484" i="8"/>
  <c r="J484" i="8"/>
  <c r="F484" i="8"/>
  <c r="E484" i="8"/>
  <c r="A484" i="8"/>
  <c r="L483" i="8"/>
  <c r="M483" i="8" s="1"/>
  <c r="K483" i="8"/>
  <c r="J483" i="8"/>
  <c r="F483" i="8"/>
  <c r="E483" i="8"/>
  <c r="A483" i="8"/>
  <c r="L482" i="8"/>
  <c r="N482" i="8" s="1"/>
  <c r="K482" i="8"/>
  <c r="J482" i="8"/>
  <c r="F482" i="8"/>
  <c r="E482" i="8"/>
  <c r="A482" i="8"/>
  <c r="L481" i="8"/>
  <c r="K481" i="8"/>
  <c r="J481" i="8"/>
  <c r="F481" i="8"/>
  <c r="E481" i="8"/>
  <c r="A481" i="8"/>
  <c r="L480" i="8"/>
  <c r="N480" i="8" s="1"/>
  <c r="K480" i="8"/>
  <c r="J480" i="8"/>
  <c r="F480" i="8"/>
  <c r="E480" i="8"/>
  <c r="A480" i="8"/>
  <c r="L479" i="8"/>
  <c r="N479" i="8" s="1"/>
  <c r="K479" i="8"/>
  <c r="J479" i="8"/>
  <c r="F479" i="8"/>
  <c r="E479" i="8"/>
  <c r="A479" i="8"/>
  <c r="L478" i="8"/>
  <c r="N478" i="8" s="1"/>
  <c r="K478" i="8"/>
  <c r="J478" i="8"/>
  <c r="F478" i="8"/>
  <c r="E478" i="8"/>
  <c r="A478" i="8"/>
  <c r="L477" i="8"/>
  <c r="K477" i="8"/>
  <c r="J477" i="8"/>
  <c r="F477" i="8"/>
  <c r="E477" i="8"/>
  <c r="A477" i="8"/>
  <c r="L476" i="8"/>
  <c r="N476" i="8" s="1"/>
  <c r="K476" i="8"/>
  <c r="J476" i="8"/>
  <c r="F476" i="8"/>
  <c r="E476" i="8"/>
  <c r="A476" i="8"/>
  <c r="L475" i="8"/>
  <c r="K475" i="8"/>
  <c r="J475" i="8"/>
  <c r="F475" i="8"/>
  <c r="E475" i="8"/>
  <c r="A475" i="8"/>
  <c r="L474" i="8"/>
  <c r="N474" i="8" s="1"/>
  <c r="K474" i="8"/>
  <c r="J474" i="8"/>
  <c r="F474" i="8"/>
  <c r="E474" i="8"/>
  <c r="A474" i="8"/>
  <c r="L473" i="8"/>
  <c r="K473" i="8"/>
  <c r="J473" i="8"/>
  <c r="F473" i="8"/>
  <c r="E473" i="8"/>
  <c r="A473" i="8"/>
  <c r="L472" i="8"/>
  <c r="M472" i="8" s="1"/>
  <c r="K472" i="8"/>
  <c r="J472" i="8"/>
  <c r="F472" i="8"/>
  <c r="E472" i="8"/>
  <c r="A472" i="8"/>
  <c r="L471" i="8"/>
  <c r="M471" i="8" s="1"/>
  <c r="K471" i="8"/>
  <c r="J471" i="8"/>
  <c r="F471" i="8"/>
  <c r="E471" i="8"/>
  <c r="A471" i="8"/>
  <c r="L470" i="8"/>
  <c r="K470" i="8"/>
  <c r="J470" i="8"/>
  <c r="F470" i="8"/>
  <c r="E470" i="8"/>
  <c r="A470" i="8"/>
  <c r="L469" i="8"/>
  <c r="N469" i="8" s="1"/>
  <c r="K469" i="8"/>
  <c r="J469" i="8"/>
  <c r="F469" i="8"/>
  <c r="E469" i="8"/>
  <c r="A469" i="8"/>
  <c r="L468" i="8"/>
  <c r="N468" i="8" s="1"/>
  <c r="K468" i="8"/>
  <c r="J468" i="8"/>
  <c r="F468" i="8"/>
  <c r="E468" i="8"/>
  <c r="A468" i="8"/>
  <c r="L467" i="8"/>
  <c r="N467" i="8" s="1"/>
  <c r="K467" i="8"/>
  <c r="J467" i="8"/>
  <c r="F467" i="8"/>
  <c r="E467" i="8"/>
  <c r="A467" i="8"/>
  <c r="L466" i="8"/>
  <c r="K466" i="8"/>
  <c r="J466" i="8"/>
  <c r="F466" i="8"/>
  <c r="E466" i="8"/>
  <c r="A466" i="8"/>
  <c r="L465" i="8"/>
  <c r="K465" i="8"/>
  <c r="J465" i="8"/>
  <c r="F465" i="8"/>
  <c r="E465" i="8"/>
  <c r="A465" i="8"/>
  <c r="L464" i="8"/>
  <c r="N464" i="8" s="1"/>
  <c r="K464" i="8"/>
  <c r="J464" i="8"/>
  <c r="F464" i="8"/>
  <c r="E464" i="8"/>
  <c r="A464" i="8"/>
  <c r="L463" i="8"/>
  <c r="K463" i="8"/>
  <c r="J463" i="8"/>
  <c r="F463" i="8"/>
  <c r="E463" i="8"/>
  <c r="A463" i="8"/>
  <c r="L462" i="8"/>
  <c r="K462" i="8"/>
  <c r="J462" i="8"/>
  <c r="F462" i="8"/>
  <c r="E462" i="8"/>
  <c r="A462" i="8"/>
  <c r="L461" i="8"/>
  <c r="N461" i="8" s="1"/>
  <c r="K461" i="8"/>
  <c r="J461" i="8"/>
  <c r="F461" i="8"/>
  <c r="E461" i="8"/>
  <c r="A461" i="8"/>
  <c r="L460" i="8"/>
  <c r="N460" i="8" s="1"/>
  <c r="K460" i="8"/>
  <c r="J460" i="8"/>
  <c r="F460" i="8"/>
  <c r="E460" i="8"/>
  <c r="A460" i="8"/>
  <c r="L459" i="8"/>
  <c r="N459" i="8" s="1"/>
  <c r="K459" i="8"/>
  <c r="J459" i="8"/>
  <c r="F459" i="8"/>
  <c r="E459" i="8"/>
  <c r="A459" i="8"/>
  <c r="L458" i="8"/>
  <c r="N458" i="8" s="1"/>
  <c r="K458" i="8"/>
  <c r="J458" i="8"/>
  <c r="F458" i="8"/>
  <c r="E458" i="8"/>
  <c r="A458" i="8"/>
  <c r="L457" i="8"/>
  <c r="M457" i="8" s="1"/>
  <c r="K457" i="8"/>
  <c r="J457" i="8"/>
  <c r="F457" i="8"/>
  <c r="E457" i="8"/>
  <c r="A457" i="8"/>
  <c r="L456" i="8"/>
  <c r="N456" i="8" s="1"/>
  <c r="K456" i="8"/>
  <c r="J456" i="8"/>
  <c r="F456" i="8"/>
  <c r="E456" i="8"/>
  <c r="A456" i="8"/>
  <c r="L455" i="8"/>
  <c r="K455" i="8"/>
  <c r="J455" i="8"/>
  <c r="F455" i="8"/>
  <c r="E455" i="8"/>
  <c r="A455" i="8"/>
  <c r="L454" i="8"/>
  <c r="N454" i="8" s="1"/>
  <c r="K454" i="8"/>
  <c r="J454" i="8"/>
  <c r="F454" i="8"/>
  <c r="E454" i="8"/>
  <c r="A454" i="8"/>
  <c r="L453" i="8"/>
  <c r="K453" i="8"/>
  <c r="J453" i="8"/>
  <c r="F453" i="8"/>
  <c r="E453" i="8"/>
  <c r="A453" i="8"/>
  <c r="L452" i="8"/>
  <c r="N452" i="8" s="1"/>
  <c r="K452" i="8"/>
  <c r="J452" i="8"/>
  <c r="F452" i="8"/>
  <c r="E452" i="8"/>
  <c r="A452" i="8"/>
  <c r="L451" i="8"/>
  <c r="K451" i="8"/>
  <c r="J451" i="8"/>
  <c r="F451" i="8"/>
  <c r="E451" i="8"/>
  <c r="A451" i="8"/>
  <c r="L450" i="8"/>
  <c r="M450" i="8" s="1"/>
  <c r="K450" i="8"/>
  <c r="J450" i="8"/>
  <c r="F450" i="8"/>
  <c r="E450" i="8"/>
  <c r="A450" i="8"/>
  <c r="L449" i="8"/>
  <c r="N449" i="8" s="1"/>
  <c r="K449" i="8"/>
  <c r="J449" i="8"/>
  <c r="F449" i="8"/>
  <c r="E449" i="8"/>
  <c r="A449" i="8"/>
  <c r="L448" i="8"/>
  <c r="N448" i="8" s="1"/>
  <c r="K448" i="8"/>
  <c r="J448" i="8"/>
  <c r="F448" i="8"/>
  <c r="E448" i="8"/>
  <c r="A448" i="8"/>
  <c r="L447" i="8"/>
  <c r="N447" i="8" s="1"/>
  <c r="K447" i="8"/>
  <c r="J447" i="8"/>
  <c r="F447" i="8"/>
  <c r="E447" i="8"/>
  <c r="A447" i="8"/>
  <c r="L446" i="8"/>
  <c r="K446" i="8"/>
  <c r="J446" i="8"/>
  <c r="F446" i="8"/>
  <c r="E446" i="8"/>
  <c r="A446" i="8"/>
  <c r="L445" i="8"/>
  <c r="N445" i="8" s="1"/>
  <c r="K445" i="8"/>
  <c r="J445" i="8"/>
  <c r="F445" i="8"/>
  <c r="E445" i="8"/>
  <c r="A445" i="8"/>
  <c r="L444" i="8"/>
  <c r="K444" i="8"/>
  <c r="J444" i="8"/>
  <c r="F444" i="8"/>
  <c r="E444" i="8"/>
  <c r="A444" i="8"/>
  <c r="L443" i="8"/>
  <c r="K443" i="8"/>
  <c r="J443" i="8"/>
  <c r="F443" i="8"/>
  <c r="E443" i="8"/>
  <c r="A443" i="8"/>
  <c r="L442" i="8"/>
  <c r="N442" i="8" s="1"/>
  <c r="K442" i="8"/>
  <c r="J442" i="8"/>
  <c r="F442" i="8"/>
  <c r="E442" i="8"/>
  <c r="A442" i="8"/>
  <c r="L441" i="8"/>
  <c r="K441" i="8"/>
  <c r="J441" i="8"/>
  <c r="F441" i="8"/>
  <c r="E441" i="8"/>
  <c r="A441" i="8"/>
  <c r="L440" i="8"/>
  <c r="N440" i="8" s="1"/>
  <c r="K440" i="8"/>
  <c r="J440" i="8"/>
  <c r="F440" i="8"/>
  <c r="E440" i="8"/>
  <c r="A440" i="8"/>
  <c r="L439" i="8"/>
  <c r="M439" i="8" s="1"/>
  <c r="K439" i="8"/>
  <c r="J439" i="8"/>
  <c r="F439" i="8"/>
  <c r="E439" i="8"/>
  <c r="A439" i="8"/>
  <c r="L438" i="8"/>
  <c r="N438" i="8" s="1"/>
  <c r="K438" i="8"/>
  <c r="J438" i="8"/>
  <c r="F438" i="8"/>
  <c r="E438" i="8"/>
  <c r="A438" i="8"/>
  <c r="L437" i="8"/>
  <c r="N437" i="8" s="1"/>
  <c r="K437" i="8"/>
  <c r="J437" i="8"/>
  <c r="F437" i="8"/>
  <c r="E437" i="8"/>
  <c r="A437" i="8"/>
  <c r="L436" i="8"/>
  <c r="N436" i="8" s="1"/>
  <c r="K436" i="8"/>
  <c r="J436" i="8"/>
  <c r="F436" i="8"/>
  <c r="E436" i="8"/>
  <c r="A436" i="8"/>
  <c r="L435" i="8"/>
  <c r="M435" i="8" s="1"/>
  <c r="K435" i="8"/>
  <c r="J435" i="8"/>
  <c r="F435" i="8"/>
  <c r="E435" i="8"/>
  <c r="A435" i="8"/>
  <c r="L434" i="8"/>
  <c r="N434" i="8" s="1"/>
  <c r="K434" i="8"/>
  <c r="J434" i="8"/>
  <c r="F434" i="8"/>
  <c r="E434" i="8"/>
  <c r="A434" i="8"/>
  <c r="L433" i="8"/>
  <c r="N433" i="8" s="1"/>
  <c r="K433" i="8"/>
  <c r="J433" i="8"/>
  <c r="F433" i="8"/>
  <c r="E433" i="8"/>
  <c r="A433" i="8"/>
  <c r="L432" i="8"/>
  <c r="N432" i="8" s="1"/>
  <c r="K432" i="8"/>
  <c r="J432" i="8"/>
  <c r="F432" i="8"/>
  <c r="E432" i="8"/>
  <c r="A432" i="8"/>
  <c r="L431" i="8"/>
  <c r="N431" i="8" s="1"/>
  <c r="K431" i="8"/>
  <c r="J431" i="8"/>
  <c r="F431" i="8"/>
  <c r="E431" i="8"/>
  <c r="A431" i="8"/>
  <c r="L430" i="8"/>
  <c r="K430" i="8"/>
  <c r="J430" i="8"/>
  <c r="F430" i="8"/>
  <c r="E430" i="8"/>
  <c r="A430" i="8"/>
  <c r="L429" i="8"/>
  <c r="K429" i="8"/>
  <c r="J429" i="8"/>
  <c r="F429" i="8"/>
  <c r="E429" i="8"/>
  <c r="A429" i="8"/>
  <c r="L428" i="8"/>
  <c r="N428" i="8" s="1"/>
  <c r="K428" i="8"/>
  <c r="J428" i="8"/>
  <c r="F428" i="8"/>
  <c r="E428" i="8"/>
  <c r="A428" i="8"/>
  <c r="L427" i="8"/>
  <c r="N427" i="8" s="1"/>
  <c r="K427" i="8"/>
  <c r="J427" i="8"/>
  <c r="F427" i="8"/>
  <c r="E427" i="8"/>
  <c r="A427" i="8"/>
  <c r="L426" i="8"/>
  <c r="M426" i="8" s="1"/>
  <c r="K426" i="8"/>
  <c r="J426" i="8"/>
  <c r="F426" i="8"/>
  <c r="E426" i="8"/>
  <c r="A426" i="8"/>
  <c r="L425" i="8"/>
  <c r="N425" i="8" s="1"/>
  <c r="K425" i="8"/>
  <c r="J425" i="8"/>
  <c r="F425" i="8"/>
  <c r="E425" i="8"/>
  <c r="A425" i="8"/>
  <c r="L424" i="8"/>
  <c r="K424" i="8"/>
  <c r="J424" i="8"/>
  <c r="F424" i="8"/>
  <c r="E424" i="8"/>
  <c r="A424" i="8"/>
  <c r="L423" i="8"/>
  <c r="N423" i="8" s="1"/>
  <c r="K423" i="8"/>
  <c r="J423" i="8"/>
  <c r="F423" i="8"/>
  <c r="E423" i="8"/>
  <c r="A423" i="8"/>
  <c r="L422" i="8"/>
  <c r="N422" i="8" s="1"/>
  <c r="K422" i="8"/>
  <c r="J422" i="8"/>
  <c r="F422" i="8"/>
  <c r="E422" i="8"/>
  <c r="A422" i="8"/>
  <c r="L421" i="8"/>
  <c r="K421" i="8"/>
  <c r="J421" i="8"/>
  <c r="F421" i="8"/>
  <c r="E421" i="8"/>
  <c r="A421" i="8"/>
  <c r="L420" i="8"/>
  <c r="N420" i="8" s="1"/>
  <c r="K420" i="8"/>
  <c r="J420" i="8"/>
  <c r="F420" i="8"/>
  <c r="E420" i="8"/>
  <c r="A420" i="8"/>
  <c r="L419" i="8"/>
  <c r="K419" i="8"/>
  <c r="J419" i="8"/>
  <c r="F419" i="8"/>
  <c r="E419" i="8"/>
  <c r="A419" i="8"/>
  <c r="L418" i="8"/>
  <c r="K418" i="8"/>
  <c r="J418" i="8"/>
  <c r="F418" i="8"/>
  <c r="E418" i="8"/>
  <c r="A418" i="8"/>
  <c r="L417" i="8"/>
  <c r="K417" i="8"/>
  <c r="J417" i="8"/>
  <c r="F417" i="8"/>
  <c r="E417" i="8"/>
  <c r="A417" i="8"/>
  <c r="L416" i="8"/>
  <c r="N416" i="8" s="1"/>
  <c r="K416" i="8"/>
  <c r="J416" i="8"/>
  <c r="F416" i="8"/>
  <c r="E416" i="8"/>
  <c r="A416" i="8"/>
  <c r="L415" i="8"/>
  <c r="M415" i="8" s="1"/>
  <c r="K415" i="8"/>
  <c r="J415" i="8"/>
  <c r="F415" i="8"/>
  <c r="E415" i="8"/>
  <c r="A415" i="8"/>
  <c r="L414" i="8"/>
  <c r="M414" i="8" s="1"/>
  <c r="K414" i="8"/>
  <c r="J414" i="8"/>
  <c r="F414" i="8"/>
  <c r="E414" i="8"/>
  <c r="A414" i="8"/>
  <c r="L413" i="8"/>
  <c r="N413" i="8" s="1"/>
  <c r="K413" i="8"/>
  <c r="J413" i="8"/>
  <c r="F413" i="8"/>
  <c r="E413" i="8"/>
  <c r="A413" i="8"/>
  <c r="L412" i="8"/>
  <c r="M412" i="8" s="1"/>
  <c r="K412" i="8"/>
  <c r="J412" i="8"/>
  <c r="F412" i="8"/>
  <c r="E412" i="8"/>
  <c r="A412" i="8"/>
  <c r="L411" i="8"/>
  <c r="K411" i="8"/>
  <c r="J411" i="8"/>
  <c r="F411" i="8"/>
  <c r="E411" i="8"/>
  <c r="A411" i="8"/>
  <c r="L410" i="8"/>
  <c r="N410" i="8" s="1"/>
  <c r="K410" i="8"/>
  <c r="J410" i="8"/>
  <c r="F410" i="8"/>
  <c r="E410" i="8"/>
  <c r="A410" i="8"/>
  <c r="L409" i="8"/>
  <c r="M409" i="8" s="1"/>
  <c r="K409" i="8"/>
  <c r="J409" i="8"/>
  <c r="F409" i="8"/>
  <c r="E409" i="8"/>
  <c r="A409" i="8"/>
  <c r="L408" i="8"/>
  <c r="K408" i="8"/>
  <c r="J408" i="8"/>
  <c r="F408" i="8"/>
  <c r="E408" i="8"/>
  <c r="A408" i="8"/>
  <c r="L407" i="8"/>
  <c r="K407" i="8"/>
  <c r="J407" i="8"/>
  <c r="F407" i="8"/>
  <c r="E407" i="8"/>
  <c r="A407" i="8"/>
  <c r="L406" i="8"/>
  <c r="K406" i="8"/>
  <c r="J406" i="8"/>
  <c r="F406" i="8"/>
  <c r="E406" i="8"/>
  <c r="A406" i="8"/>
  <c r="L405" i="8"/>
  <c r="K405" i="8"/>
  <c r="J405" i="8"/>
  <c r="F405" i="8"/>
  <c r="E405" i="8"/>
  <c r="A405" i="8"/>
  <c r="L404" i="8"/>
  <c r="K404" i="8"/>
  <c r="J404" i="8"/>
  <c r="F404" i="8"/>
  <c r="E404" i="8"/>
  <c r="A404" i="8"/>
  <c r="L403" i="8"/>
  <c r="K403" i="8"/>
  <c r="J403" i="8"/>
  <c r="F403" i="8"/>
  <c r="E403" i="8"/>
  <c r="A403" i="8"/>
  <c r="L402" i="8"/>
  <c r="N402" i="8" s="1"/>
  <c r="K402" i="8"/>
  <c r="J402" i="8"/>
  <c r="F402" i="8"/>
  <c r="E402" i="8"/>
  <c r="A402" i="8"/>
  <c r="L401" i="8"/>
  <c r="N401" i="8" s="1"/>
  <c r="K401" i="8"/>
  <c r="J401" i="8"/>
  <c r="F401" i="8"/>
  <c r="E401" i="8"/>
  <c r="A401" i="8"/>
  <c r="L400" i="8"/>
  <c r="N400" i="8" s="1"/>
  <c r="K400" i="8"/>
  <c r="J400" i="8"/>
  <c r="F400" i="8"/>
  <c r="E400" i="8"/>
  <c r="A400" i="8"/>
  <c r="L399" i="8"/>
  <c r="M399" i="8" s="1"/>
  <c r="K399" i="8"/>
  <c r="J399" i="8"/>
  <c r="F399" i="8"/>
  <c r="E399" i="8"/>
  <c r="A399" i="8"/>
  <c r="L398" i="8"/>
  <c r="N398" i="8" s="1"/>
  <c r="K398" i="8"/>
  <c r="J398" i="8"/>
  <c r="F398" i="8"/>
  <c r="E398" i="8"/>
  <c r="A398" i="8"/>
  <c r="L397" i="8"/>
  <c r="K397" i="8"/>
  <c r="J397" i="8"/>
  <c r="F397" i="8"/>
  <c r="E397" i="8"/>
  <c r="A397" i="8"/>
  <c r="L396" i="8"/>
  <c r="N396" i="8" s="1"/>
  <c r="K396" i="8"/>
  <c r="J396" i="8"/>
  <c r="F396" i="8"/>
  <c r="E396" i="8"/>
  <c r="A396" i="8"/>
  <c r="L395" i="8"/>
  <c r="N395" i="8" s="1"/>
  <c r="K395" i="8"/>
  <c r="J395" i="8"/>
  <c r="F395" i="8"/>
  <c r="E395" i="8"/>
  <c r="A395" i="8"/>
  <c r="L394" i="8"/>
  <c r="K394" i="8"/>
  <c r="J394" i="8"/>
  <c r="F394" i="8"/>
  <c r="E394" i="8"/>
  <c r="A394" i="8"/>
  <c r="L393" i="8"/>
  <c r="M393" i="8" s="1"/>
  <c r="K393" i="8"/>
  <c r="J393" i="8"/>
  <c r="F393" i="8"/>
  <c r="E393" i="8"/>
  <c r="A393" i="8"/>
  <c r="L392" i="8"/>
  <c r="N392" i="8" s="1"/>
  <c r="K392" i="8"/>
  <c r="J392" i="8"/>
  <c r="F392" i="8"/>
  <c r="E392" i="8"/>
  <c r="A392" i="8"/>
  <c r="L391" i="8"/>
  <c r="N391" i="8" s="1"/>
  <c r="K391" i="8"/>
  <c r="J391" i="8"/>
  <c r="F391" i="8"/>
  <c r="E391" i="8"/>
  <c r="A391" i="8"/>
  <c r="L390" i="8"/>
  <c r="K390" i="8"/>
  <c r="J390" i="8"/>
  <c r="F390" i="8"/>
  <c r="E390" i="8"/>
  <c r="A390" i="8"/>
  <c r="L389" i="8"/>
  <c r="K389" i="8"/>
  <c r="J389" i="8"/>
  <c r="F389" i="8"/>
  <c r="E389" i="8"/>
  <c r="A389" i="8"/>
  <c r="L388" i="8"/>
  <c r="K388" i="8"/>
  <c r="J388" i="8"/>
  <c r="F388" i="8"/>
  <c r="E388" i="8"/>
  <c r="A388" i="8"/>
  <c r="L387" i="8"/>
  <c r="N387" i="8" s="1"/>
  <c r="K387" i="8"/>
  <c r="J387" i="8"/>
  <c r="F387" i="8"/>
  <c r="E387" i="8"/>
  <c r="A387" i="8"/>
  <c r="L386" i="8"/>
  <c r="N386" i="8" s="1"/>
  <c r="K386" i="8"/>
  <c r="J386" i="8"/>
  <c r="F386" i="8"/>
  <c r="E386" i="8"/>
  <c r="A386" i="8"/>
  <c r="L385" i="8"/>
  <c r="N385" i="8" s="1"/>
  <c r="K385" i="8"/>
  <c r="J385" i="8"/>
  <c r="F385" i="8"/>
  <c r="E385" i="8"/>
  <c r="A385" i="8"/>
  <c r="L384" i="8"/>
  <c r="N384" i="8" s="1"/>
  <c r="K384" i="8"/>
  <c r="J384" i="8"/>
  <c r="F384" i="8"/>
  <c r="E384" i="8"/>
  <c r="A384" i="8"/>
  <c r="L383" i="8"/>
  <c r="K383" i="8"/>
  <c r="J383" i="8"/>
  <c r="F383" i="8"/>
  <c r="E383" i="8"/>
  <c r="A383" i="8"/>
  <c r="L382" i="8"/>
  <c r="K382" i="8"/>
  <c r="J382" i="8"/>
  <c r="F382" i="8"/>
  <c r="E382" i="8"/>
  <c r="A382" i="8"/>
  <c r="L381" i="8"/>
  <c r="N381" i="8" s="1"/>
  <c r="K381" i="8"/>
  <c r="J381" i="8"/>
  <c r="F381" i="8"/>
  <c r="E381" i="8"/>
  <c r="A381" i="8"/>
  <c r="L380" i="8"/>
  <c r="N380" i="8" s="1"/>
  <c r="K380" i="8"/>
  <c r="J380" i="8"/>
  <c r="F380" i="8"/>
  <c r="E380" i="8"/>
  <c r="A380" i="8"/>
  <c r="L379" i="8"/>
  <c r="N379" i="8" s="1"/>
  <c r="K379" i="8"/>
  <c r="J379" i="8"/>
  <c r="F379" i="8"/>
  <c r="E379" i="8"/>
  <c r="A379" i="8"/>
  <c r="L378" i="8"/>
  <c r="N378" i="8" s="1"/>
  <c r="K378" i="8"/>
  <c r="J378" i="8"/>
  <c r="F378" i="8"/>
  <c r="E378" i="8"/>
  <c r="A378" i="8"/>
  <c r="L377" i="8"/>
  <c r="N377" i="8" s="1"/>
  <c r="K377" i="8"/>
  <c r="J377" i="8"/>
  <c r="F377" i="8"/>
  <c r="E377" i="8"/>
  <c r="A377" i="8"/>
  <c r="L376" i="8"/>
  <c r="K376" i="8"/>
  <c r="J376" i="8"/>
  <c r="F376" i="8"/>
  <c r="E376" i="8"/>
  <c r="A376" i="8"/>
  <c r="L375" i="8"/>
  <c r="K375" i="8"/>
  <c r="J375" i="8"/>
  <c r="F375" i="8"/>
  <c r="E375" i="8"/>
  <c r="A375" i="8"/>
  <c r="L374" i="8"/>
  <c r="N374" i="8" s="1"/>
  <c r="K374" i="8"/>
  <c r="J374" i="8"/>
  <c r="F374" i="8"/>
  <c r="E374" i="8"/>
  <c r="A374" i="8"/>
  <c r="L373" i="8"/>
  <c r="K373" i="8"/>
  <c r="J373" i="8"/>
  <c r="F373" i="8"/>
  <c r="E373" i="8"/>
  <c r="A373" i="8"/>
  <c r="L372" i="8"/>
  <c r="K372" i="8"/>
  <c r="J372" i="8"/>
  <c r="F372" i="8"/>
  <c r="E372" i="8"/>
  <c r="A372" i="8"/>
  <c r="L371" i="8"/>
  <c r="K371" i="8"/>
  <c r="J371" i="8"/>
  <c r="F371" i="8"/>
  <c r="E371" i="8"/>
  <c r="A371" i="8"/>
  <c r="L370" i="8"/>
  <c r="M370" i="8" s="1"/>
  <c r="K370" i="8"/>
  <c r="J370" i="8"/>
  <c r="F370" i="8"/>
  <c r="E370" i="8"/>
  <c r="A370" i="8"/>
  <c r="L369" i="8"/>
  <c r="K369" i="8"/>
  <c r="J369" i="8"/>
  <c r="F369" i="8"/>
  <c r="E369" i="8"/>
  <c r="A369" i="8"/>
  <c r="L368" i="8"/>
  <c r="K368" i="8"/>
  <c r="J368" i="8"/>
  <c r="F368" i="8"/>
  <c r="E368" i="8"/>
  <c r="A368" i="8"/>
  <c r="L367" i="8"/>
  <c r="K367" i="8"/>
  <c r="J367" i="8"/>
  <c r="F367" i="8"/>
  <c r="E367" i="8"/>
  <c r="A367" i="8"/>
  <c r="L366" i="8"/>
  <c r="N366" i="8" s="1"/>
  <c r="K366" i="8"/>
  <c r="J366" i="8"/>
  <c r="F366" i="8"/>
  <c r="E366" i="8"/>
  <c r="A366" i="8"/>
  <c r="L365" i="8"/>
  <c r="K365" i="8"/>
  <c r="J365" i="8"/>
  <c r="F365" i="8"/>
  <c r="E365" i="8"/>
  <c r="A365" i="8"/>
  <c r="L364" i="8"/>
  <c r="K364" i="8"/>
  <c r="J364" i="8"/>
  <c r="F364" i="8"/>
  <c r="E364" i="8"/>
  <c r="A364" i="8"/>
  <c r="L363" i="8"/>
  <c r="M363" i="8" s="1"/>
  <c r="K363" i="8"/>
  <c r="J363" i="8"/>
  <c r="F363" i="8"/>
  <c r="E363" i="8"/>
  <c r="A363" i="8"/>
  <c r="L362" i="8"/>
  <c r="K362" i="8"/>
  <c r="J362" i="8"/>
  <c r="F362" i="8"/>
  <c r="E362" i="8"/>
  <c r="A362" i="8"/>
  <c r="L361" i="8"/>
  <c r="K361" i="8"/>
  <c r="J361" i="8"/>
  <c r="F361" i="8"/>
  <c r="E361" i="8"/>
  <c r="A361" i="8"/>
  <c r="L360" i="8"/>
  <c r="N360" i="8" s="1"/>
  <c r="K360" i="8"/>
  <c r="J360" i="8"/>
  <c r="F360" i="8"/>
  <c r="E360" i="8"/>
  <c r="A360" i="8"/>
  <c r="L359" i="8"/>
  <c r="K359" i="8"/>
  <c r="J359" i="8"/>
  <c r="F359" i="8"/>
  <c r="E359" i="8"/>
  <c r="A359" i="8"/>
  <c r="L358" i="8"/>
  <c r="K358" i="8"/>
  <c r="J358" i="8"/>
  <c r="F358" i="8"/>
  <c r="E358" i="8"/>
  <c r="A358" i="8"/>
  <c r="L357" i="8"/>
  <c r="M357" i="8" s="1"/>
  <c r="K357" i="8"/>
  <c r="J357" i="8"/>
  <c r="F357" i="8"/>
  <c r="E357" i="8"/>
  <c r="A357" i="8"/>
  <c r="L356" i="8"/>
  <c r="N356" i="8" s="1"/>
  <c r="K356" i="8"/>
  <c r="J356" i="8"/>
  <c r="F356" i="8"/>
  <c r="E356" i="8"/>
  <c r="A356" i="8"/>
  <c r="L355" i="8"/>
  <c r="N355" i="8" s="1"/>
  <c r="K355" i="8"/>
  <c r="J355" i="8"/>
  <c r="F355" i="8"/>
  <c r="E355" i="8"/>
  <c r="A355" i="8"/>
  <c r="L354" i="8"/>
  <c r="N354" i="8" s="1"/>
  <c r="K354" i="8"/>
  <c r="J354" i="8"/>
  <c r="F354" i="8"/>
  <c r="E354" i="8"/>
  <c r="A354" i="8"/>
  <c r="L353" i="8"/>
  <c r="K353" i="8"/>
  <c r="J353" i="8"/>
  <c r="F353" i="8"/>
  <c r="E353" i="8"/>
  <c r="A353" i="8"/>
  <c r="L352" i="8"/>
  <c r="K352" i="8"/>
  <c r="J352" i="8"/>
  <c r="F352" i="8"/>
  <c r="E352" i="8"/>
  <c r="A352" i="8"/>
  <c r="L351" i="8"/>
  <c r="N351" i="8" s="1"/>
  <c r="K351" i="8"/>
  <c r="J351" i="8"/>
  <c r="F351" i="8"/>
  <c r="E351" i="8"/>
  <c r="A351" i="8"/>
  <c r="L350" i="8"/>
  <c r="K350" i="8"/>
  <c r="J350" i="8"/>
  <c r="F350" i="8"/>
  <c r="E350" i="8"/>
  <c r="A350" i="8"/>
  <c r="L349" i="8"/>
  <c r="N349" i="8" s="1"/>
  <c r="K349" i="8"/>
  <c r="J349" i="8"/>
  <c r="F349" i="8"/>
  <c r="E349" i="8"/>
  <c r="A349" i="8"/>
  <c r="L348" i="8"/>
  <c r="N348" i="8" s="1"/>
  <c r="K348" i="8"/>
  <c r="J348" i="8"/>
  <c r="F348" i="8"/>
  <c r="E348" i="8"/>
  <c r="A348" i="8"/>
  <c r="L347" i="8"/>
  <c r="K347" i="8"/>
  <c r="J347" i="8"/>
  <c r="F347" i="8"/>
  <c r="E347" i="8"/>
  <c r="A347" i="8"/>
  <c r="L346" i="8"/>
  <c r="M346" i="8" s="1"/>
  <c r="K346" i="8"/>
  <c r="J346" i="8"/>
  <c r="F346" i="8"/>
  <c r="E346" i="8"/>
  <c r="A346" i="8"/>
  <c r="L345" i="8"/>
  <c r="M345" i="8" s="1"/>
  <c r="K345" i="8"/>
  <c r="J345" i="8"/>
  <c r="F345" i="8"/>
  <c r="E345" i="8"/>
  <c r="A345" i="8"/>
  <c r="L344" i="8"/>
  <c r="N344" i="8" s="1"/>
  <c r="K344" i="8"/>
  <c r="J344" i="8"/>
  <c r="F344" i="8"/>
  <c r="E344" i="8"/>
  <c r="A344" i="8"/>
  <c r="L343" i="8"/>
  <c r="K343" i="8"/>
  <c r="J343" i="8"/>
  <c r="F343" i="8"/>
  <c r="E343" i="8"/>
  <c r="A343" i="8"/>
  <c r="L342" i="8"/>
  <c r="N342" i="8" s="1"/>
  <c r="K342" i="8"/>
  <c r="J342" i="8"/>
  <c r="F342" i="8"/>
  <c r="E342" i="8"/>
  <c r="A342" i="8"/>
  <c r="L341" i="8"/>
  <c r="N341" i="8" s="1"/>
  <c r="K341" i="8"/>
  <c r="J341" i="8"/>
  <c r="F341" i="8"/>
  <c r="E341" i="8"/>
  <c r="A341" i="8"/>
  <c r="L340" i="8"/>
  <c r="M340" i="8" s="1"/>
  <c r="K340" i="8"/>
  <c r="J340" i="8"/>
  <c r="F340" i="8"/>
  <c r="E340" i="8"/>
  <c r="A340" i="8"/>
  <c r="L339" i="8"/>
  <c r="K339" i="8"/>
  <c r="J339" i="8"/>
  <c r="F339" i="8"/>
  <c r="E339" i="8"/>
  <c r="A339" i="8"/>
  <c r="L338" i="8"/>
  <c r="N338" i="8" s="1"/>
  <c r="K338" i="8"/>
  <c r="J338" i="8"/>
  <c r="F338" i="8"/>
  <c r="E338" i="8"/>
  <c r="A338" i="8"/>
  <c r="L337" i="8"/>
  <c r="N337" i="8" s="1"/>
  <c r="K337" i="8"/>
  <c r="J337" i="8"/>
  <c r="F337" i="8"/>
  <c r="E337" i="8"/>
  <c r="A337" i="8"/>
  <c r="L336" i="8"/>
  <c r="N336" i="8" s="1"/>
  <c r="K336" i="8"/>
  <c r="J336" i="8"/>
  <c r="F336" i="8"/>
  <c r="E336" i="8"/>
  <c r="A336" i="8"/>
  <c r="L335" i="8"/>
  <c r="K335" i="8"/>
  <c r="J335" i="8"/>
  <c r="F335" i="8"/>
  <c r="E335" i="8"/>
  <c r="A335" i="8"/>
  <c r="L334" i="8"/>
  <c r="K334" i="8"/>
  <c r="J334" i="8"/>
  <c r="F334" i="8"/>
  <c r="E334" i="8"/>
  <c r="A334" i="8"/>
  <c r="L333" i="8"/>
  <c r="K333" i="8"/>
  <c r="J333" i="8"/>
  <c r="F333" i="8"/>
  <c r="E333" i="8"/>
  <c r="A333" i="8"/>
  <c r="L332" i="8"/>
  <c r="N332" i="8" s="1"/>
  <c r="K332" i="8"/>
  <c r="J332" i="8"/>
  <c r="F332" i="8"/>
  <c r="E332" i="8"/>
  <c r="A332" i="8"/>
  <c r="L331" i="8"/>
  <c r="N331" i="8" s="1"/>
  <c r="K331" i="8"/>
  <c r="J331" i="8"/>
  <c r="F331" i="8"/>
  <c r="E331" i="8"/>
  <c r="A331" i="8"/>
  <c r="L330" i="8"/>
  <c r="N330" i="8" s="1"/>
  <c r="K330" i="8"/>
  <c r="J330" i="8"/>
  <c r="F330" i="8"/>
  <c r="E330" i="8"/>
  <c r="A330" i="8"/>
  <c r="L329" i="8"/>
  <c r="N329" i="8" s="1"/>
  <c r="K329" i="8"/>
  <c r="J329" i="8"/>
  <c r="F329" i="8"/>
  <c r="E329" i="8"/>
  <c r="A329" i="8"/>
  <c r="L328" i="8"/>
  <c r="M328" i="8" s="1"/>
  <c r="K328" i="8"/>
  <c r="J328" i="8"/>
  <c r="F328" i="8"/>
  <c r="E328" i="8"/>
  <c r="A328" i="8"/>
  <c r="L327" i="8"/>
  <c r="M327" i="8" s="1"/>
  <c r="K327" i="8"/>
  <c r="J327" i="8"/>
  <c r="F327" i="8"/>
  <c r="E327" i="8"/>
  <c r="A327" i="8"/>
  <c r="L326" i="8"/>
  <c r="N326" i="8" s="1"/>
  <c r="K326" i="8"/>
  <c r="J326" i="8"/>
  <c r="F326" i="8"/>
  <c r="E326" i="8"/>
  <c r="A326" i="8"/>
  <c r="L325" i="8"/>
  <c r="K325" i="8"/>
  <c r="J325" i="8"/>
  <c r="F325" i="8"/>
  <c r="E325" i="8"/>
  <c r="A325" i="8"/>
  <c r="L324" i="8"/>
  <c r="M324" i="8" s="1"/>
  <c r="K324" i="8"/>
  <c r="J324" i="8"/>
  <c r="F324" i="8"/>
  <c r="E324" i="8"/>
  <c r="A324" i="8"/>
  <c r="L323" i="8"/>
  <c r="M323" i="8" s="1"/>
  <c r="K323" i="8"/>
  <c r="J323" i="8"/>
  <c r="F323" i="8"/>
  <c r="E323" i="8"/>
  <c r="A323" i="8"/>
  <c r="L322" i="8"/>
  <c r="M322" i="8" s="1"/>
  <c r="K322" i="8"/>
  <c r="J322" i="8"/>
  <c r="F322" i="8"/>
  <c r="E322" i="8"/>
  <c r="A322" i="8"/>
  <c r="L321" i="8"/>
  <c r="M321" i="8" s="1"/>
  <c r="K321" i="8"/>
  <c r="J321" i="8"/>
  <c r="F321" i="8"/>
  <c r="E321" i="8"/>
  <c r="A321" i="8"/>
  <c r="L320" i="8"/>
  <c r="N320" i="8" s="1"/>
  <c r="K320" i="8"/>
  <c r="J320" i="8"/>
  <c r="F320" i="8"/>
  <c r="E320" i="8"/>
  <c r="A320" i="8"/>
  <c r="L319" i="8"/>
  <c r="N319" i="8" s="1"/>
  <c r="K319" i="8"/>
  <c r="J319" i="8"/>
  <c r="F319" i="8"/>
  <c r="E319" i="8"/>
  <c r="A319" i="8"/>
  <c r="L318" i="8"/>
  <c r="M318" i="8" s="1"/>
  <c r="K318" i="8"/>
  <c r="J318" i="8"/>
  <c r="F318" i="8"/>
  <c r="E318" i="8"/>
  <c r="A318" i="8"/>
  <c r="L317" i="8"/>
  <c r="M317" i="8" s="1"/>
  <c r="K317" i="8"/>
  <c r="J317" i="8"/>
  <c r="F317" i="8"/>
  <c r="E317" i="8"/>
  <c r="A317" i="8"/>
  <c r="L316" i="8"/>
  <c r="K316" i="8"/>
  <c r="J316" i="8"/>
  <c r="F316" i="8"/>
  <c r="E316" i="8"/>
  <c r="A316" i="8"/>
  <c r="L315" i="8"/>
  <c r="M315" i="8" s="1"/>
  <c r="K315" i="8"/>
  <c r="J315" i="8"/>
  <c r="F315" i="8"/>
  <c r="E315" i="8"/>
  <c r="A315" i="8"/>
  <c r="L314" i="8"/>
  <c r="N314" i="8" s="1"/>
  <c r="K314" i="8"/>
  <c r="J314" i="8"/>
  <c r="F314" i="8"/>
  <c r="E314" i="8"/>
  <c r="A314" i="8"/>
  <c r="L313" i="8"/>
  <c r="K313" i="8"/>
  <c r="J313" i="8"/>
  <c r="F313" i="8"/>
  <c r="E313" i="8"/>
  <c r="A313" i="8"/>
  <c r="L312" i="8"/>
  <c r="K312" i="8"/>
  <c r="J312" i="8"/>
  <c r="F312" i="8"/>
  <c r="E312" i="8"/>
  <c r="A312" i="8"/>
  <c r="L311" i="8"/>
  <c r="M311" i="8" s="1"/>
  <c r="K311" i="8"/>
  <c r="J311" i="8"/>
  <c r="F311" i="8"/>
  <c r="E311" i="8"/>
  <c r="A311" i="8"/>
  <c r="L310" i="8"/>
  <c r="K310" i="8"/>
  <c r="J310" i="8"/>
  <c r="F310" i="8"/>
  <c r="E310" i="8"/>
  <c r="A310" i="8"/>
  <c r="L309" i="8"/>
  <c r="K309" i="8"/>
  <c r="J309" i="8"/>
  <c r="F309" i="8"/>
  <c r="E309" i="8"/>
  <c r="A309" i="8"/>
  <c r="L308" i="8"/>
  <c r="N308" i="8" s="1"/>
  <c r="K308" i="8"/>
  <c r="J308" i="8"/>
  <c r="F308" i="8"/>
  <c r="E308" i="8"/>
  <c r="A308" i="8"/>
  <c r="L307" i="8"/>
  <c r="N307" i="8" s="1"/>
  <c r="K307" i="8"/>
  <c r="J307" i="8"/>
  <c r="F307" i="8"/>
  <c r="E307" i="8"/>
  <c r="A307" i="8"/>
  <c r="L306" i="8"/>
  <c r="M306" i="8" s="1"/>
  <c r="K306" i="8"/>
  <c r="J306" i="8"/>
  <c r="F306" i="8"/>
  <c r="E306" i="8"/>
  <c r="A306" i="8"/>
  <c r="L305" i="8"/>
  <c r="N305" i="8" s="1"/>
  <c r="K305" i="8"/>
  <c r="J305" i="8"/>
  <c r="F305" i="8"/>
  <c r="E305" i="8"/>
  <c r="A305" i="8"/>
  <c r="L304" i="8"/>
  <c r="N304" i="8" s="1"/>
  <c r="K304" i="8"/>
  <c r="J304" i="8"/>
  <c r="F304" i="8"/>
  <c r="E304" i="8"/>
  <c r="A304" i="8"/>
  <c r="L303" i="8"/>
  <c r="M303" i="8" s="1"/>
  <c r="K303" i="8"/>
  <c r="J303" i="8"/>
  <c r="F303" i="8"/>
  <c r="E303" i="8"/>
  <c r="A303" i="8"/>
  <c r="L302" i="8"/>
  <c r="N302" i="8" s="1"/>
  <c r="K302" i="8"/>
  <c r="J302" i="8"/>
  <c r="F302" i="8"/>
  <c r="E302" i="8"/>
  <c r="A302" i="8"/>
  <c r="L301" i="8"/>
  <c r="N301" i="8" s="1"/>
  <c r="K301" i="8"/>
  <c r="J301" i="8"/>
  <c r="F301" i="8"/>
  <c r="E301" i="8"/>
  <c r="A301" i="8"/>
  <c r="L300" i="8"/>
  <c r="K300" i="8"/>
  <c r="J300" i="8"/>
  <c r="F300" i="8"/>
  <c r="E300" i="8"/>
  <c r="A300" i="8"/>
  <c r="L299" i="8"/>
  <c r="K299" i="8"/>
  <c r="J299" i="8"/>
  <c r="F299" i="8"/>
  <c r="E299" i="8"/>
  <c r="A299" i="8"/>
  <c r="L298" i="8"/>
  <c r="M298" i="8" s="1"/>
  <c r="K298" i="8"/>
  <c r="J298" i="8"/>
  <c r="F298" i="8"/>
  <c r="E298" i="8"/>
  <c r="A298" i="8"/>
  <c r="L297" i="8"/>
  <c r="K297" i="8"/>
  <c r="J297" i="8"/>
  <c r="F297" i="8"/>
  <c r="E297" i="8"/>
  <c r="A297" i="8"/>
  <c r="L296" i="8"/>
  <c r="N296" i="8" s="1"/>
  <c r="K296" i="8"/>
  <c r="J296" i="8"/>
  <c r="F296" i="8"/>
  <c r="E296" i="8"/>
  <c r="A296" i="8"/>
  <c r="L295" i="8"/>
  <c r="N295" i="8" s="1"/>
  <c r="K295" i="8"/>
  <c r="J295" i="8"/>
  <c r="F295" i="8"/>
  <c r="E295" i="8"/>
  <c r="A295" i="8"/>
  <c r="L294" i="8"/>
  <c r="M294" i="8" s="1"/>
  <c r="K294" i="8"/>
  <c r="J294" i="8"/>
  <c r="F294" i="8"/>
  <c r="E294" i="8"/>
  <c r="A294" i="8"/>
  <c r="L293" i="8"/>
  <c r="N293" i="8" s="1"/>
  <c r="K293" i="8"/>
  <c r="J293" i="8"/>
  <c r="F293" i="8"/>
  <c r="E293" i="8"/>
  <c r="A293" i="8"/>
  <c r="L292" i="8"/>
  <c r="M292" i="8" s="1"/>
  <c r="K292" i="8"/>
  <c r="J292" i="8"/>
  <c r="F292" i="8"/>
  <c r="E292" i="8"/>
  <c r="A292" i="8"/>
  <c r="L291" i="8"/>
  <c r="K291" i="8"/>
  <c r="J291" i="8"/>
  <c r="F291" i="8"/>
  <c r="E291" i="8"/>
  <c r="A291" i="8"/>
  <c r="L290" i="8"/>
  <c r="N290" i="8" s="1"/>
  <c r="K290" i="8"/>
  <c r="J290" i="8"/>
  <c r="F290" i="8"/>
  <c r="E290" i="8"/>
  <c r="A290" i="8"/>
  <c r="L289" i="8"/>
  <c r="K289" i="8"/>
  <c r="J289" i="8"/>
  <c r="F289" i="8"/>
  <c r="E289" i="8"/>
  <c r="A289" i="8"/>
  <c r="L288" i="8"/>
  <c r="K288" i="8"/>
  <c r="J288" i="8"/>
  <c r="F288" i="8"/>
  <c r="E288" i="8"/>
  <c r="A288" i="8"/>
  <c r="L287" i="8"/>
  <c r="M287" i="8" s="1"/>
  <c r="K287" i="8"/>
  <c r="J287" i="8"/>
  <c r="F287" i="8"/>
  <c r="E287" i="8"/>
  <c r="A287" i="8"/>
  <c r="L286" i="8"/>
  <c r="M286" i="8" s="1"/>
  <c r="K286" i="8"/>
  <c r="J286" i="8"/>
  <c r="F286" i="8"/>
  <c r="E286" i="8"/>
  <c r="A286" i="8"/>
  <c r="L285" i="8"/>
  <c r="K285" i="8"/>
  <c r="J285" i="8"/>
  <c r="F285" i="8"/>
  <c r="E285" i="8"/>
  <c r="A285" i="8"/>
  <c r="L284" i="8"/>
  <c r="M284" i="8" s="1"/>
  <c r="K284" i="8"/>
  <c r="J284" i="8"/>
  <c r="F284" i="8"/>
  <c r="E284" i="8"/>
  <c r="A284" i="8"/>
  <c r="L283" i="8"/>
  <c r="M283" i="8" s="1"/>
  <c r="K283" i="8"/>
  <c r="J283" i="8"/>
  <c r="F283" i="8"/>
  <c r="E283" i="8"/>
  <c r="A283" i="8"/>
  <c r="L282" i="8"/>
  <c r="M282" i="8" s="1"/>
  <c r="K282" i="8"/>
  <c r="J282" i="8"/>
  <c r="F282" i="8"/>
  <c r="E282" i="8"/>
  <c r="A282" i="8"/>
  <c r="L281" i="8"/>
  <c r="M281" i="8" s="1"/>
  <c r="K281" i="8"/>
  <c r="J281" i="8"/>
  <c r="F281" i="8"/>
  <c r="E281" i="8"/>
  <c r="A281" i="8"/>
  <c r="L280" i="8"/>
  <c r="N280" i="8" s="1"/>
  <c r="K280" i="8"/>
  <c r="J280" i="8"/>
  <c r="F280" i="8"/>
  <c r="E280" i="8"/>
  <c r="A280" i="8"/>
  <c r="L279" i="8"/>
  <c r="M279" i="8" s="1"/>
  <c r="K279" i="8"/>
  <c r="J279" i="8"/>
  <c r="F279" i="8"/>
  <c r="E279" i="8"/>
  <c r="A279" i="8"/>
  <c r="L278" i="8"/>
  <c r="N278" i="8" s="1"/>
  <c r="K278" i="8"/>
  <c r="J278" i="8"/>
  <c r="F278" i="8"/>
  <c r="E278" i="8"/>
  <c r="A278" i="8"/>
  <c r="L277" i="8"/>
  <c r="N277" i="8" s="1"/>
  <c r="K277" i="8"/>
  <c r="J277" i="8"/>
  <c r="F277" i="8"/>
  <c r="E277" i="8"/>
  <c r="A277" i="8"/>
  <c r="L276" i="8"/>
  <c r="M276" i="8" s="1"/>
  <c r="K276" i="8"/>
  <c r="J276" i="8"/>
  <c r="F276" i="8"/>
  <c r="E276" i="8"/>
  <c r="A276" i="8"/>
  <c r="L275" i="8"/>
  <c r="K275" i="8"/>
  <c r="J275" i="8"/>
  <c r="F275" i="8"/>
  <c r="E275" i="8"/>
  <c r="A275" i="8"/>
  <c r="L274" i="8"/>
  <c r="K274" i="8"/>
  <c r="J274" i="8"/>
  <c r="F274" i="8"/>
  <c r="E274" i="8"/>
  <c r="A274" i="8"/>
  <c r="L273" i="8"/>
  <c r="M273" i="8" s="1"/>
  <c r="K273" i="8"/>
  <c r="J273" i="8"/>
  <c r="F273" i="8"/>
  <c r="E273" i="8"/>
  <c r="A273" i="8"/>
  <c r="L272" i="8"/>
  <c r="N272" i="8" s="1"/>
  <c r="K272" i="8"/>
  <c r="J272" i="8"/>
  <c r="F272" i="8"/>
  <c r="E272" i="8"/>
  <c r="A272" i="8"/>
  <c r="L271" i="8"/>
  <c r="K271" i="8"/>
  <c r="J271" i="8"/>
  <c r="F271" i="8"/>
  <c r="E271" i="8"/>
  <c r="A271" i="8"/>
  <c r="L270" i="8"/>
  <c r="K270" i="8"/>
  <c r="J270" i="8"/>
  <c r="F270" i="8"/>
  <c r="E270" i="8"/>
  <c r="A270" i="8"/>
  <c r="L269" i="8"/>
  <c r="M269" i="8" s="1"/>
  <c r="K269" i="8"/>
  <c r="J269" i="8"/>
  <c r="F269" i="8"/>
  <c r="E269" i="8"/>
  <c r="A269" i="8"/>
  <c r="L268" i="8"/>
  <c r="K268" i="8"/>
  <c r="J268" i="8"/>
  <c r="F268" i="8"/>
  <c r="E268" i="8"/>
  <c r="A268" i="8"/>
  <c r="L267" i="8"/>
  <c r="M267" i="8" s="1"/>
  <c r="K267" i="8"/>
  <c r="J267" i="8"/>
  <c r="F267" i="8"/>
  <c r="E267" i="8"/>
  <c r="A267" i="8"/>
  <c r="L266" i="8"/>
  <c r="N266" i="8" s="1"/>
  <c r="K266" i="8"/>
  <c r="J266" i="8"/>
  <c r="F266" i="8"/>
  <c r="E266" i="8"/>
  <c r="A266" i="8"/>
  <c r="L265" i="8"/>
  <c r="K265" i="8"/>
  <c r="J265" i="8"/>
  <c r="F265" i="8"/>
  <c r="E265" i="8"/>
  <c r="A265" i="8"/>
  <c r="L264" i="8"/>
  <c r="K264" i="8"/>
  <c r="J264" i="8"/>
  <c r="F264" i="8"/>
  <c r="E264" i="8"/>
  <c r="A264" i="8"/>
  <c r="L263" i="8"/>
  <c r="M263" i="8" s="1"/>
  <c r="K263" i="8"/>
  <c r="J263" i="8"/>
  <c r="F263" i="8"/>
  <c r="E263" i="8"/>
  <c r="A263" i="8"/>
  <c r="L262" i="8"/>
  <c r="M262" i="8" s="1"/>
  <c r="K262" i="8"/>
  <c r="J262" i="8"/>
  <c r="F262" i="8"/>
  <c r="E262" i="8"/>
  <c r="A262" i="8"/>
  <c r="L261" i="8"/>
  <c r="K261" i="8"/>
  <c r="J261" i="8"/>
  <c r="F261" i="8"/>
  <c r="E261" i="8"/>
  <c r="A261" i="8"/>
  <c r="L260" i="8"/>
  <c r="N260" i="8" s="1"/>
  <c r="K260" i="8"/>
  <c r="J260" i="8"/>
  <c r="F260" i="8"/>
  <c r="E260" i="8"/>
  <c r="A260" i="8"/>
  <c r="L259" i="8"/>
  <c r="K259" i="8"/>
  <c r="J259" i="8"/>
  <c r="F259" i="8"/>
  <c r="E259" i="8"/>
  <c r="A259" i="8"/>
  <c r="L258" i="8"/>
  <c r="M258" i="8" s="1"/>
  <c r="K258" i="8"/>
  <c r="J258" i="8"/>
  <c r="F258" i="8"/>
  <c r="E258" i="8"/>
  <c r="A258" i="8"/>
  <c r="L257" i="8"/>
  <c r="N257" i="8" s="1"/>
  <c r="K257" i="8"/>
  <c r="J257" i="8"/>
  <c r="F257" i="8"/>
  <c r="E257" i="8"/>
  <c r="A257" i="8"/>
  <c r="L256" i="8"/>
  <c r="M256" i="8" s="1"/>
  <c r="K256" i="8"/>
  <c r="J256" i="8"/>
  <c r="F256" i="8"/>
  <c r="E256" i="8"/>
  <c r="A256" i="8"/>
  <c r="L255" i="8"/>
  <c r="M255" i="8" s="1"/>
  <c r="K255" i="8"/>
  <c r="J255" i="8"/>
  <c r="F255" i="8"/>
  <c r="E255" i="8"/>
  <c r="A255" i="8"/>
  <c r="L254" i="8"/>
  <c r="K254" i="8"/>
  <c r="J254" i="8"/>
  <c r="F254" i="8"/>
  <c r="E254" i="8"/>
  <c r="A254" i="8"/>
  <c r="L253" i="8"/>
  <c r="N253" i="8" s="1"/>
  <c r="K253" i="8"/>
  <c r="J253" i="8"/>
  <c r="F253" i="8"/>
  <c r="E253" i="8"/>
  <c r="A253" i="8"/>
  <c r="L252" i="8"/>
  <c r="K252" i="8"/>
  <c r="J252" i="8"/>
  <c r="F252" i="8"/>
  <c r="E252" i="8"/>
  <c r="A252" i="8"/>
  <c r="L251" i="8"/>
  <c r="N251" i="8" s="1"/>
  <c r="K251" i="8"/>
  <c r="J251" i="8"/>
  <c r="F251" i="8"/>
  <c r="E251" i="8"/>
  <c r="A251" i="8"/>
  <c r="L250" i="8"/>
  <c r="N250" i="8" s="1"/>
  <c r="K250" i="8"/>
  <c r="J250" i="8"/>
  <c r="F250" i="8"/>
  <c r="E250" i="8"/>
  <c r="A250" i="8"/>
  <c r="L249" i="8"/>
  <c r="M249" i="8" s="1"/>
  <c r="K249" i="8"/>
  <c r="J249" i="8"/>
  <c r="F249" i="8"/>
  <c r="E249" i="8"/>
  <c r="A249" i="8"/>
  <c r="L248" i="8"/>
  <c r="N248" i="8" s="1"/>
  <c r="K248" i="8"/>
  <c r="J248" i="8"/>
  <c r="F248" i="8"/>
  <c r="E248" i="8"/>
  <c r="A248" i="8"/>
  <c r="L247" i="8"/>
  <c r="M247" i="8" s="1"/>
  <c r="K247" i="8"/>
  <c r="J247" i="8"/>
  <c r="F247" i="8"/>
  <c r="E247" i="8"/>
  <c r="A247" i="8"/>
  <c r="L246" i="8"/>
  <c r="K246" i="8"/>
  <c r="J246" i="8"/>
  <c r="F246" i="8"/>
  <c r="E246" i="8"/>
  <c r="A246" i="8"/>
  <c r="L245" i="8"/>
  <c r="M245" i="8" s="1"/>
  <c r="K245" i="8"/>
  <c r="J245" i="8"/>
  <c r="F245" i="8"/>
  <c r="E245" i="8"/>
  <c r="A245" i="8"/>
  <c r="L244" i="8"/>
  <c r="N244" i="8" s="1"/>
  <c r="K244" i="8"/>
  <c r="J244" i="8"/>
  <c r="F244" i="8"/>
  <c r="E244" i="8"/>
  <c r="A244" i="8"/>
  <c r="L243" i="8"/>
  <c r="K243" i="8"/>
  <c r="J243" i="8"/>
  <c r="F243" i="8"/>
  <c r="E243" i="8"/>
  <c r="A243" i="8"/>
  <c r="L242" i="8"/>
  <c r="N242" i="8" s="1"/>
  <c r="K242" i="8"/>
  <c r="J242" i="8"/>
  <c r="F242" i="8"/>
  <c r="E242" i="8"/>
  <c r="A242" i="8"/>
  <c r="L241" i="8"/>
  <c r="N241" i="8" s="1"/>
  <c r="K241" i="8"/>
  <c r="J241" i="8"/>
  <c r="F241" i="8"/>
  <c r="E241" i="8"/>
  <c r="A241" i="8"/>
  <c r="L240" i="8"/>
  <c r="M240" i="8" s="1"/>
  <c r="K240" i="8"/>
  <c r="J240" i="8"/>
  <c r="F240" i="8"/>
  <c r="E240" i="8"/>
  <c r="A240" i="8"/>
  <c r="L239" i="8"/>
  <c r="N239" i="8" s="1"/>
  <c r="K239" i="8"/>
  <c r="J239" i="8"/>
  <c r="F239" i="8"/>
  <c r="E239" i="8"/>
  <c r="A239" i="8"/>
  <c r="L238" i="8"/>
  <c r="K238" i="8"/>
  <c r="J238" i="8"/>
  <c r="F238" i="8"/>
  <c r="E238" i="8"/>
  <c r="A238" i="8"/>
  <c r="L237" i="8"/>
  <c r="M237" i="8" s="1"/>
  <c r="K237" i="8"/>
  <c r="J237" i="8"/>
  <c r="F237" i="8"/>
  <c r="E237" i="8"/>
  <c r="A237" i="8"/>
  <c r="L236" i="8"/>
  <c r="M236" i="8" s="1"/>
  <c r="K236" i="8"/>
  <c r="J236" i="8"/>
  <c r="F236" i="8"/>
  <c r="E236" i="8"/>
  <c r="A236" i="8"/>
  <c r="L235" i="8"/>
  <c r="K235" i="8"/>
  <c r="J235" i="8"/>
  <c r="F235" i="8"/>
  <c r="E235" i="8"/>
  <c r="A235" i="8"/>
  <c r="L234" i="8"/>
  <c r="K234" i="8"/>
  <c r="J234" i="8"/>
  <c r="F234" i="8"/>
  <c r="E234" i="8"/>
  <c r="A234" i="8"/>
  <c r="L233" i="8"/>
  <c r="N233" i="8" s="1"/>
  <c r="K233" i="8"/>
  <c r="J233" i="8"/>
  <c r="F233" i="8"/>
  <c r="E233" i="8"/>
  <c r="A233" i="8"/>
  <c r="L232" i="8"/>
  <c r="N232" i="8" s="1"/>
  <c r="K232" i="8"/>
  <c r="J232" i="8"/>
  <c r="F232" i="8"/>
  <c r="E232" i="8"/>
  <c r="A232" i="8"/>
  <c r="L231" i="8"/>
  <c r="K231" i="8"/>
  <c r="J231" i="8"/>
  <c r="F231" i="8"/>
  <c r="E231" i="8"/>
  <c r="A231" i="8"/>
  <c r="L230" i="8"/>
  <c r="N230" i="8" s="1"/>
  <c r="K230" i="8"/>
  <c r="J230" i="8"/>
  <c r="F230" i="8"/>
  <c r="E230" i="8"/>
  <c r="A230" i="8"/>
  <c r="L229" i="8"/>
  <c r="K229" i="8"/>
  <c r="J229" i="8"/>
  <c r="F229" i="8"/>
  <c r="E229" i="8"/>
  <c r="A229" i="8"/>
  <c r="L228" i="8"/>
  <c r="M228" i="8" s="1"/>
  <c r="K228" i="8"/>
  <c r="J228" i="8"/>
  <c r="F228" i="8"/>
  <c r="E228" i="8"/>
  <c r="A228" i="8"/>
  <c r="L227" i="8"/>
  <c r="M227" i="8" s="1"/>
  <c r="K227" i="8"/>
  <c r="J227" i="8"/>
  <c r="F227" i="8"/>
  <c r="E227" i="8"/>
  <c r="A227" i="8"/>
  <c r="L226" i="8"/>
  <c r="N226" i="8" s="1"/>
  <c r="K226" i="8"/>
  <c r="J226" i="8"/>
  <c r="F226" i="8"/>
  <c r="E226" i="8"/>
  <c r="A226" i="8"/>
  <c r="L225" i="8"/>
  <c r="M225" i="8" s="1"/>
  <c r="K225" i="8"/>
  <c r="J225" i="8"/>
  <c r="F225" i="8"/>
  <c r="E225" i="8"/>
  <c r="A225" i="8"/>
  <c r="L224" i="8"/>
  <c r="N224" i="8" s="1"/>
  <c r="K224" i="8"/>
  <c r="J224" i="8"/>
  <c r="F224" i="8"/>
  <c r="E224" i="8"/>
  <c r="A224" i="8"/>
  <c r="L223" i="8"/>
  <c r="M223" i="8" s="1"/>
  <c r="K223" i="8"/>
  <c r="J223" i="8"/>
  <c r="F223" i="8"/>
  <c r="E223" i="8"/>
  <c r="A223" i="8"/>
  <c r="L222" i="8"/>
  <c r="K222" i="8"/>
  <c r="J222" i="8"/>
  <c r="F222" i="8"/>
  <c r="E222" i="8"/>
  <c r="A222" i="8"/>
  <c r="L221" i="8"/>
  <c r="N221" i="8" s="1"/>
  <c r="K221" i="8"/>
  <c r="J221" i="8"/>
  <c r="F221" i="8"/>
  <c r="E221" i="8"/>
  <c r="A221" i="8"/>
  <c r="L220" i="8"/>
  <c r="M220" i="8" s="1"/>
  <c r="K220" i="8"/>
  <c r="J220" i="8"/>
  <c r="F220" i="8"/>
  <c r="E220" i="8"/>
  <c r="A220" i="8"/>
  <c r="L219" i="8"/>
  <c r="M219" i="8" s="1"/>
  <c r="K219" i="8"/>
  <c r="J219" i="8"/>
  <c r="F219" i="8"/>
  <c r="E219" i="8"/>
  <c r="A219" i="8"/>
  <c r="L218" i="8"/>
  <c r="K218" i="8"/>
  <c r="J218" i="8"/>
  <c r="F218" i="8"/>
  <c r="E218" i="8"/>
  <c r="A218" i="8"/>
  <c r="L217" i="8"/>
  <c r="M217" i="8" s="1"/>
  <c r="K217" i="8"/>
  <c r="J217" i="8"/>
  <c r="F217" i="8"/>
  <c r="E217" i="8"/>
  <c r="A217" i="8"/>
  <c r="L216" i="8"/>
  <c r="K216" i="8"/>
  <c r="J216" i="8"/>
  <c r="F216" i="8"/>
  <c r="E216" i="8"/>
  <c r="A216" i="8"/>
  <c r="L215" i="8"/>
  <c r="N215" i="8" s="1"/>
  <c r="K215" i="8"/>
  <c r="J215" i="8"/>
  <c r="F215" i="8"/>
  <c r="E215" i="8"/>
  <c r="A215" i="8"/>
  <c r="L214" i="8"/>
  <c r="N214" i="8" s="1"/>
  <c r="K214" i="8"/>
  <c r="J214" i="8"/>
  <c r="F214" i="8"/>
  <c r="E214" i="8"/>
  <c r="A214" i="8"/>
  <c r="L213" i="8"/>
  <c r="M213" i="8" s="1"/>
  <c r="K213" i="8"/>
  <c r="J213" i="8"/>
  <c r="F213" i="8"/>
  <c r="E213" i="8"/>
  <c r="A213" i="8"/>
  <c r="L212" i="8"/>
  <c r="K212" i="8"/>
  <c r="J212" i="8"/>
  <c r="F212" i="8"/>
  <c r="E212" i="8"/>
  <c r="A212" i="8"/>
  <c r="L211" i="8"/>
  <c r="M211" i="8" s="1"/>
  <c r="K211" i="8"/>
  <c r="J211" i="8"/>
  <c r="F211" i="8"/>
  <c r="E211" i="8"/>
  <c r="A211" i="8"/>
  <c r="L210" i="8"/>
  <c r="K210" i="8"/>
  <c r="J210" i="8"/>
  <c r="F210" i="8"/>
  <c r="E210" i="8"/>
  <c r="A210" i="8"/>
  <c r="L209" i="8"/>
  <c r="M209" i="8" s="1"/>
  <c r="K209" i="8"/>
  <c r="J209" i="8"/>
  <c r="F209" i="8"/>
  <c r="E209" i="8"/>
  <c r="A209" i="8"/>
  <c r="L208" i="8"/>
  <c r="N208" i="8" s="1"/>
  <c r="K208" i="8"/>
  <c r="J208" i="8"/>
  <c r="F208" i="8"/>
  <c r="E208" i="8"/>
  <c r="A208" i="8"/>
  <c r="L207" i="8"/>
  <c r="K207" i="8"/>
  <c r="J207" i="8"/>
  <c r="F207" i="8"/>
  <c r="E207" i="8"/>
  <c r="A207" i="8"/>
  <c r="L206" i="8"/>
  <c r="K206" i="8"/>
  <c r="J206" i="8"/>
  <c r="F206" i="8"/>
  <c r="E206" i="8"/>
  <c r="A206" i="8"/>
  <c r="L205" i="8"/>
  <c r="K205" i="8"/>
  <c r="J205" i="8"/>
  <c r="F205" i="8"/>
  <c r="E205" i="8"/>
  <c r="A205" i="8"/>
  <c r="L204" i="8"/>
  <c r="M204" i="8" s="1"/>
  <c r="K204" i="8"/>
  <c r="J204" i="8"/>
  <c r="F204" i="8"/>
  <c r="E204" i="8"/>
  <c r="A204" i="8"/>
  <c r="L203" i="8"/>
  <c r="N203" i="8" s="1"/>
  <c r="K203" i="8"/>
  <c r="J203" i="8"/>
  <c r="F203" i="8"/>
  <c r="E203" i="8"/>
  <c r="A203" i="8"/>
  <c r="L202" i="8"/>
  <c r="M202" i="8" s="1"/>
  <c r="K202" i="8"/>
  <c r="J202" i="8"/>
  <c r="F202" i="8"/>
  <c r="E202" i="8"/>
  <c r="A202" i="8"/>
  <c r="L201" i="8"/>
  <c r="M201" i="8" s="1"/>
  <c r="K201" i="8"/>
  <c r="J201" i="8"/>
  <c r="F201" i="8"/>
  <c r="E201" i="8"/>
  <c r="A201" i="8"/>
  <c r="L200" i="8"/>
  <c r="K200" i="8"/>
  <c r="J200" i="8"/>
  <c r="F200" i="8"/>
  <c r="E200" i="8"/>
  <c r="A200" i="8"/>
  <c r="L199" i="8"/>
  <c r="N199" i="8" s="1"/>
  <c r="K199" i="8"/>
  <c r="J199" i="8"/>
  <c r="F199" i="8"/>
  <c r="E199" i="8"/>
  <c r="A199" i="8"/>
  <c r="L198" i="8"/>
  <c r="K198" i="8"/>
  <c r="J198" i="8"/>
  <c r="F198" i="8"/>
  <c r="E198" i="8"/>
  <c r="A198" i="8"/>
  <c r="L197" i="8"/>
  <c r="N197" i="8" s="1"/>
  <c r="K197" i="8"/>
  <c r="J197" i="8"/>
  <c r="F197" i="8"/>
  <c r="E197" i="8"/>
  <c r="A197" i="8"/>
  <c r="L196" i="8"/>
  <c r="N196" i="8" s="1"/>
  <c r="K196" i="8"/>
  <c r="J196" i="8"/>
  <c r="F196" i="8"/>
  <c r="E196" i="8"/>
  <c r="A196" i="8"/>
  <c r="L195" i="8"/>
  <c r="M195" i="8" s="1"/>
  <c r="K195" i="8"/>
  <c r="J195" i="8"/>
  <c r="F195" i="8"/>
  <c r="E195" i="8"/>
  <c r="A195" i="8"/>
  <c r="L194" i="8"/>
  <c r="N194" i="8" s="1"/>
  <c r="K194" i="8"/>
  <c r="J194" i="8"/>
  <c r="F194" i="8"/>
  <c r="E194" i="8"/>
  <c r="A194" i="8"/>
  <c r="L193" i="8"/>
  <c r="K193" i="8"/>
  <c r="J193" i="8"/>
  <c r="F193" i="8"/>
  <c r="E193" i="8"/>
  <c r="A193" i="8"/>
  <c r="L192" i="8"/>
  <c r="M192" i="8" s="1"/>
  <c r="K192" i="8"/>
  <c r="J192" i="8"/>
  <c r="F192" i="8"/>
  <c r="E192" i="8"/>
  <c r="A192" i="8"/>
  <c r="L191" i="8"/>
  <c r="M191" i="8" s="1"/>
  <c r="K191" i="8"/>
  <c r="J191" i="8"/>
  <c r="F191" i="8"/>
  <c r="E191" i="8"/>
  <c r="A191" i="8"/>
  <c r="L190" i="8"/>
  <c r="M190" i="8" s="1"/>
  <c r="K190" i="8"/>
  <c r="J190" i="8"/>
  <c r="F190" i="8"/>
  <c r="E190" i="8"/>
  <c r="A190" i="8"/>
  <c r="L189" i="8"/>
  <c r="K189" i="8"/>
  <c r="J189" i="8"/>
  <c r="F189" i="8"/>
  <c r="E189" i="8"/>
  <c r="A189" i="8"/>
  <c r="L188" i="8"/>
  <c r="N188" i="8" s="1"/>
  <c r="K188" i="8"/>
  <c r="J188" i="8"/>
  <c r="F188" i="8"/>
  <c r="E188" i="8"/>
  <c r="A188" i="8"/>
  <c r="L187" i="8"/>
  <c r="N187" i="8" s="1"/>
  <c r="K187" i="8"/>
  <c r="J187" i="8"/>
  <c r="F187" i="8"/>
  <c r="E187" i="8"/>
  <c r="A187" i="8"/>
  <c r="L186" i="8"/>
  <c r="M186" i="8" s="1"/>
  <c r="K186" i="8"/>
  <c r="J186" i="8"/>
  <c r="F186" i="8"/>
  <c r="E186" i="8"/>
  <c r="A186" i="8"/>
  <c r="L185" i="8"/>
  <c r="N185" i="8" s="1"/>
  <c r="K185" i="8"/>
  <c r="J185" i="8"/>
  <c r="F185" i="8"/>
  <c r="E185" i="8"/>
  <c r="A185" i="8"/>
  <c r="L184" i="8"/>
  <c r="N184" i="8" s="1"/>
  <c r="K184" i="8"/>
  <c r="J184" i="8"/>
  <c r="F184" i="8"/>
  <c r="E184" i="8"/>
  <c r="A184" i="8"/>
  <c r="L183" i="8"/>
  <c r="M183" i="8" s="1"/>
  <c r="K183" i="8"/>
  <c r="J183" i="8"/>
  <c r="F183" i="8"/>
  <c r="E183" i="8"/>
  <c r="A183" i="8"/>
  <c r="L182" i="8"/>
  <c r="K182" i="8"/>
  <c r="J182" i="8"/>
  <c r="F182" i="8"/>
  <c r="E182" i="8"/>
  <c r="A182" i="8"/>
  <c r="L181" i="8"/>
  <c r="M181" i="8" s="1"/>
  <c r="K181" i="8"/>
  <c r="J181" i="8"/>
  <c r="F181" i="8"/>
  <c r="E181" i="8"/>
  <c r="A181" i="8"/>
  <c r="L180" i="8"/>
  <c r="K180" i="8"/>
  <c r="J180" i="8"/>
  <c r="F180" i="8"/>
  <c r="E180" i="8"/>
  <c r="A180" i="8"/>
  <c r="L179" i="8"/>
  <c r="N179" i="8" s="1"/>
  <c r="K179" i="8"/>
  <c r="J179" i="8"/>
  <c r="F179" i="8"/>
  <c r="E179" i="8"/>
  <c r="A179" i="8"/>
  <c r="L178" i="8"/>
  <c r="K178" i="8"/>
  <c r="J178" i="8"/>
  <c r="F178" i="8"/>
  <c r="E178" i="8"/>
  <c r="A178" i="8"/>
  <c r="L177" i="8"/>
  <c r="M177" i="8" s="1"/>
  <c r="K177" i="8"/>
  <c r="J177" i="8"/>
  <c r="F177" i="8"/>
  <c r="E177" i="8"/>
  <c r="A177" i="8"/>
  <c r="L176" i="8"/>
  <c r="N176" i="8" s="1"/>
  <c r="K176" i="8"/>
  <c r="J176" i="8"/>
  <c r="F176" i="8"/>
  <c r="E176" i="8"/>
  <c r="A176" i="8"/>
  <c r="L175" i="8"/>
  <c r="M175" i="8" s="1"/>
  <c r="K175" i="8"/>
  <c r="J175" i="8"/>
  <c r="F175" i="8"/>
  <c r="E175" i="8"/>
  <c r="A175" i="8"/>
  <c r="L174" i="8"/>
  <c r="M174" i="8" s="1"/>
  <c r="K174" i="8"/>
  <c r="J174" i="8"/>
  <c r="F174" i="8"/>
  <c r="E174" i="8"/>
  <c r="A174" i="8"/>
  <c r="L173" i="8"/>
  <c r="M173" i="8" s="1"/>
  <c r="K173" i="8"/>
  <c r="J173" i="8"/>
  <c r="F173" i="8"/>
  <c r="E173" i="8"/>
  <c r="A173" i="8"/>
  <c r="L172" i="8"/>
  <c r="M172" i="8" s="1"/>
  <c r="K172" i="8"/>
  <c r="J172" i="8"/>
  <c r="F172" i="8"/>
  <c r="E172" i="8"/>
  <c r="A172" i="8"/>
  <c r="L171" i="8"/>
  <c r="K171" i="8"/>
  <c r="J171" i="8"/>
  <c r="F171" i="8"/>
  <c r="E171" i="8"/>
  <c r="A171" i="8"/>
  <c r="L170" i="8"/>
  <c r="K170" i="8"/>
  <c r="J170" i="8"/>
  <c r="F170" i="8"/>
  <c r="E170" i="8"/>
  <c r="A170" i="8"/>
  <c r="L169" i="8"/>
  <c r="N169" i="8" s="1"/>
  <c r="K169" i="8"/>
  <c r="J169" i="8"/>
  <c r="F169" i="8"/>
  <c r="E169" i="8"/>
  <c r="A169" i="8"/>
  <c r="L168" i="8"/>
  <c r="K168" i="8"/>
  <c r="J168" i="8"/>
  <c r="F168" i="8"/>
  <c r="E168" i="8"/>
  <c r="A168" i="8"/>
  <c r="L167" i="8"/>
  <c r="K167" i="8"/>
  <c r="J167" i="8"/>
  <c r="F167" i="8"/>
  <c r="E167" i="8"/>
  <c r="A167" i="8"/>
  <c r="L166" i="8"/>
  <c r="M166" i="8" s="1"/>
  <c r="K166" i="8"/>
  <c r="J166" i="8"/>
  <c r="F166" i="8"/>
  <c r="E166" i="8"/>
  <c r="A166" i="8"/>
  <c r="L165" i="8"/>
  <c r="M165" i="8" s="1"/>
  <c r="K165" i="8"/>
  <c r="J165" i="8"/>
  <c r="F165" i="8"/>
  <c r="E165" i="8"/>
  <c r="A165" i="8"/>
  <c r="L164" i="8"/>
  <c r="K164" i="8"/>
  <c r="J164" i="8"/>
  <c r="F164" i="8"/>
  <c r="E164" i="8"/>
  <c r="A164" i="8"/>
  <c r="L163" i="8"/>
  <c r="N163" i="8" s="1"/>
  <c r="K163" i="8"/>
  <c r="J163" i="8"/>
  <c r="F163" i="8"/>
  <c r="E163" i="8"/>
  <c r="A163" i="8"/>
  <c r="L162" i="8"/>
  <c r="M162" i="8" s="1"/>
  <c r="K162" i="8"/>
  <c r="J162" i="8"/>
  <c r="F162" i="8"/>
  <c r="E162" i="8"/>
  <c r="A162" i="8"/>
  <c r="L161" i="8"/>
  <c r="M161" i="8" s="1"/>
  <c r="K161" i="8"/>
  <c r="J161" i="8"/>
  <c r="F161" i="8"/>
  <c r="E161" i="8"/>
  <c r="A161" i="8"/>
  <c r="L160" i="8"/>
  <c r="N160" i="8" s="1"/>
  <c r="K160" i="8"/>
  <c r="J160" i="8"/>
  <c r="F160" i="8"/>
  <c r="E160" i="8"/>
  <c r="A160" i="8"/>
  <c r="L159" i="8"/>
  <c r="N159" i="8" s="1"/>
  <c r="K159" i="8"/>
  <c r="J159" i="8"/>
  <c r="F159" i="8"/>
  <c r="E159" i="8"/>
  <c r="A159" i="8"/>
  <c r="L158" i="8"/>
  <c r="N158" i="8" s="1"/>
  <c r="K158" i="8"/>
  <c r="J158" i="8"/>
  <c r="F158" i="8"/>
  <c r="E158" i="8"/>
  <c r="A158" i="8"/>
  <c r="L157" i="8"/>
  <c r="N157" i="8" s="1"/>
  <c r="K157" i="8"/>
  <c r="J157" i="8"/>
  <c r="F157" i="8"/>
  <c r="E157" i="8"/>
  <c r="A157" i="8"/>
  <c r="L156" i="8"/>
  <c r="N156" i="8" s="1"/>
  <c r="K156" i="8"/>
  <c r="J156" i="8"/>
  <c r="F156" i="8"/>
  <c r="E156" i="8"/>
  <c r="A156" i="8"/>
  <c r="L155" i="8"/>
  <c r="N155" i="8" s="1"/>
  <c r="K155" i="8"/>
  <c r="J155" i="8"/>
  <c r="F155" i="8"/>
  <c r="E155" i="8"/>
  <c r="A155" i="8"/>
  <c r="L154" i="8"/>
  <c r="N154" i="8" s="1"/>
  <c r="K154" i="8"/>
  <c r="J154" i="8"/>
  <c r="F154" i="8"/>
  <c r="E154" i="8"/>
  <c r="A154" i="8"/>
  <c r="L153" i="8"/>
  <c r="K153" i="8"/>
  <c r="J153" i="8"/>
  <c r="F153" i="8"/>
  <c r="E153" i="8"/>
  <c r="A153" i="8"/>
  <c r="L152" i="8"/>
  <c r="K152" i="8"/>
  <c r="J152" i="8"/>
  <c r="F152" i="8"/>
  <c r="E152" i="8"/>
  <c r="A152" i="8"/>
  <c r="L151" i="8"/>
  <c r="N151" i="8" s="1"/>
  <c r="K151" i="8"/>
  <c r="J151" i="8"/>
  <c r="F151" i="8"/>
  <c r="E151" i="8"/>
  <c r="A151" i="8"/>
  <c r="L150" i="8"/>
  <c r="N150" i="8" s="1"/>
  <c r="K150" i="8"/>
  <c r="J150" i="8"/>
  <c r="F150" i="8"/>
  <c r="E150" i="8"/>
  <c r="A150" i="8"/>
  <c r="L149" i="8"/>
  <c r="N149" i="8" s="1"/>
  <c r="K149" i="8"/>
  <c r="J149" i="8"/>
  <c r="F149" i="8"/>
  <c r="E149" i="8"/>
  <c r="A149" i="8"/>
  <c r="L148" i="8"/>
  <c r="N148" i="8" s="1"/>
  <c r="K148" i="8"/>
  <c r="J148" i="8"/>
  <c r="F148" i="8"/>
  <c r="E148" i="8"/>
  <c r="A148" i="8"/>
  <c r="L147" i="8"/>
  <c r="N147" i="8" s="1"/>
  <c r="K147" i="8"/>
  <c r="J147" i="8"/>
  <c r="F147" i="8"/>
  <c r="E147" i="8"/>
  <c r="A147" i="8"/>
  <c r="L146" i="8"/>
  <c r="M146" i="8" s="1"/>
  <c r="K146" i="8"/>
  <c r="J146" i="8"/>
  <c r="F146" i="8"/>
  <c r="E146" i="8"/>
  <c r="A146" i="8"/>
  <c r="L145" i="8"/>
  <c r="N145" i="8" s="1"/>
  <c r="K145" i="8"/>
  <c r="J145" i="8"/>
  <c r="F145" i="8"/>
  <c r="E145" i="8"/>
  <c r="A145" i="8"/>
  <c r="L144" i="8"/>
  <c r="N144" i="8" s="1"/>
  <c r="K144" i="8"/>
  <c r="J144" i="8"/>
  <c r="F144" i="8"/>
  <c r="E144" i="8"/>
  <c r="A144" i="8"/>
  <c r="L143" i="8"/>
  <c r="N143" i="8" s="1"/>
  <c r="K143" i="8"/>
  <c r="J143" i="8"/>
  <c r="F143" i="8"/>
  <c r="E143" i="8"/>
  <c r="A143" i="8"/>
  <c r="L142" i="8"/>
  <c r="K142" i="8"/>
  <c r="J142" i="8"/>
  <c r="F142" i="8"/>
  <c r="E142" i="8"/>
  <c r="A142" i="8"/>
  <c r="L141" i="8"/>
  <c r="K141" i="8"/>
  <c r="J141" i="8"/>
  <c r="F141" i="8"/>
  <c r="E141" i="8"/>
  <c r="A141" i="8"/>
  <c r="L140" i="8"/>
  <c r="M140" i="8" s="1"/>
  <c r="K140" i="8"/>
  <c r="J140" i="8"/>
  <c r="F140" i="8"/>
  <c r="E140" i="8"/>
  <c r="A140" i="8"/>
  <c r="L139" i="8"/>
  <c r="N139" i="8" s="1"/>
  <c r="K139" i="8"/>
  <c r="J139" i="8"/>
  <c r="F139" i="8"/>
  <c r="E139" i="8"/>
  <c r="A139" i="8"/>
  <c r="L138" i="8"/>
  <c r="N138" i="8" s="1"/>
  <c r="K138" i="8"/>
  <c r="J138" i="8"/>
  <c r="F138" i="8"/>
  <c r="E138" i="8"/>
  <c r="A138" i="8"/>
  <c r="L137" i="8"/>
  <c r="M137" i="8" s="1"/>
  <c r="K137" i="8"/>
  <c r="J137" i="8"/>
  <c r="F137" i="8"/>
  <c r="E137" i="8"/>
  <c r="A137" i="8"/>
  <c r="L136" i="8"/>
  <c r="N136" i="8" s="1"/>
  <c r="K136" i="8"/>
  <c r="J136" i="8"/>
  <c r="F136" i="8"/>
  <c r="E136" i="8"/>
  <c r="A136" i="8"/>
  <c r="L135" i="8"/>
  <c r="M135" i="8" s="1"/>
  <c r="K135" i="8"/>
  <c r="J135" i="8"/>
  <c r="F135" i="8"/>
  <c r="E135" i="8"/>
  <c r="A135" i="8"/>
  <c r="L134" i="8"/>
  <c r="N134" i="8" s="1"/>
  <c r="K134" i="8"/>
  <c r="J134" i="8"/>
  <c r="F134" i="8"/>
  <c r="E134" i="8"/>
  <c r="A134" i="8"/>
  <c r="L133" i="8"/>
  <c r="N133" i="8" s="1"/>
  <c r="K133" i="8"/>
  <c r="J133" i="8"/>
  <c r="F133" i="8"/>
  <c r="E133" i="8"/>
  <c r="A133" i="8"/>
  <c r="L132" i="8"/>
  <c r="N132" i="8" s="1"/>
  <c r="K132" i="8"/>
  <c r="J132" i="8"/>
  <c r="F132" i="8"/>
  <c r="E132" i="8"/>
  <c r="A132" i="8"/>
  <c r="L131" i="8"/>
  <c r="N131" i="8" s="1"/>
  <c r="K131" i="8"/>
  <c r="J131" i="8"/>
  <c r="F131" i="8"/>
  <c r="E131" i="8"/>
  <c r="A131" i="8"/>
  <c r="L130" i="8"/>
  <c r="K130" i="8"/>
  <c r="J130" i="8"/>
  <c r="F130" i="8"/>
  <c r="E130" i="8"/>
  <c r="A130" i="8"/>
  <c r="L129" i="8"/>
  <c r="K129" i="8"/>
  <c r="J129" i="8"/>
  <c r="F129" i="8"/>
  <c r="E129" i="8"/>
  <c r="A129" i="8"/>
  <c r="L128" i="8"/>
  <c r="K128" i="8"/>
  <c r="J128" i="8"/>
  <c r="F128" i="8"/>
  <c r="E128" i="8"/>
  <c r="A128" i="8"/>
  <c r="L127" i="8"/>
  <c r="K127" i="8"/>
  <c r="J127" i="8"/>
  <c r="F127" i="8"/>
  <c r="E127" i="8"/>
  <c r="A127" i="8"/>
  <c r="L126" i="8"/>
  <c r="N126" i="8" s="1"/>
  <c r="K126" i="8"/>
  <c r="J126" i="8"/>
  <c r="F126" i="8"/>
  <c r="E126" i="8"/>
  <c r="A126" i="8"/>
  <c r="L125" i="8"/>
  <c r="K125" i="8"/>
  <c r="J125" i="8"/>
  <c r="F125" i="8"/>
  <c r="E125" i="8"/>
  <c r="A125" i="8"/>
  <c r="L124" i="8"/>
  <c r="N124" i="8" s="1"/>
  <c r="K124" i="8"/>
  <c r="J124" i="8"/>
  <c r="F124" i="8"/>
  <c r="E124" i="8"/>
  <c r="A124" i="8"/>
  <c r="L123" i="8"/>
  <c r="N123" i="8" s="1"/>
  <c r="K123" i="8"/>
  <c r="J123" i="8"/>
  <c r="F123" i="8"/>
  <c r="E123" i="8"/>
  <c r="A123" i="8"/>
  <c r="L122" i="8"/>
  <c r="N122" i="8" s="1"/>
  <c r="K122" i="8"/>
  <c r="J122" i="8"/>
  <c r="F122" i="8"/>
  <c r="E122" i="8"/>
  <c r="A122" i="8"/>
  <c r="L121" i="8"/>
  <c r="N121" i="8" s="1"/>
  <c r="K121" i="8"/>
  <c r="J121" i="8"/>
  <c r="F121" i="8"/>
  <c r="E121" i="8"/>
  <c r="A121" i="8"/>
  <c r="L120" i="8"/>
  <c r="N120" i="8" s="1"/>
  <c r="K120" i="8"/>
  <c r="J120" i="8"/>
  <c r="F120" i="8"/>
  <c r="E120" i="8"/>
  <c r="A120" i="8"/>
  <c r="L119" i="8"/>
  <c r="N119" i="8" s="1"/>
  <c r="K119" i="8"/>
  <c r="J119" i="8"/>
  <c r="F119" i="8"/>
  <c r="E119" i="8"/>
  <c r="A119" i="8"/>
  <c r="L118" i="8"/>
  <c r="N118" i="8" s="1"/>
  <c r="K118" i="8"/>
  <c r="J118" i="8"/>
  <c r="F118" i="8"/>
  <c r="E118" i="8"/>
  <c r="A118" i="8"/>
  <c r="L117" i="8"/>
  <c r="K117" i="8"/>
  <c r="J117" i="8"/>
  <c r="F117" i="8"/>
  <c r="E117" i="8"/>
  <c r="A117" i="8"/>
  <c r="L116" i="8"/>
  <c r="N116" i="8" s="1"/>
  <c r="K116" i="8"/>
  <c r="J116" i="8"/>
  <c r="F116" i="8"/>
  <c r="E116" i="8"/>
  <c r="A116" i="8"/>
  <c r="L115" i="8"/>
  <c r="K115" i="8"/>
  <c r="J115" i="8"/>
  <c r="F115" i="8"/>
  <c r="E115" i="8"/>
  <c r="A115" i="8"/>
  <c r="L114" i="8"/>
  <c r="K114" i="8"/>
  <c r="J114" i="8"/>
  <c r="F114" i="8"/>
  <c r="E114" i="8"/>
  <c r="A114" i="8"/>
  <c r="L113" i="8"/>
  <c r="N113" i="8" s="1"/>
  <c r="K113" i="8"/>
  <c r="J113" i="8"/>
  <c r="F113" i="8"/>
  <c r="E113" i="8"/>
  <c r="A113" i="8"/>
  <c r="L112" i="8"/>
  <c r="N112" i="8" s="1"/>
  <c r="K112" i="8"/>
  <c r="J112" i="8"/>
  <c r="F112" i="8"/>
  <c r="E112" i="8"/>
  <c r="A112" i="8"/>
  <c r="L111" i="8"/>
  <c r="N111" i="8" s="1"/>
  <c r="K111" i="8"/>
  <c r="J111" i="8"/>
  <c r="F111" i="8"/>
  <c r="E111" i="8"/>
  <c r="A111" i="8"/>
  <c r="L110" i="8"/>
  <c r="M110" i="8" s="1"/>
  <c r="K110" i="8"/>
  <c r="J110" i="8"/>
  <c r="F110" i="8"/>
  <c r="E110" i="8"/>
  <c r="A110" i="8"/>
  <c r="L109" i="8"/>
  <c r="N109" i="8" s="1"/>
  <c r="K109" i="8"/>
  <c r="J109" i="8"/>
  <c r="F109" i="8"/>
  <c r="E109" i="8"/>
  <c r="A109" i="8"/>
  <c r="L108" i="8"/>
  <c r="N108" i="8" s="1"/>
  <c r="K108" i="8"/>
  <c r="J108" i="8"/>
  <c r="F108" i="8"/>
  <c r="E108" i="8"/>
  <c r="A108" i="8"/>
  <c r="L107" i="8"/>
  <c r="N107" i="8" s="1"/>
  <c r="K107" i="8"/>
  <c r="J107" i="8"/>
  <c r="F107" i="8"/>
  <c r="E107" i="8"/>
  <c r="A107" i="8"/>
  <c r="L106" i="8"/>
  <c r="K106" i="8"/>
  <c r="J106" i="8"/>
  <c r="F106" i="8"/>
  <c r="E106" i="8"/>
  <c r="A106" i="8"/>
  <c r="L105" i="8"/>
  <c r="N105" i="8" s="1"/>
  <c r="K105" i="8"/>
  <c r="J105" i="8"/>
  <c r="F105" i="8"/>
  <c r="E105" i="8"/>
  <c r="A105" i="8"/>
  <c r="L104" i="8"/>
  <c r="M104" i="8" s="1"/>
  <c r="K104" i="8"/>
  <c r="J104" i="8"/>
  <c r="F104" i="8"/>
  <c r="E104" i="8"/>
  <c r="A104" i="8"/>
  <c r="L103" i="8"/>
  <c r="N103" i="8" s="1"/>
  <c r="K103" i="8"/>
  <c r="J103" i="8"/>
  <c r="F103" i="8"/>
  <c r="E103" i="8"/>
  <c r="A103" i="8"/>
  <c r="L102" i="8"/>
  <c r="M102" i="8" s="1"/>
  <c r="K102" i="8"/>
  <c r="J102" i="8"/>
  <c r="F102" i="8"/>
  <c r="E102" i="8"/>
  <c r="A102" i="8"/>
  <c r="L101" i="8"/>
  <c r="M101" i="8" s="1"/>
  <c r="K101" i="8"/>
  <c r="J101" i="8"/>
  <c r="F101" i="8"/>
  <c r="E101" i="8"/>
  <c r="A101" i="8"/>
  <c r="L100" i="8"/>
  <c r="N100" i="8" s="1"/>
  <c r="K100" i="8"/>
  <c r="J100" i="8"/>
  <c r="F100" i="8"/>
  <c r="E100" i="8"/>
  <c r="A100" i="8"/>
  <c r="L99" i="8"/>
  <c r="M99" i="8" s="1"/>
  <c r="K99" i="8"/>
  <c r="J99" i="8"/>
  <c r="F99" i="8"/>
  <c r="E99" i="8"/>
  <c r="A99" i="8"/>
  <c r="L98" i="8"/>
  <c r="N98" i="8" s="1"/>
  <c r="K98" i="8"/>
  <c r="J98" i="8"/>
  <c r="F98" i="8"/>
  <c r="E98" i="8"/>
  <c r="A98" i="8"/>
  <c r="L97" i="8"/>
  <c r="N97" i="8" s="1"/>
  <c r="K97" i="8"/>
  <c r="J97" i="8"/>
  <c r="F97" i="8"/>
  <c r="E97" i="8"/>
  <c r="A97" i="8"/>
  <c r="L96" i="8"/>
  <c r="N96" i="8" s="1"/>
  <c r="K96" i="8"/>
  <c r="J96" i="8"/>
  <c r="F96" i="8"/>
  <c r="E96" i="8"/>
  <c r="A96" i="8"/>
  <c r="L95" i="8"/>
  <c r="N95" i="8" s="1"/>
  <c r="K95" i="8"/>
  <c r="J95" i="8"/>
  <c r="F95" i="8"/>
  <c r="E95" i="8"/>
  <c r="A95" i="8"/>
  <c r="L94" i="8"/>
  <c r="K94" i="8"/>
  <c r="J94" i="8"/>
  <c r="F94" i="8"/>
  <c r="E94" i="8"/>
  <c r="A94" i="8"/>
  <c r="L93" i="8"/>
  <c r="M93" i="8" s="1"/>
  <c r="K93" i="8"/>
  <c r="J93" i="8"/>
  <c r="F93" i="8"/>
  <c r="E93" i="8"/>
  <c r="A93" i="8"/>
  <c r="L92" i="8"/>
  <c r="K92" i="8"/>
  <c r="J92" i="8"/>
  <c r="F92" i="8"/>
  <c r="E92" i="8"/>
  <c r="A92" i="8"/>
  <c r="L91" i="8"/>
  <c r="N91" i="8" s="1"/>
  <c r="K91" i="8"/>
  <c r="J91" i="8"/>
  <c r="F91" i="8"/>
  <c r="E91" i="8"/>
  <c r="A91" i="8"/>
  <c r="L90" i="8"/>
  <c r="N90" i="8" s="1"/>
  <c r="K90" i="8"/>
  <c r="J90" i="8"/>
  <c r="F90" i="8"/>
  <c r="E90" i="8"/>
  <c r="A90" i="8"/>
  <c r="L89" i="8"/>
  <c r="K89" i="8"/>
  <c r="J89" i="8"/>
  <c r="F89" i="8"/>
  <c r="E89" i="8"/>
  <c r="A89" i="8"/>
  <c r="L88" i="8"/>
  <c r="N88" i="8" s="1"/>
  <c r="K88" i="8"/>
  <c r="J88" i="8"/>
  <c r="F88" i="8"/>
  <c r="E88" i="8"/>
  <c r="A88" i="8"/>
  <c r="L87" i="8"/>
  <c r="M87" i="8" s="1"/>
  <c r="K87" i="8"/>
  <c r="J87" i="8"/>
  <c r="F87" i="8"/>
  <c r="E87" i="8"/>
  <c r="A87" i="8"/>
  <c r="L86" i="8"/>
  <c r="N86" i="8" s="1"/>
  <c r="K86" i="8"/>
  <c r="J86" i="8"/>
  <c r="F86" i="8"/>
  <c r="E86" i="8"/>
  <c r="A86" i="8"/>
  <c r="L85" i="8"/>
  <c r="N85" i="8" s="1"/>
  <c r="K85" i="8"/>
  <c r="J85" i="8"/>
  <c r="F85" i="8"/>
  <c r="E85" i="8"/>
  <c r="A85" i="8"/>
  <c r="L84" i="8"/>
  <c r="N84" i="8" s="1"/>
  <c r="K84" i="8"/>
  <c r="J84" i="8"/>
  <c r="F84" i="8"/>
  <c r="E84" i="8"/>
  <c r="A84" i="8"/>
  <c r="L83" i="8"/>
  <c r="N83" i="8" s="1"/>
  <c r="K83" i="8"/>
  <c r="J83" i="8"/>
  <c r="F83" i="8"/>
  <c r="E83" i="8"/>
  <c r="A83" i="8"/>
  <c r="L82" i="8"/>
  <c r="N82" i="8" s="1"/>
  <c r="K82" i="8"/>
  <c r="J82" i="8"/>
  <c r="F82" i="8"/>
  <c r="E82" i="8"/>
  <c r="A82" i="8"/>
  <c r="L81" i="8"/>
  <c r="K81" i="8"/>
  <c r="J81" i="8"/>
  <c r="F81" i="8"/>
  <c r="E81" i="8"/>
  <c r="A81" i="8"/>
  <c r="L80" i="8"/>
  <c r="K80" i="8"/>
  <c r="J80" i="8"/>
  <c r="F80" i="8"/>
  <c r="E80" i="8"/>
  <c r="A80" i="8"/>
  <c r="L79" i="8"/>
  <c r="N79" i="8" s="1"/>
  <c r="K79" i="8"/>
  <c r="J79" i="8"/>
  <c r="F79" i="8"/>
  <c r="E79" i="8"/>
  <c r="A79" i="8"/>
  <c r="L78" i="8"/>
  <c r="N78" i="8" s="1"/>
  <c r="K78" i="8"/>
  <c r="J78" i="8"/>
  <c r="F78" i="8"/>
  <c r="E78" i="8"/>
  <c r="A78" i="8"/>
  <c r="L77" i="8"/>
  <c r="N77" i="8" s="1"/>
  <c r="K77" i="8"/>
  <c r="J77" i="8"/>
  <c r="F77" i="8"/>
  <c r="E77" i="8"/>
  <c r="A77" i="8"/>
  <c r="L76" i="8"/>
  <c r="N76" i="8" s="1"/>
  <c r="K76" i="8"/>
  <c r="J76" i="8"/>
  <c r="F76" i="8"/>
  <c r="E76" i="8"/>
  <c r="A76" i="8"/>
  <c r="L75" i="8"/>
  <c r="N75" i="8" s="1"/>
  <c r="K75" i="8"/>
  <c r="J75" i="8"/>
  <c r="F75" i="8"/>
  <c r="E75" i="8"/>
  <c r="A75" i="8"/>
  <c r="L74" i="8"/>
  <c r="M74" i="8" s="1"/>
  <c r="K74" i="8"/>
  <c r="J74" i="8"/>
  <c r="F74" i="8"/>
  <c r="E74" i="8"/>
  <c r="A74" i="8"/>
  <c r="L73" i="8"/>
  <c r="N73" i="8" s="1"/>
  <c r="K73" i="8"/>
  <c r="J73" i="8"/>
  <c r="F73" i="8"/>
  <c r="E73" i="8"/>
  <c r="A73" i="8"/>
  <c r="L72" i="8"/>
  <c r="N72" i="8" s="1"/>
  <c r="K72" i="8"/>
  <c r="J72" i="8"/>
  <c r="F72" i="8"/>
  <c r="E72" i="8"/>
  <c r="A72" i="8"/>
  <c r="L71" i="8"/>
  <c r="N71" i="8" s="1"/>
  <c r="K71" i="8"/>
  <c r="J71" i="8"/>
  <c r="F71" i="8"/>
  <c r="E71" i="8"/>
  <c r="A71" i="8"/>
  <c r="L70" i="8"/>
  <c r="K70" i="8"/>
  <c r="J70" i="8"/>
  <c r="F70" i="8"/>
  <c r="E70" i="8"/>
  <c r="A70" i="8"/>
  <c r="L69" i="8"/>
  <c r="N69" i="8" s="1"/>
  <c r="K69" i="8"/>
  <c r="J69" i="8"/>
  <c r="F69" i="8"/>
  <c r="E69" i="8"/>
  <c r="A69" i="8"/>
  <c r="L68" i="8"/>
  <c r="K68" i="8"/>
  <c r="J68" i="8"/>
  <c r="F68" i="8"/>
  <c r="E68" i="8"/>
  <c r="A68" i="8"/>
  <c r="L67" i="8"/>
  <c r="N67" i="8" s="1"/>
  <c r="K67" i="8"/>
  <c r="J67" i="8"/>
  <c r="F67" i="8"/>
  <c r="E67" i="8"/>
  <c r="A67" i="8"/>
  <c r="L66" i="8"/>
  <c r="N66" i="8" s="1"/>
  <c r="K66" i="8"/>
  <c r="J66" i="8"/>
  <c r="F66" i="8"/>
  <c r="E66" i="8"/>
  <c r="A66" i="8"/>
  <c r="L65" i="8"/>
  <c r="N65" i="8" s="1"/>
  <c r="K65" i="8"/>
  <c r="J65" i="8"/>
  <c r="F65" i="8"/>
  <c r="E65" i="8"/>
  <c r="A65" i="8"/>
  <c r="L64" i="8"/>
  <c r="N64" i="8" s="1"/>
  <c r="K64" i="8"/>
  <c r="J64" i="8"/>
  <c r="F64" i="8"/>
  <c r="E64" i="8"/>
  <c r="A64" i="8"/>
  <c r="L63" i="8"/>
  <c r="M63" i="8" s="1"/>
  <c r="K63" i="8"/>
  <c r="J63" i="8"/>
  <c r="F63" i="8"/>
  <c r="E63" i="8"/>
  <c r="A63" i="8"/>
  <c r="L62" i="8"/>
  <c r="M62" i="8" s="1"/>
  <c r="K62" i="8"/>
  <c r="J62" i="8"/>
  <c r="F62" i="8"/>
  <c r="E62" i="8"/>
  <c r="A62" i="8"/>
  <c r="L61" i="8"/>
  <c r="N61" i="8" s="1"/>
  <c r="K61" i="8"/>
  <c r="J61" i="8"/>
  <c r="F61" i="8"/>
  <c r="E61" i="8"/>
  <c r="A61" i="8"/>
  <c r="L60" i="8"/>
  <c r="K60" i="8"/>
  <c r="J60" i="8"/>
  <c r="F60" i="8"/>
  <c r="E60" i="8"/>
  <c r="A60" i="8"/>
  <c r="L59" i="8"/>
  <c r="N59" i="8" s="1"/>
  <c r="K59" i="8"/>
  <c r="J59" i="8"/>
  <c r="F59" i="8"/>
  <c r="E59" i="8"/>
  <c r="A59" i="8"/>
  <c r="L58" i="8"/>
  <c r="N58" i="8" s="1"/>
  <c r="K58" i="8"/>
  <c r="J58" i="8"/>
  <c r="F58" i="8"/>
  <c r="E58" i="8"/>
  <c r="A58" i="8"/>
  <c r="L57" i="8"/>
  <c r="M57" i="8" s="1"/>
  <c r="K57" i="8"/>
  <c r="J57" i="8"/>
  <c r="F57" i="8"/>
  <c r="E57" i="8"/>
  <c r="A57" i="8"/>
  <c r="L56" i="8"/>
  <c r="K56" i="8"/>
  <c r="J56" i="8"/>
  <c r="F56" i="8"/>
  <c r="E56" i="8"/>
  <c r="A56" i="8"/>
  <c r="L55" i="8"/>
  <c r="K55" i="8"/>
  <c r="J55" i="8"/>
  <c r="F55" i="8"/>
  <c r="E55" i="8"/>
  <c r="A55" i="8"/>
  <c r="L54" i="8"/>
  <c r="M54" i="8" s="1"/>
  <c r="K54" i="8"/>
  <c r="J54" i="8"/>
  <c r="F54" i="8"/>
  <c r="E54" i="8"/>
  <c r="A54" i="8"/>
  <c r="L53" i="8"/>
  <c r="N53" i="8" s="1"/>
  <c r="K53" i="8"/>
  <c r="J53" i="8"/>
  <c r="F53" i="8"/>
  <c r="E53" i="8"/>
  <c r="A53" i="8"/>
  <c r="L52" i="8"/>
  <c r="N52" i="8" s="1"/>
  <c r="K52" i="8"/>
  <c r="J52" i="8"/>
  <c r="F52" i="8"/>
  <c r="E52" i="8"/>
  <c r="A52" i="8"/>
  <c r="L51" i="8"/>
  <c r="K51" i="8"/>
  <c r="J51" i="8"/>
  <c r="F51" i="8"/>
  <c r="E51" i="8"/>
  <c r="A51" i="8"/>
  <c r="L50" i="8"/>
  <c r="N50" i="8" s="1"/>
  <c r="K50" i="8"/>
  <c r="J50" i="8"/>
  <c r="F50" i="8"/>
  <c r="E50" i="8"/>
  <c r="A50" i="8"/>
  <c r="L49" i="8"/>
  <c r="K49" i="8"/>
  <c r="J49" i="8"/>
  <c r="F49" i="8"/>
  <c r="E49" i="8"/>
  <c r="A49" i="8"/>
  <c r="L48" i="8"/>
  <c r="N48" i="8" s="1"/>
  <c r="K48" i="8"/>
  <c r="J48" i="8"/>
  <c r="F48" i="8"/>
  <c r="E48" i="8"/>
  <c r="A48" i="8"/>
  <c r="L47" i="8"/>
  <c r="N47" i="8" s="1"/>
  <c r="K47" i="8"/>
  <c r="J47" i="8"/>
  <c r="F47" i="8"/>
  <c r="E47" i="8"/>
  <c r="A47" i="8"/>
  <c r="L46" i="8"/>
  <c r="N46" i="8" s="1"/>
  <c r="K46" i="8"/>
  <c r="J46" i="8"/>
  <c r="F46" i="8"/>
  <c r="E46" i="8"/>
  <c r="A46" i="8"/>
  <c r="L45" i="8"/>
  <c r="K45" i="8"/>
  <c r="J45" i="8"/>
  <c r="F45" i="8"/>
  <c r="E45" i="8"/>
  <c r="A45" i="8"/>
  <c r="L44" i="8"/>
  <c r="M44" i="8" s="1"/>
  <c r="K44" i="8"/>
  <c r="J44" i="8"/>
  <c r="F44" i="8"/>
  <c r="E44" i="8"/>
  <c r="A44" i="8"/>
  <c r="L43" i="8"/>
  <c r="N43" i="8" s="1"/>
  <c r="K43" i="8"/>
  <c r="J43" i="8"/>
  <c r="F43" i="8"/>
  <c r="E43" i="8"/>
  <c r="A43" i="8"/>
  <c r="L42" i="8"/>
  <c r="K42" i="8"/>
  <c r="J42" i="8"/>
  <c r="F42" i="8"/>
  <c r="E42" i="8"/>
  <c r="A42" i="8"/>
  <c r="L41" i="8"/>
  <c r="M41" i="8" s="1"/>
  <c r="K41" i="8"/>
  <c r="J41" i="8"/>
  <c r="F41" i="8"/>
  <c r="E41" i="8"/>
  <c r="A41" i="8"/>
  <c r="L40" i="8"/>
  <c r="K40" i="8"/>
  <c r="J40" i="8"/>
  <c r="F40" i="8"/>
  <c r="E40" i="8"/>
  <c r="A40" i="8"/>
  <c r="L39" i="8"/>
  <c r="N39" i="8" s="1"/>
  <c r="K39" i="8"/>
  <c r="J39" i="8"/>
  <c r="F39" i="8"/>
  <c r="E39" i="8"/>
  <c r="A39" i="8"/>
  <c r="L38" i="8"/>
  <c r="M38" i="8" s="1"/>
  <c r="K38" i="8"/>
  <c r="J38" i="8"/>
  <c r="F38" i="8"/>
  <c r="E38" i="8"/>
  <c r="A38" i="8"/>
  <c r="L37" i="8"/>
  <c r="K37" i="8"/>
  <c r="J37" i="8"/>
  <c r="F37" i="8"/>
  <c r="E37" i="8"/>
  <c r="A37" i="8"/>
  <c r="L36" i="8"/>
  <c r="N36" i="8" s="1"/>
  <c r="K36" i="8"/>
  <c r="J36" i="8"/>
  <c r="F36" i="8"/>
  <c r="E36" i="8"/>
  <c r="A36" i="8"/>
  <c r="L35" i="8"/>
  <c r="N35" i="8" s="1"/>
  <c r="K35" i="8"/>
  <c r="J35" i="8"/>
  <c r="F35" i="8"/>
  <c r="E35" i="8"/>
  <c r="A35" i="8"/>
  <c r="L34" i="8"/>
  <c r="K34" i="8"/>
  <c r="J34" i="8"/>
  <c r="F34" i="8"/>
  <c r="E34" i="8"/>
  <c r="A34" i="8"/>
  <c r="L33" i="8"/>
  <c r="K33" i="8"/>
  <c r="J33" i="8"/>
  <c r="F33" i="8"/>
  <c r="E33" i="8"/>
  <c r="A33" i="8"/>
  <c r="L32" i="8"/>
  <c r="M32" i="8" s="1"/>
  <c r="K32" i="8"/>
  <c r="J32" i="8"/>
  <c r="F32" i="8"/>
  <c r="E32" i="8"/>
  <c r="A32" i="8"/>
  <c r="L31" i="8"/>
  <c r="N31" i="8" s="1"/>
  <c r="K31" i="8"/>
  <c r="J31" i="8"/>
  <c r="F31" i="8"/>
  <c r="E31" i="8"/>
  <c r="A31" i="8"/>
  <c r="L30" i="8"/>
  <c r="N30" i="8" s="1"/>
  <c r="K30" i="8"/>
  <c r="J30" i="8"/>
  <c r="F30" i="8"/>
  <c r="E30" i="8"/>
  <c r="A30" i="8"/>
  <c r="L29" i="8"/>
  <c r="N29" i="8" s="1"/>
  <c r="K29" i="8"/>
  <c r="J29" i="8"/>
  <c r="F29" i="8"/>
  <c r="E29" i="8"/>
  <c r="A29" i="8"/>
  <c r="L28" i="8"/>
  <c r="N28" i="8" s="1"/>
  <c r="K28" i="8"/>
  <c r="J28" i="8"/>
  <c r="F28" i="8"/>
  <c r="E28" i="8"/>
  <c r="A28" i="8"/>
  <c r="L27" i="8"/>
  <c r="M27" i="8" s="1"/>
  <c r="K27" i="8"/>
  <c r="J27" i="8"/>
  <c r="F27" i="8"/>
  <c r="E27" i="8"/>
  <c r="A27" i="8"/>
  <c r="L26" i="8"/>
  <c r="K26" i="8"/>
  <c r="J26" i="8"/>
  <c r="F26" i="8"/>
  <c r="E26" i="8"/>
  <c r="A26" i="8"/>
  <c r="L25" i="8"/>
  <c r="N25" i="8" s="1"/>
  <c r="K25" i="8"/>
  <c r="J25" i="8"/>
  <c r="F25" i="8"/>
  <c r="E25" i="8"/>
  <c r="A25" i="8"/>
  <c r="L24" i="8"/>
  <c r="N24" i="8" s="1"/>
  <c r="K24" i="8"/>
  <c r="J24" i="8"/>
  <c r="F24" i="8"/>
  <c r="E24" i="8"/>
  <c r="A24" i="8"/>
  <c r="L23" i="8"/>
  <c r="N23" i="8" s="1"/>
  <c r="K23" i="8"/>
  <c r="J23" i="8"/>
  <c r="F23" i="8"/>
  <c r="E23" i="8"/>
  <c r="A23" i="8"/>
  <c r="L22" i="8"/>
  <c r="N22" i="8" s="1"/>
  <c r="K22" i="8"/>
  <c r="J22" i="8"/>
  <c r="F22" i="8"/>
  <c r="E22" i="8"/>
  <c r="A22" i="8"/>
  <c r="L21" i="8"/>
  <c r="M21" i="8" s="1"/>
  <c r="K21" i="8"/>
  <c r="J21" i="8"/>
  <c r="F21" i="8"/>
  <c r="E21" i="8"/>
  <c r="A21" i="8"/>
  <c r="L20" i="8"/>
  <c r="K20" i="8"/>
  <c r="J20" i="8"/>
  <c r="F20" i="8"/>
  <c r="E20" i="8"/>
  <c r="A20" i="8"/>
  <c r="L19" i="8"/>
  <c r="K19" i="8"/>
  <c r="J19" i="8"/>
  <c r="F19" i="8"/>
  <c r="E19" i="8"/>
  <c r="A19" i="8"/>
  <c r="L18" i="8"/>
  <c r="N18" i="8" s="1"/>
  <c r="K18" i="8"/>
  <c r="J18" i="8"/>
  <c r="F18" i="8"/>
  <c r="E18" i="8"/>
  <c r="A18" i="8"/>
  <c r="L17" i="8"/>
  <c r="N17" i="8" s="1"/>
  <c r="K17" i="8"/>
  <c r="J17" i="8"/>
  <c r="F17" i="8"/>
  <c r="E17" i="8"/>
  <c r="A17" i="8"/>
  <c r="L16" i="8"/>
  <c r="N16" i="8" s="1"/>
  <c r="K16" i="8"/>
  <c r="J16" i="8"/>
  <c r="F16" i="8"/>
  <c r="E16" i="8"/>
  <c r="A16" i="8"/>
  <c r="L15" i="8"/>
  <c r="N15" i="8" s="1"/>
  <c r="K15" i="8"/>
  <c r="J15" i="8"/>
  <c r="F15" i="8"/>
  <c r="E15" i="8"/>
  <c r="A15" i="8"/>
  <c r="L14" i="8"/>
  <c r="N14" i="8" s="1"/>
  <c r="K14" i="8"/>
  <c r="J14" i="8"/>
  <c r="F14" i="8"/>
  <c r="E14" i="8"/>
  <c r="A14" i="8"/>
  <c r="L13" i="8"/>
  <c r="K13" i="8"/>
  <c r="J13" i="8"/>
  <c r="F13" i="8"/>
  <c r="E13" i="8"/>
  <c r="A13" i="8"/>
  <c r="L12" i="8"/>
  <c r="N12" i="8" s="1"/>
  <c r="K12" i="8"/>
  <c r="J12" i="8"/>
  <c r="F12" i="8"/>
  <c r="E12" i="8"/>
  <c r="A12" i="8"/>
  <c r="L11" i="8"/>
  <c r="N11" i="8" s="1"/>
  <c r="K11" i="8"/>
  <c r="J11" i="8"/>
  <c r="F11" i="8"/>
  <c r="E11" i="8"/>
  <c r="A11" i="8"/>
  <c r="L10" i="8"/>
  <c r="N10" i="8" s="1"/>
  <c r="K10" i="8"/>
  <c r="J10" i="8"/>
  <c r="F10" i="8"/>
  <c r="E10" i="8"/>
  <c r="A10" i="8"/>
  <c r="L9" i="8"/>
  <c r="K9" i="8"/>
  <c r="J9" i="8"/>
  <c r="F9" i="8"/>
  <c r="E9" i="8"/>
  <c r="A9" i="8"/>
  <c r="L8" i="8"/>
  <c r="K8" i="8"/>
  <c r="J8" i="8"/>
  <c r="F8" i="8"/>
  <c r="E8" i="8"/>
  <c r="A8" i="8"/>
  <c r="L7" i="8"/>
  <c r="N7" i="8" s="1"/>
  <c r="K7" i="8"/>
  <c r="J7" i="8"/>
  <c r="F7" i="8"/>
  <c r="E7" i="8"/>
  <c r="A7" i="8"/>
  <c r="L6" i="8"/>
  <c r="K6" i="8"/>
  <c r="J6" i="8"/>
  <c r="F6" i="8"/>
  <c r="E6" i="8"/>
  <c r="A6" i="8"/>
  <c r="L5" i="8"/>
  <c r="M5" i="8" s="1"/>
  <c r="K5" i="8"/>
  <c r="J5" i="8"/>
  <c r="F5" i="8"/>
  <c r="E5" i="8"/>
  <c r="A5" i="8"/>
  <c r="I1204" i="7"/>
  <c r="H1204" i="7"/>
  <c r="G1204" i="7"/>
  <c r="E1204" i="7"/>
  <c r="D1204" i="7"/>
  <c r="A1204" i="7"/>
  <c r="I1203" i="7"/>
  <c r="H1203" i="7"/>
  <c r="G1203" i="7"/>
  <c r="E1203" i="7"/>
  <c r="D1203" i="7"/>
  <c r="A1203" i="7"/>
  <c r="I1202" i="7"/>
  <c r="H1202" i="7"/>
  <c r="G1202" i="7"/>
  <c r="E1202" i="7"/>
  <c r="D1202" i="7"/>
  <c r="A1202" i="7"/>
  <c r="I1201" i="7"/>
  <c r="H1201" i="7"/>
  <c r="G1201" i="7"/>
  <c r="E1201" i="7"/>
  <c r="D1201" i="7"/>
  <c r="A1201" i="7"/>
  <c r="I1200" i="7"/>
  <c r="H1200" i="7"/>
  <c r="G1200" i="7"/>
  <c r="E1200" i="7"/>
  <c r="D1200" i="7"/>
  <c r="A1200" i="7"/>
  <c r="I1199" i="7"/>
  <c r="H1199" i="7"/>
  <c r="G1199" i="7"/>
  <c r="E1199" i="7"/>
  <c r="D1199" i="7"/>
  <c r="A1199" i="7"/>
  <c r="I1198" i="7"/>
  <c r="H1198" i="7"/>
  <c r="G1198" i="7"/>
  <c r="E1198" i="7"/>
  <c r="D1198" i="7"/>
  <c r="A1198" i="7"/>
  <c r="I1197" i="7"/>
  <c r="H1197" i="7"/>
  <c r="G1197" i="7"/>
  <c r="E1197" i="7"/>
  <c r="D1197" i="7"/>
  <c r="A1197" i="7"/>
  <c r="I1196" i="7"/>
  <c r="H1196" i="7"/>
  <c r="G1196" i="7"/>
  <c r="E1196" i="7"/>
  <c r="D1196" i="7"/>
  <c r="A1196" i="7"/>
  <c r="I1195" i="7"/>
  <c r="H1195" i="7"/>
  <c r="G1195" i="7"/>
  <c r="E1195" i="7"/>
  <c r="D1195" i="7"/>
  <c r="A1195" i="7"/>
  <c r="I1194" i="7"/>
  <c r="H1194" i="7"/>
  <c r="G1194" i="7"/>
  <c r="E1194" i="7"/>
  <c r="D1194" i="7"/>
  <c r="A1194" i="7"/>
  <c r="I1193" i="7"/>
  <c r="H1193" i="7"/>
  <c r="G1193" i="7"/>
  <c r="E1193" i="7"/>
  <c r="D1193" i="7"/>
  <c r="A1193" i="7"/>
  <c r="I1192" i="7"/>
  <c r="H1192" i="7"/>
  <c r="G1192" i="7"/>
  <c r="E1192" i="7"/>
  <c r="D1192" i="7"/>
  <c r="A1192" i="7"/>
  <c r="I1191" i="7"/>
  <c r="H1191" i="7"/>
  <c r="G1191" i="7"/>
  <c r="E1191" i="7"/>
  <c r="D1191" i="7"/>
  <c r="A1191" i="7"/>
  <c r="I1190" i="7"/>
  <c r="H1190" i="7"/>
  <c r="G1190" i="7"/>
  <c r="E1190" i="7"/>
  <c r="D1190" i="7"/>
  <c r="A1190" i="7"/>
  <c r="I1189" i="7"/>
  <c r="H1189" i="7"/>
  <c r="G1189" i="7"/>
  <c r="E1189" i="7"/>
  <c r="D1189" i="7"/>
  <c r="A1189" i="7"/>
  <c r="I1188" i="7"/>
  <c r="H1188" i="7"/>
  <c r="G1188" i="7"/>
  <c r="E1188" i="7"/>
  <c r="D1188" i="7"/>
  <c r="A1188" i="7"/>
  <c r="I1187" i="7"/>
  <c r="H1187" i="7"/>
  <c r="G1187" i="7"/>
  <c r="E1187" i="7"/>
  <c r="D1187" i="7"/>
  <c r="A1187" i="7"/>
  <c r="I1186" i="7"/>
  <c r="H1186" i="7"/>
  <c r="G1186" i="7"/>
  <c r="E1186" i="7"/>
  <c r="D1186" i="7"/>
  <c r="A1186" i="7"/>
  <c r="I1185" i="7"/>
  <c r="H1185" i="7"/>
  <c r="G1185" i="7"/>
  <c r="E1185" i="7"/>
  <c r="D1185" i="7"/>
  <c r="A1185" i="7"/>
  <c r="I1184" i="7"/>
  <c r="H1184" i="7"/>
  <c r="G1184" i="7"/>
  <c r="E1184" i="7"/>
  <c r="D1184" i="7"/>
  <c r="A1184" i="7"/>
  <c r="I1183" i="7"/>
  <c r="H1183" i="7"/>
  <c r="G1183" i="7"/>
  <c r="E1183" i="7"/>
  <c r="D1183" i="7"/>
  <c r="A1183" i="7"/>
  <c r="I1182" i="7"/>
  <c r="H1182" i="7"/>
  <c r="G1182" i="7"/>
  <c r="E1182" i="7"/>
  <c r="D1182" i="7"/>
  <c r="A1182" i="7"/>
  <c r="I1181" i="7"/>
  <c r="H1181" i="7"/>
  <c r="G1181" i="7"/>
  <c r="E1181" i="7"/>
  <c r="D1181" i="7"/>
  <c r="A1181" i="7"/>
  <c r="I1180" i="7"/>
  <c r="H1180" i="7"/>
  <c r="G1180" i="7"/>
  <c r="E1180" i="7"/>
  <c r="D1180" i="7"/>
  <c r="A1180" i="7"/>
  <c r="I1179" i="7"/>
  <c r="H1179" i="7"/>
  <c r="G1179" i="7"/>
  <c r="E1179" i="7"/>
  <c r="D1179" i="7"/>
  <c r="A1179" i="7"/>
  <c r="I1178" i="7"/>
  <c r="H1178" i="7"/>
  <c r="G1178" i="7"/>
  <c r="E1178" i="7"/>
  <c r="D1178" i="7"/>
  <c r="A1178" i="7"/>
  <c r="I1177" i="7"/>
  <c r="H1177" i="7"/>
  <c r="G1177" i="7"/>
  <c r="E1177" i="7"/>
  <c r="D1177" i="7"/>
  <c r="A1177" i="7"/>
  <c r="I1176" i="7"/>
  <c r="H1176" i="7"/>
  <c r="G1176" i="7"/>
  <c r="E1176" i="7"/>
  <c r="D1176" i="7"/>
  <c r="A1176" i="7"/>
  <c r="I1175" i="7"/>
  <c r="H1175" i="7"/>
  <c r="G1175" i="7"/>
  <c r="E1175" i="7"/>
  <c r="D1175" i="7"/>
  <c r="A1175" i="7"/>
  <c r="I1174" i="7"/>
  <c r="H1174" i="7"/>
  <c r="G1174" i="7"/>
  <c r="E1174" i="7"/>
  <c r="D1174" i="7"/>
  <c r="A1174" i="7"/>
  <c r="I1173" i="7"/>
  <c r="H1173" i="7"/>
  <c r="G1173" i="7"/>
  <c r="E1173" i="7"/>
  <c r="D1173" i="7"/>
  <c r="A1173" i="7"/>
  <c r="I1172" i="7"/>
  <c r="H1172" i="7"/>
  <c r="G1172" i="7"/>
  <c r="E1172" i="7"/>
  <c r="D1172" i="7"/>
  <c r="A1172" i="7"/>
  <c r="I1171" i="7"/>
  <c r="H1171" i="7"/>
  <c r="G1171" i="7"/>
  <c r="E1171" i="7"/>
  <c r="D1171" i="7"/>
  <c r="A1171" i="7"/>
  <c r="I1170" i="7"/>
  <c r="H1170" i="7"/>
  <c r="G1170" i="7"/>
  <c r="E1170" i="7"/>
  <c r="D1170" i="7"/>
  <c r="A1170" i="7"/>
  <c r="I1169" i="7"/>
  <c r="H1169" i="7"/>
  <c r="G1169" i="7"/>
  <c r="E1169" i="7"/>
  <c r="D1169" i="7"/>
  <c r="A1169" i="7"/>
  <c r="I1168" i="7"/>
  <c r="H1168" i="7"/>
  <c r="G1168" i="7"/>
  <c r="E1168" i="7"/>
  <c r="D1168" i="7"/>
  <c r="A1168" i="7"/>
  <c r="I1167" i="7"/>
  <c r="H1167" i="7"/>
  <c r="G1167" i="7"/>
  <c r="E1167" i="7"/>
  <c r="D1167" i="7"/>
  <c r="A1167" i="7"/>
  <c r="I1166" i="7"/>
  <c r="H1166" i="7"/>
  <c r="G1166" i="7"/>
  <c r="E1166" i="7"/>
  <c r="D1166" i="7"/>
  <c r="A1166" i="7"/>
  <c r="I1165" i="7"/>
  <c r="H1165" i="7"/>
  <c r="G1165" i="7"/>
  <c r="E1165" i="7"/>
  <c r="D1165" i="7"/>
  <c r="A1165" i="7"/>
  <c r="I1164" i="7"/>
  <c r="H1164" i="7"/>
  <c r="G1164" i="7"/>
  <c r="E1164" i="7"/>
  <c r="D1164" i="7"/>
  <c r="A1164" i="7"/>
  <c r="I1163" i="7"/>
  <c r="H1163" i="7"/>
  <c r="G1163" i="7"/>
  <c r="E1163" i="7"/>
  <c r="D1163" i="7"/>
  <c r="A1163" i="7"/>
  <c r="I1162" i="7"/>
  <c r="H1162" i="7"/>
  <c r="G1162" i="7"/>
  <c r="E1162" i="7"/>
  <c r="D1162" i="7"/>
  <c r="A1162" i="7"/>
  <c r="I1161" i="7"/>
  <c r="H1161" i="7"/>
  <c r="G1161" i="7"/>
  <c r="E1161" i="7"/>
  <c r="D1161" i="7"/>
  <c r="A1161" i="7"/>
  <c r="I1160" i="7"/>
  <c r="H1160" i="7"/>
  <c r="G1160" i="7"/>
  <c r="E1160" i="7"/>
  <c r="D1160" i="7"/>
  <c r="A1160" i="7"/>
  <c r="I1159" i="7"/>
  <c r="H1159" i="7"/>
  <c r="G1159" i="7"/>
  <c r="E1159" i="7"/>
  <c r="D1159" i="7"/>
  <c r="A1159" i="7"/>
  <c r="I1158" i="7"/>
  <c r="H1158" i="7"/>
  <c r="G1158" i="7"/>
  <c r="E1158" i="7"/>
  <c r="D1158" i="7"/>
  <c r="A1158" i="7"/>
  <c r="I1157" i="7"/>
  <c r="H1157" i="7"/>
  <c r="G1157" i="7"/>
  <c r="E1157" i="7"/>
  <c r="D1157" i="7"/>
  <c r="A1157" i="7"/>
  <c r="I1156" i="7"/>
  <c r="H1156" i="7"/>
  <c r="G1156" i="7"/>
  <c r="E1156" i="7"/>
  <c r="D1156" i="7"/>
  <c r="A1156" i="7"/>
  <c r="I1155" i="7"/>
  <c r="H1155" i="7"/>
  <c r="G1155" i="7"/>
  <c r="E1155" i="7"/>
  <c r="D1155" i="7"/>
  <c r="A1155" i="7"/>
  <c r="I1154" i="7"/>
  <c r="H1154" i="7"/>
  <c r="G1154" i="7"/>
  <c r="E1154" i="7"/>
  <c r="D1154" i="7"/>
  <c r="A1154" i="7"/>
  <c r="I1153" i="7"/>
  <c r="H1153" i="7"/>
  <c r="G1153" i="7"/>
  <c r="E1153" i="7"/>
  <c r="D1153" i="7"/>
  <c r="A1153" i="7"/>
  <c r="I1152" i="7"/>
  <c r="H1152" i="7"/>
  <c r="G1152" i="7"/>
  <c r="E1152" i="7"/>
  <c r="D1152" i="7"/>
  <c r="A1152" i="7"/>
  <c r="I1151" i="7"/>
  <c r="H1151" i="7"/>
  <c r="G1151" i="7"/>
  <c r="E1151" i="7"/>
  <c r="D1151" i="7"/>
  <c r="A1151" i="7"/>
  <c r="I1150" i="7"/>
  <c r="H1150" i="7"/>
  <c r="G1150" i="7"/>
  <c r="E1150" i="7"/>
  <c r="D1150" i="7"/>
  <c r="A1150" i="7"/>
  <c r="I1149" i="7"/>
  <c r="H1149" i="7"/>
  <c r="G1149" i="7"/>
  <c r="E1149" i="7"/>
  <c r="D1149" i="7"/>
  <c r="A1149" i="7"/>
  <c r="I1148" i="7"/>
  <c r="H1148" i="7"/>
  <c r="G1148" i="7"/>
  <c r="E1148" i="7"/>
  <c r="D1148" i="7"/>
  <c r="A1148" i="7"/>
  <c r="I1147" i="7"/>
  <c r="H1147" i="7"/>
  <c r="G1147" i="7"/>
  <c r="E1147" i="7"/>
  <c r="D1147" i="7"/>
  <c r="A1147" i="7"/>
  <c r="I1146" i="7"/>
  <c r="H1146" i="7"/>
  <c r="G1146" i="7"/>
  <c r="E1146" i="7"/>
  <c r="D1146" i="7"/>
  <c r="A1146" i="7"/>
  <c r="I1145" i="7"/>
  <c r="H1145" i="7"/>
  <c r="G1145" i="7"/>
  <c r="E1145" i="7"/>
  <c r="D1145" i="7"/>
  <c r="A1145" i="7"/>
  <c r="I1144" i="7"/>
  <c r="H1144" i="7"/>
  <c r="G1144" i="7"/>
  <c r="E1144" i="7"/>
  <c r="D1144" i="7"/>
  <c r="A1144" i="7"/>
  <c r="I1143" i="7"/>
  <c r="H1143" i="7"/>
  <c r="G1143" i="7"/>
  <c r="E1143" i="7"/>
  <c r="D1143" i="7"/>
  <c r="A1143" i="7"/>
  <c r="I1142" i="7"/>
  <c r="H1142" i="7"/>
  <c r="G1142" i="7"/>
  <c r="E1142" i="7"/>
  <c r="D1142" i="7"/>
  <c r="A1142" i="7"/>
  <c r="I1141" i="7"/>
  <c r="H1141" i="7"/>
  <c r="G1141" i="7"/>
  <c r="E1141" i="7"/>
  <c r="D1141" i="7"/>
  <c r="A1141" i="7"/>
  <c r="I1140" i="7"/>
  <c r="H1140" i="7"/>
  <c r="G1140" i="7"/>
  <c r="E1140" i="7"/>
  <c r="D1140" i="7"/>
  <c r="A1140" i="7"/>
  <c r="I1139" i="7"/>
  <c r="H1139" i="7"/>
  <c r="G1139" i="7"/>
  <c r="E1139" i="7"/>
  <c r="D1139" i="7"/>
  <c r="A1139" i="7"/>
  <c r="I1138" i="7"/>
  <c r="H1138" i="7"/>
  <c r="G1138" i="7"/>
  <c r="E1138" i="7"/>
  <c r="D1138" i="7"/>
  <c r="A1138" i="7"/>
  <c r="I1137" i="7"/>
  <c r="H1137" i="7"/>
  <c r="G1137" i="7"/>
  <c r="E1137" i="7"/>
  <c r="D1137" i="7"/>
  <c r="A1137" i="7"/>
  <c r="I1136" i="7"/>
  <c r="H1136" i="7"/>
  <c r="G1136" i="7"/>
  <c r="E1136" i="7"/>
  <c r="D1136" i="7"/>
  <c r="A1136" i="7"/>
  <c r="I1135" i="7"/>
  <c r="H1135" i="7"/>
  <c r="G1135" i="7"/>
  <c r="E1135" i="7"/>
  <c r="D1135" i="7"/>
  <c r="A1135" i="7"/>
  <c r="I1134" i="7"/>
  <c r="H1134" i="7"/>
  <c r="G1134" i="7"/>
  <c r="E1134" i="7"/>
  <c r="D1134" i="7"/>
  <c r="A1134" i="7"/>
  <c r="I1133" i="7"/>
  <c r="H1133" i="7"/>
  <c r="G1133" i="7"/>
  <c r="E1133" i="7"/>
  <c r="D1133" i="7"/>
  <c r="A1133" i="7"/>
  <c r="I1132" i="7"/>
  <c r="H1132" i="7"/>
  <c r="G1132" i="7"/>
  <c r="E1132" i="7"/>
  <c r="D1132" i="7"/>
  <c r="A1132" i="7"/>
  <c r="I1131" i="7"/>
  <c r="H1131" i="7"/>
  <c r="G1131" i="7"/>
  <c r="E1131" i="7"/>
  <c r="D1131" i="7"/>
  <c r="A1131" i="7"/>
  <c r="I1130" i="7"/>
  <c r="H1130" i="7"/>
  <c r="G1130" i="7"/>
  <c r="E1130" i="7"/>
  <c r="D1130" i="7"/>
  <c r="A1130" i="7"/>
  <c r="I1129" i="7"/>
  <c r="H1129" i="7"/>
  <c r="G1129" i="7"/>
  <c r="E1129" i="7"/>
  <c r="D1129" i="7"/>
  <c r="A1129" i="7"/>
  <c r="I1128" i="7"/>
  <c r="H1128" i="7"/>
  <c r="G1128" i="7"/>
  <c r="E1128" i="7"/>
  <c r="D1128" i="7"/>
  <c r="A1128" i="7"/>
  <c r="I1127" i="7"/>
  <c r="H1127" i="7"/>
  <c r="G1127" i="7"/>
  <c r="E1127" i="7"/>
  <c r="D1127" i="7"/>
  <c r="A1127" i="7"/>
  <c r="I1126" i="7"/>
  <c r="H1126" i="7"/>
  <c r="G1126" i="7"/>
  <c r="E1126" i="7"/>
  <c r="D1126" i="7"/>
  <c r="A1126" i="7"/>
  <c r="I1125" i="7"/>
  <c r="H1125" i="7"/>
  <c r="G1125" i="7"/>
  <c r="E1125" i="7"/>
  <c r="D1125" i="7"/>
  <c r="A1125" i="7"/>
  <c r="I1124" i="7"/>
  <c r="H1124" i="7"/>
  <c r="G1124" i="7"/>
  <c r="E1124" i="7"/>
  <c r="D1124" i="7"/>
  <c r="A1124" i="7"/>
  <c r="I1123" i="7"/>
  <c r="H1123" i="7"/>
  <c r="G1123" i="7"/>
  <c r="E1123" i="7"/>
  <c r="D1123" i="7"/>
  <c r="A1123" i="7"/>
  <c r="I1122" i="7"/>
  <c r="H1122" i="7"/>
  <c r="G1122" i="7"/>
  <c r="E1122" i="7"/>
  <c r="D1122" i="7"/>
  <c r="A1122" i="7"/>
  <c r="I1121" i="7"/>
  <c r="H1121" i="7"/>
  <c r="G1121" i="7"/>
  <c r="E1121" i="7"/>
  <c r="D1121" i="7"/>
  <c r="A1121" i="7"/>
  <c r="I1120" i="7"/>
  <c r="H1120" i="7"/>
  <c r="G1120" i="7"/>
  <c r="E1120" i="7"/>
  <c r="D1120" i="7"/>
  <c r="A1120" i="7"/>
  <c r="I1119" i="7"/>
  <c r="H1119" i="7"/>
  <c r="G1119" i="7"/>
  <c r="E1119" i="7"/>
  <c r="D1119" i="7"/>
  <c r="A1119" i="7"/>
  <c r="I1118" i="7"/>
  <c r="H1118" i="7"/>
  <c r="G1118" i="7"/>
  <c r="E1118" i="7"/>
  <c r="D1118" i="7"/>
  <c r="A1118" i="7"/>
  <c r="I1117" i="7"/>
  <c r="H1117" i="7"/>
  <c r="G1117" i="7"/>
  <c r="E1117" i="7"/>
  <c r="D1117" i="7"/>
  <c r="A1117" i="7"/>
  <c r="I1116" i="7"/>
  <c r="H1116" i="7"/>
  <c r="G1116" i="7"/>
  <c r="E1116" i="7"/>
  <c r="D1116" i="7"/>
  <c r="A1116" i="7"/>
  <c r="I1115" i="7"/>
  <c r="H1115" i="7"/>
  <c r="G1115" i="7"/>
  <c r="E1115" i="7"/>
  <c r="D1115" i="7"/>
  <c r="A1115" i="7"/>
  <c r="I1114" i="7"/>
  <c r="H1114" i="7"/>
  <c r="G1114" i="7"/>
  <c r="E1114" i="7"/>
  <c r="D1114" i="7"/>
  <c r="A1114" i="7"/>
  <c r="I1113" i="7"/>
  <c r="H1113" i="7"/>
  <c r="G1113" i="7"/>
  <c r="E1113" i="7"/>
  <c r="D1113" i="7"/>
  <c r="A1113" i="7"/>
  <c r="I1112" i="7"/>
  <c r="H1112" i="7"/>
  <c r="G1112" i="7"/>
  <c r="E1112" i="7"/>
  <c r="D1112" i="7"/>
  <c r="A1112" i="7"/>
  <c r="I1111" i="7"/>
  <c r="H1111" i="7"/>
  <c r="G1111" i="7"/>
  <c r="E1111" i="7"/>
  <c r="D1111" i="7"/>
  <c r="A1111" i="7"/>
  <c r="I1110" i="7"/>
  <c r="H1110" i="7"/>
  <c r="G1110" i="7"/>
  <c r="E1110" i="7"/>
  <c r="D1110" i="7"/>
  <c r="A1110" i="7"/>
  <c r="I1109" i="7"/>
  <c r="H1109" i="7"/>
  <c r="G1109" i="7"/>
  <c r="E1109" i="7"/>
  <c r="D1109" i="7"/>
  <c r="A1109" i="7"/>
  <c r="I1108" i="7"/>
  <c r="H1108" i="7"/>
  <c r="G1108" i="7"/>
  <c r="E1108" i="7"/>
  <c r="D1108" i="7"/>
  <c r="A1108" i="7"/>
  <c r="I1107" i="7"/>
  <c r="H1107" i="7"/>
  <c r="G1107" i="7"/>
  <c r="E1107" i="7"/>
  <c r="D1107" i="7"/>
  <c r="A1107" i="7"/>
  <c r="I1106" i="7"/>
  <c r="H1106" i="7"/>
  <c r="G1106" i="7"/>
  <c r="E1106" i="7"/>
  <c r="D1106" i="7"/>
  <c r="A1106" i="7"/>
  <c r="I1105" i="7"/>
  <c r="H1105" i="7"/>
  <c r="G1105" i="7"/>
  <c r="E1105" i="7"/>
  <c r="D1105" i="7"/>
  <c r="A1105" i="7"/>
  <c r="I1104" i="7"/>
  <c r="H1104" i="7"/>
  <c r="G1104" i="7"/>
  <c r="E1104" i="7"/>
  <c r="D1104" i="7"/>
  <c r="A1104" i="7"/>
  <c r="I1103" i="7"/>
  <c r="H1103" i="7"/>
  <c r="G1103" i="7"/>
  <c r="E1103" i="7"/>
  <c r="D1103" i="7"/>
  <c r="A1103" i="7"/>
  <c r="I1102" i="7"/>
  <c r="H1102" i="7"/>
  <c r="G1102" i="7"/>
  <c r="E1102" i="7"/>
  <c r="D1102" i="7"/>
  <c r="A1102" i="7"/>
  <c r="I1101" i="7"/>
  <c r="H1101" i="7"/>
  <c r="G1101" i="7"/>
  <c r="E1101" i="7"/>
  <c r="D1101" i="7"/>
  <c r="A1101" i="7"/>
  <c r="I1100" i="7"/>
  <c r="H1100" i="7"/>
  <c r="G1100" i="7"/>
  <c r="E1100" i="7"/>
  <c r="D1100" i="7"/>
  <c r="A1100" i="7"/>
  <c r="I1099" i="7"/>
  <c r="H1099" i="7"/>
  <c r="G1099" i="7"/>
  <c r="E1099" i="7"/>
  <c r="D1099" i="7"/>
  <c r="A1099" i="7"/>
  <c r="I1098" i="7"/>
  <c r="H1098" i="7"/>
  <c r="G1098" i="7"/>
  <c r="E1098" i="7"/>
  <c r="D1098" i="7"/>
  <c r="A1098" i="7"/>
  <c r="I1097" i="7"/>
  <c r="H1097" i="7"/>
  <c r="G1097" i="7"/>
  <c r="E1097" i="7"/>
  <c r="D1097" i="7"/>
  <c r="A1097" i="7"/>
  <c r="I1096" i="7"/>
  <c r="H1096" i="7"/>
  <c r="G1096" i="7"/>
  <c r="E1096" i="7"/>
  <c r="D1096" i="7"/>
  <c r="A1096" i="7"/>
  <c r="I1095" i="7"/>
  <c r="H1095" i="7"/>
  <c r="G1095" i="7"/>
  <c r="E1095" i="7"/>
  <c r="D1095" i="7"/>
  <c r="A1095" i="7"/>
  <c r="I1094" i="7"/>
  <c r="H1094" i="7"/>
  <c r="G1094" i="7"/>
  <c r="E1094" i="7"/>
  <c r="D1094" i="7"/>
  <c r="A1094" i="7"/>
  <c r="I1093" i="7"/>
  <c r="H1093" i="7"/>
  <c r="G1093" i="7"/>
  <c r="E1093" i="7"/>
  <c r="D1093" i="7"/>
  <c r="A1093" i="7"/>
  <c r="I1092" i="7"/>
  <c r="H1092" i="7"/>
  <c r="G1092" i="7"/>
  <c r="E1092" i="7"/>
  <c r="D1092" i="7"/>
  <c r="A1092" i="7"/>
  <c r="I1091" i="7"/>
  <c r="H1091" i="7"/>
  <c r="G1091" i="7"/>
  <c r="E1091" i="7"/>
  <c r="D1091" i="7"/>
  <c r="A1091" i="7"/>
  <c r="I1090" i="7"/>
  <c r="H1090" i="7"/>
  <c r="G1090" i="7"/>
  <c r="E1090" i="7"/>
  <c r="D1090" i="7"/>
  <c r="A1090" i="7"/>
  <c r="I1089" i="7"/>
  <c r="H1089" i="7"/>
  <c r="G1089" i="7"/>
  <c r="E1089" i="7"/>
  <c r="D1089" i="7"/>
  <c r="A1089" i="7"/>
  <c r="I1088" i="7"/>
  <c r="H1088" i="7"/>
  <c r="G1088" i="7"/>
  <c r="E1088" i="7"/>
  <c r="D1088" i="7"/>
  <c r="A1088" i="7"/>
  <c r="I1087" i="7"/>
  <c r="H1087" i="7"/>
  <c r="G1087" i="7"/>
  <c r="E1087" i="7"/>
  <c r="D1087" i="7"/>
  <c r="A1087" i="7"/>
  <c r="I1086" i="7"/>
  <c r="H1086" i="7"/>
  <c r="G1086" i="7"/>
  <c r="E1086" i="7"/>
  <c r="D1086" i="7"/>
  <c r="A1086" i="7"/>
  <c r="I1085" i="7"/>
  <c r="H1085" i="7"/>
  <c r="G1085" i="7"/>
  <c r="E1085" i="7"/>
  <c r="D1085" i="7"/>
  <c r="A1085" i="7"/>
  <c r="I1084" i="7"/>
  <c r="H1084" i="7"/>
  <c r="G1084" i="7"/>
  <c r="E1084" i="7"/>
  <c r="D1084" i="7"/>
  <c r="A1084" i="7"/>
  <c r="I1083" i="7"/>
  <c r="H1083" i="7"/>
  <c r="G1083" i="7"/>
  <c r="E1083" i="7"/>
  <c r="D1083" i="7"/>
  <c r="A1083" i="7"/>
  <c r="I1082" i="7"/>
  <c r="H1082" i="7"/>
  <c r="G1082" i="7"/>
  <c r="E1082" i="7"/>
  <c r="D1082" i="7"/>
  <c r="A1082" i="7"/>
  <c r="I1081" i="7"/>
  <c r="H1081" i="7"/>
  <c r="G1081" i="7"/>
  <c r="E1081" i="7"/>
  <c r="D1081" i="7"/>
  <c r="A1081" i="7"/>
  <c r="I1080" i="7"/>
  <c r="H1080" i="7"/>
  <c r="G1080" i="7"/>
  <c r="E1080" i="7"/>
  <c r="D1080" i="7"/>
  <c r="A1080" i="7"/>
  <c r="I1079" i="7"/>
  <c r="H1079" i="7"/>
  <c r="G1079" i="7"/>
  <c r="E1079" i="7"/>
  <c r="D1079" i="7"/>
  <c r="A1079" i="7"/>
  <c r="I1078" i="7"/>
  <c r="H1078" i="7"/>
  <c r="G1078" i="7"/>
  <c r="E1078" i="7"/>
  <c r="D1078" i="7"/>
  <c r="A1078" i="7"/>
  <c r="I1077" i="7"/>
  <c r="H1077" i="7"/>
  <c r="G1077" i="7"/>
  <c r="E1077" i="7"/>
  <c r="D1077" i="7"/>
  <c r="A1077" i="7"/>
  <c r="I1076" i="7"/>
  <c r="H1076" i="7"/>
  <c r="G1076" i="7"/>
  <c r="E1076" i="7"/>
  <c r="D1076" i="7"/>
  <c r="A1076" i="7"/>
  <c r="I1075" i="7"/>
  <c r="H1075" i="7"/>
  <c r="G1075" i="7"/>
  <c r="E1075" i="7"/>
  <c r="D1075" i="7"/>
  <c r="A1075" i="7"/>
  <c r="I1074" i="7"/>
  <c r="H1074" i="7"/>
  <c r="G1074" i="7"/>
  <c r="E1074" i="7"/>
  <c r="D1074" i="7"/>
  <c r="A1074" i="7"/>
  <c r="I1073" i="7"/>
  <c r="H1073" i="7"/>
  <c r="G1073" i="7"/>
  <c r="E1073" i="7"/>
  <c r="D1073" i="7"/>
  <c r="A1073" i="7"/>
  <c r="I1072" i="7"/>
  <c r="H1072" i="7"/>
  <c r="G1072" i="7"/>
  <c r="E1072" i="7"/>
  <c r="D1072" i="7"/>
  <c r="A1072" i="7"/>
  <c r="I1071" i="7"/>
  <c r="H1071" i="7"/>
  <c r="G1071" i="7"/>
  <c r="E1071" i="7"/>
  <c r="D1071" i="7"/>
  <c r="A1071" i="7"/>
  <c r="I1070" i="7"/>
  <c r="H1070" i="7"/>
  <c r="G1070" i="7"/>
  <c r="E1070" i="7"/>
  <c r="D1070" i="7"/>
  <c r="A1070" i="7"/>
  <c r="I1069" i="7"/>
  <c r="H1069" i="7"/>
  <c r="G1069" i="7"/>
  <c r="E1069" i="7"/>
  <c r="D1069" i="7"/>
  <c r="A1069" i="7"/>
  <c r="I1068" i="7"/>
  <c r="H1068" i="7"/>
  <c r="G1068" i="7"/>
  <c r="E1068" i="7"/>
  <c r="D1068" i="7"/>
  <c r="A1068" i="7"/>
  <c r="I1067" i="7"/>
  <c r="H1067" i="7"/>
  <c r="G1067" i="7"/>
  <c r="E1067" i="7"/>
  <c r="D1067" i="7"/>
  <c r="A1067" i="7"/>
  <c r="I1066" i="7"/>
  <c r="H1066" i="7"/>
  <c r="G1066" i="7"/>
  <c r="E1066" i="7"/>
  <c r="D1066" i="7"/>
  <c r="A1066" i="7"/>
  <c r="I1065" i="7"/>
  <c r="H1065" i="7"/>
  <c r="G1065" i="7"/>
  <c r="E1065" i="7"/>
  <c r="D1065" i="7"/>
  <c r="A1065" i="7"/>
  <c r="I1064" i="7"/>
  <c r="H1064" i="7"/>
  <c r="G1064" i="7"/>
  <c r="E1064" i="7"/>
  <c r="D1064" i="7"/>
  <c r="A1064" i="7"/>
  <c r="I1063" i="7"/>
  <c r="H1063" i="7"/>
  <c r="G1063" i="7"/>
  <c r="E1063" i="7"/>
  <c r="D1063" i="7"/>
  <c r="A1063" i="7"/>
  <c r="I1062" i="7"/>
  <c r="H1062" i="7"/>
  <c r="G1062" i="7"/>
  <c r="E1062" i="7"/>
  <c r="D1062" i="7"/>
  <c r="A1062" i="7"/>
  <c r="I1061" i="7"/>
  <c r="H1061" i="7"/>
  <c r="G1061" i="7"/>
  <c r="E1061" i="7"/>
  <c r="D1061" i="7"/>
  <c r="A1061" i="7"/>
  <c r="I1060" i="7"/>
  <c r="H1060" i="7"/>
  <c r="G1060" i="7"/>
  <c r="E1060" i="7"/>
  <c r="D1060" i="7"/>
  <c r="A1060" i="7"/>
  <c r="I1059" i="7"/>
  <c r="H1059" i="7"/>
  <c r="G1059" i="7"/>
  <c r="E1059" i="7"/>
  <c r="D1059" i="7"/>
  <c r="A1059" i="7"/>
  <c r="I1058" i="7"/>
  <c r="H1058" i="7"/>
  <c r="G1058" i="7"/>
  <c r="E1058" i="7"/>
  <c r="D1058" i="7"/>
  <c r="A1058" i="7"/>
  <c r="I1057" i="7"/>
  <c r="H1057" i="7"/>
  <c r="G1057" i="7"/>
  <c r="E1057" i="7"/>
  <c r="D1057" i="7"/>
  <c r="A1057" i="7"/>
  <c r="I1056" i="7"/>
  <c r="H1056" i="7"/>
  <c r="G1056" i="7"/>
  <c r="E1056" i="7"/>
  <c r="D1056" i="7"/>
  <c r="A1056" i="7"/>
  <c r="I1055" i="7"/>
  <c r="H1055" i="7"/>
  <c r="G1055" i="7"/>
  <c r="E1055" i="7"/>
  <c r="D1055" i="7"/>
  <c r="A1055" i="7"/>
  <c r="I1054" i="7"/>
  <c r="H1054" i="7"/>
  <c r="G1054" i="7"/>
  <c r="E1054" i="7"/>
  <c r="D1054" i="7"/>
  <c r="A1054" i="7"/>
  <c r="I1053" i="7"/>
  <c r="H1053" i="7"/>
  <c r="G1053" i="7"/>
  <c r="E1053" i="7"/>
  <c r="D1053" i="7"/>
  <c r="A1053" i="7"/>
  <c r="I1052" i="7"/>
  <c r="H1052" i="7"/>
  <c r="G1052" i="7"/>
  <c r="E1052" i="7"/>
  <c r="D1052" i="7"/>
  <c r="A1052" i="7"/>
  <c r="I1051" i="7"/>
  <c r="H1051" i="7"/>
  <c r="G1051" i="7"/>
  <c r="E1051" i="7"/>
  <c r="D1051" i="7"/>
  <c r="A1051" i="7"/>
  <c r="I1050" i="7"/>
  <c r="H1050" i="7"/>
  <c r="G1050" i="7"/>
  <c r="E1050" i="7"/>
  <c r="D1050" i="7"/>
  <c r="A1050" i="7"/>
  <c r="I1049" i="7"/>
  <c r="H1049" i="7"/>
  <c r="G1049" i="7"/>
  <c r="E1049" i="7"/>
  <c r="D1049" i="7"/>
  <c r="A1049" i="7"/>
  <c r="I1048" i="7"/>
  <c r="H1048" i="7"/>
  <c r="G1048" i="7"/>
  <c r="E1048" i="7"/>
  <c r="D1048" i="7"/>
  <c r="A1048" i="7"/>
  <c r="I1047" i="7"/>
  <c r="H1047" i="7"/>
  <c r="G1047" i="7"/>
  <c r="E1047" i="7"/>
  <c r="D1047" i="7"/>
  <c r="A1047" i="7"/>
  <c r="I1046" i="7"/>
  <c r="H1046" i="7"/>
  <c r="G1046" i="7"/>
  <c r="E1046" i="7"/>
  <c r="D1046" i="7"/>
  <c r="A1046" i="7"/>
  <c r="I1045" i="7"/>
  <c r="H1045" i="7"/>
  <c r="G1045" i="7"/>
  <c r="E1045" i="7"/>
  <c r="D1045" i="7"/>
  <c r="A1045" i="7"/>
  <c r="I1044" i="7"/>
  <c r="H1044" i="7"/>
  <c r="G1044" i="7"/>
  <c r="E1044" i="7"/>
  <c r="D1044" i="7"/>
  <c r="A1044" i="7"/>
  <c r="I1043" i="7"/>
  <c r="H1043" i="7"/>
  <c r="G1043" i="7"/>
  <c r="E1043" i="7"/>
  <c r="D1043" i="7"/>
  <c r="A1043" i="7"/>
  <c r="I1042" i="7"/>
  <c r="H1042" i="7"/>
  <c r="G1042" i="7"/>
  <c r="E1042" i="7"/>
  <c r="D1042" i="7"/>
  <c r="A1042" i="7"/>
  <c r="I1041" i="7"/>
  <c r="H1041" i="7"/>
  <c r="G1041" i="7"/>
  <c r="E1041" i="7"/>
  <c r="D1041" i="7"/>
  <c r="A1041" i="7"/>
  <c r="I1040" i="7"/>
  <c r="H1040" i="7"/>
  <c r="G1040" i="7"/>
  <c r="E1040" i="7"/>
  <c r="D1040" i="7"/>
  <c r="A1040" i="7"/>
  <c r="I1039" i="7"/>
  <c r="H1039" i="7"/>
  <c r="G1039" i="7"/>
  <c r="E1039" i="7"/>
  <c r="D1039" i="7"/>
  <c r="A1039" i="7"/>
  <c r="I1038" i="7"/>
  <c r="H1038" i="7"/>
  <c r="G1038" i="7"/>
  <c r="E1038" i="7"/>
  <c r="D1038" i="7"/>
  <c r="A1038" i="7"/>
  <c r="I1037" i="7"/>
  <c r="H1037" i="7"/>
  <c r="G1037" i="7"/>
  <c r="E1037" i="7"/>
  <c r="D1037" i="7"/>
  <c r="A1037" i="7"/>
  <c r="I1036" i="7"/>
  <c r="H1036" i="7"/>
  <c r="G1036" i="7"/>
  <c r="E1036" i="7"/>
  <c r="D1036" i="7"/>
  <c r="A1036" i="7"/>
  <c r="I1035" i="7"/>
  <c r="H1035" i="7"/>
  <c r="G1035" i="7"/>
  <c r="E1035" i="7"/>
  <c r="D1035" i="7"/>
  <c r="A1035" i="7"/>
  <c r="I1034" i="7"/>
  <c r="H1034" i="7"/>
  <c r="G1034" i="7"/>
  <c r="E1034" i="7"/>
  <c r="D1034" i="7"/>
  <c r="A1034" i="7"/>
  <c r="I1033" i="7"/>
  <c r="H1033" i="7"/>
  <c r="G1033" i="7"/>
  <c r="E1033" i="7"/>
  <c r="D1033" i="7"/>
  <c r="A1033" i="7"/>
  <c r="I1032" i="7"/>
  <c r="H1032" i="7"/>
  <c r="G1032" i="7"/>
  <c r="E1032" i="7"/>
  <c r="D1032" i="7"/>
  <c r="A1032" i="7"/>
  <c r="I1031" i="7"/>
  <c r="H1031" i="7"/>
  <c r="G1031" i="7"/>
  <c r="E1031" i="7"/>
  <c r="D1031" i="7"/>
  <c r="A1031" i="7"/>
  <c r="I1030" i="7"/>
  <c r="H1030" i="7"/>
  <c r="G1030" i="7"/>
  <c r="E1030" i="7"/>
  <c r="D1030" i="7"/>
  <c r="A1030" i="7"/>
  <c r="I1029" i="7"/>
  <c r="H1029" i="7"/>
  <c r="G1029" i="7"/>
  <c r="E1029" i="7"/>
  <c r="D1029" i="7"/>
  <c r="A1029" i="7"/>
  <c r="I1028" i="7"/>
  <c r="H1028" i="7"/>
  <c r="G1028" i="7"/>
  <c r="E1028" i="7"/>
  <c r="D1028" i="7"/>
  <c r="A1028" i="7"/>
  <c r="I1027" i="7"/>
  <c r="H1027" i="7"/>
  <c r="G1027" i="7"/>
  <c r="E1027" i="7"/>
  <c r="D1027" i="7"/>
  <c r="A1027" i="7"/>
  <c r="I1026" i="7"/>
  <c r="H1026" i="7"/>
  <c r="G1026" i="7"/>
  <c r="E1026" i="7"/>
  <c r="D1026" i="7"/>
  <c r="A1026" i="7"/>
  <c r="I1025" i="7"/>
  <c r="H1025" i="7"/>
  <c r="G1025" i="7"/>
  <c r="E1025" i="7"/>
  <c r="D1025" i="7"/>
  <c r="A1025" i="7"/>
  <c r="I1024" i="7"/>
  <c r="H1024" i="7"/>
  <c r="G1024" i="7"/>
  <c r="E1024" i="7"/>
  <c r="D1024" i="7"/>
  <c r="A1024" i="7"/>
  <c r="I1023" i="7"/>
  <c r="H1023" i="7"/>
  <c r="G1023" i="7"/>
  <c r="E1023" i="7"/>
  <c r="D1023" i="7"/>
  <c r="A1023" i="7"/>
  <c r="I1022" i="7"/>
  <c r="H1022" i="7"/>
  <c r="G1022" i="7"/>
  <c r="E1022" i="7"/>
  <c r="D1022" i="7"/>
  <c r="A1022" i="7"/>
  <c r="I1021" i="7"/>
  <c r="H1021" i="7"/>
  <c r="G1021" i="7"/>
  <c r="E1021" i="7"/>
  <c r="D1021" i="7"/>
  <c r="A1021" i="7"/>
  <c r="I1020" i="7"/>
  <c r="H1020" i="7"/>
  <c r="G1020" i="7"/>
  <c r="E1020" i="7"/>
  <c r="D1020" i="7"/>
  <c r="A1020" i="7"/>
  <c r="I1019" i="7"/>
  <c r="H1019" i="7"/>
  <c r="G1019" i="7"/>
  <c r="E1019" i="7"/>
  <c r="D1019" i="7"/>
  <c r="A1019" i="7"/>
  <c r="I1018" i="7"/>
  <c r="H1018" i="7"/>
  <c r="G1018" i="7"/>
  <c r="E1018" i="7"/>
  <c r="D1018" i="7"/>
  <c r="A1018" i="7"/>
  <c r="I1017" i="7"/>
  <c r="H1017" i="7"/>
  <c r="G1017" i="7"/>
  <c r="E1017" i="7"/>
  <c r="D1017" i="7"/>
  <c r="A1017" i="7"/>
  <c r="I1016" i="7"/>
  <c r="H1016" i="7"/>
  <c r="G1016" i="7"/>
  <c r="E1016" i="7"/>
  <c r="D1016" i="7"/>
  <c r="A1016" i="7"/>
  <c r="I1015" i="7"/>
  <c r="H1015" i="7"/>
  <c r="G1015" i="7"/>
  <c r="E1015" i="7"/>
  <c r="D1015" i="7"/>
  <c r="A1015" i="7"/>
  <c r="I1014" i="7"/>
  <c r="H1014" i="7"/>
  <c r="G1014" i="7"/>
  <c r="E1014" i="7"/>
  <c r="D1014" i="7"/>
  <c r="A1014" i="7"/>
  <c r="I1013" i="7"/>
  <c r="H1013" i="7"/>
  <c r="G1013" i="7"/>
  <c r="E1013" i="7"/>
  <c r="D1013" i="7"/>
  <c r="A1013" i="7"/>
  <c r="I1012" i="7"/>
  <c r="H1012" i="7"/>
  <c r="G1012" i="7"/>
  <c r="E1012" i="7"/>
  <c r="D1012" i="7"/>
  <c r="A1012" i="7"/>
  <c r="I1011" i="7"/>
  <c r="H1011" i="7"/>
  <c r="G1011" i="7"/>
  <c r="E1011" i="7"/>
  <c r="D1011" i="7"/>
  <c r="A1011" i="7"/>
  <c r="I1010" i="7"/>
  <c r="H1010" i="7"/>
  <c r="G1010" i="7"/>
  <c r="E1010" i="7"/>
  <c r="D1010" i="7"/>
  <c r="A1010" i="7"/>
  <c r="I1009" i="7"/>
  <c r="H1009" i="7"/>
  <c r="G1009" i="7"/>
  <c r="E1009" i="7"/>
  <c r="D1009" i="7"/>
  <c r="A1009" i="7"/>
  <c r="I1008" i="7"/>
  <c r="H1008" i="7"/>
  <c r="G1008" i="7"/>
  <c r="E1008" i="7"/>
  <c r="D1008" i="7"/>
  <c r="A1008" i="7"/>
  <c r="I1007" i="7"/>
  <c r="H1007" i="7"/>
  <c r="G1007" i="7"/>
  <c r="E1007" i="7"/>
  <c r="D1007" i="7"/>
  <c r="A1007" i="7"/>
  <c r="I1006" i="7"/>
  <c r="H1006" i="7"/>
  <c r="G1006" i="7"/>
  <c r="E1006" i="7"/>
  <c r="D1006" i="7"/>
  <c r="A1006" i="7"/>
  <c r="I1005" i="7"/>
  <c r="H1005" i="7"/>
  <c r="G1005" i="7"/>
  <c r="E1005" i="7"/>
  <c r="D1005" i="7"/>
  <c r="A1005" i="7"/>
  <c r="I1004" i="7"/>
  <c r="H1004" i="7"/>
  <c r="G1004" i="7"/>
  <c r="E1004" i="7"/>
  <c r="D1004" i="7"/>
  <c r="A1004" i="7"/>
  <c r="I1003" i="7"/>
  <c r="H1003" i="7"/>
  <c r="G1003" i="7"/>
  <c r="E1003" i="7"/>
  <c r="D1003" i="7"/>
  <c r="A1003" i="7"/>
  <c r="I1002" i="7"/>
  <c r="H1002" i="7"/>
  <c r="G1002" i="7"/>
  <c r="E1002" i="7"/>
  <c r="D1002" i="7"/>
  <c r="A1002" i="7"/>
  <c r="I1001" i="7"/>
  <c r="H1001" i="7"/>
  <c r="G1001" i="7"/>
  <c r="E1001" i="7"/>
  <c r="D1001" i="7"/>
  <c r="A1001" i="7"/>
  <c r="I1000" i="7"/>
  <c r="H1000" i="7"/>
  <c r="G1000" i="7"/>
  <c r="E1000" i="7"/>
  <c r="D1000" i="7"/>
  <c r="A1000" i="7"/>
  <c r="I999" i="7"/>
  <c r="H999" i="7"/>
  <c r="G999" i="7"/>
  <c r="E999" i="7"/>
  <c r="D999" i="7"/>
  <c r="A999" i="7"/>
  <c r="I998" i="7"/>
  <c r="H998" i="7"/>
  <c r="G998" i="7"/>
  <c r="E998" i="7"/>
  <c r="D998" i="7"/>
  <c r="A998" i="7"/>
  <c r="I997" i="7"/>
  <c r="H997" i="7"/>
  <c r="G997" i="7"/>
  <c r="E997" i="7"/>
  <c r="D997" i="7"/>
  <c r="A997" i="7"/>
  <c r="I996" i="7"/>
  <c r="H996" i="7"/>
  <c r="G996" i="7"/>
  <c r="E996" i="7"/>
  <c r="D996" i="7"/>
  <c r="A996" i="7"/>
  <c r="I995" i="7"/>
  <c r="H995" i="7"/>
  <c r="G995" i="7"/>
  <c r="E995" i="7"/>
  <c r="D995" i="7"/>
  <c r="A995" i="7"/>
  <c r="I994" i="7"/>
  <c r="H994" i="7"/>
  <c r="G994" i="7"/>
  <c r="E994" i="7"/>
  <c r="D994" i="7"/>
  <c r="A994" i="7"/>
  <c r="I993" i="7"/>
  <c r="H993" i="7"/>
  <c r="G993" i="7"/>
  <c r="E993" i="7"/>
  <c r="D993" i="7"/>
  <c r="A993" i="7"/>
  <c r="I992" i="7"/>
  <c r="H992" i="7"/>
  <c r="G992" i="7"/>
  <c r="E992" i="7"/>
  <c r="D992" i="7"/>
  <c r="A992" i="7"/>
  <c r="I991" i="7"/>
  <c r="H991" i="7"/>
  <c r="G991" i="7"/>
  <c r="E991" i="7"/>
  <c r="D991" i="7"/>
  <c r="A991" i="7"/>
  <c r="I990" i="7"/>
  <c r="H990" i="7"/>
  <c r="G990" i="7"/>
  <c r="E990" i="7"/>
  <c r="D990" i="7"/>
  <c r="A990" i="7"/>
  <c r="I989" i="7"/>
  <c r="H989" i="7"/>
  <c r="G989" i="7"/>
  <c r="E989" i="7"/>
  <c r="D989" i="7"/>
  <c r="A989" i="7"/>
  <c r="I988" i="7"/>
  <c r="H988" i="7"/>
  <c r="G988" i="7"/>
  <c r="E988" i="7"/>
  <c r="D988" i="7"/>
  <c r="A988" i="7"/>
  <c r="I987" i="7"/>
  <c r="H987" i="7"/>
  <c r="G987" i="7"/>
  <c r="E987" i="7"/>
  <c r="D987" i="7"/>
  <c r="A987" i="7"/>
  <c r="I986" i="7"/>
  <c r="H986" i="7"/>
  <c r="G986" i="7"/>
  <c r="E986" i="7"/>
  <c r="D986" i="7"/>
  <c r="A986" i="7"/>
  <c r="I985" i="7"/>
  <c r="H985" i="7"/>
  <c r="G985" i="7"/>
  <c r="E985" i="7"/>
  <c r="D985" i="7"/>
  <c r="A985" i="7"/>
  <c r="I984" i="7"/>
  <c r="H984" i="7"/>
  <c r="G984" i="7"/>
  <c r="E984" i="7"/>
  <c r="D984" i="7"/>
  <c r="A984" i="7"/>
  <c r="I983" i="7"/>
  <c r="H983" i="7"/>
  <c r="G983" i="7"/>
  <c r="E983" i="7"/>
  <c r="D983" i="7"/>
  <c r="A983" i="7"/>
  <c r="I982" i="7"/>
  <c r="H982" i="7"/>
  <c r="G982" i="7"/>
  <c r="E982" i="7"/>
  <c r="D982" i="7"/>
  <c r="A982" i="7"/>
  <c r="I981" i="7"/>
  <c r="H981" i="7"/>
  <c r="G981" i="7"/>
  <c r="E981" i="7"/>
  <c r="D981" i="7"/>
  <c r="A981" i="7"/>
  <c r="I980" i="7"/>
  <c r="H980" i="7"/>
  <c r="G980" i="7"/>
  <c r="E980" i="7"/>
  <c r="D980" i="7"/>
  <c r="A980" i="7"/>
  <c r="I979" i="7"/>
  <c r="H979" i="7"/>
  <c r="G979" i="7"/>
  <c r="E979" i="7"/>
  <c r="D979" i="7"/>
  <c r="A979" i="7"/>
  <c r="I978" i="7"/>
  <c r="H978" i="7"/>
  <c r="G978" i="7"/>
  <c r="E978" i="7"/>
  <c r="D978" i="7"/>
  <c r="A978" i="7"/>
  <c r="I977" i="7"/>
  <c r="H977" i="7"/>
  <c r="G977" i="7"/>
  <c r="E977" i="7"/>
  <c r="D977" i="7"/>
  <c r="A977" i="7"/>
  <c r="I976" i="7"/>
  <c r="H976" i="7"/>
  <c r="G976" i="7"/>
  <c r="E976" i="7"/>
  <c r="D976" i="7"/>
  <c r="A976" i="7"/>
  <c r="I975" i="7"/>
  <c r="H975" i="7"/>
  <c r="G975" i="7"/>
  <c r="E975" i="7"/>
  <c r="D975" i="7"/>
  <c r="A975" i="7"/>
  <c r="I974" i="7"/>
  <c r="H974" i="7"/>
  <c r="G974" i="7"/>
  <c r="E974" i="7"/>
  <c r="D974" i="7"/>
  <c r="A974" i="7"/>
  <c r="I973" i="7"/>
  <c r="H973" i="7"/>
  <c r="G973" i="7"/>
  <c r="E973" i="7"/>
  <c r="D973" i="7"/>
  <c r="A973" i="7"/>
  <c r="I972" i="7"/>
  <c r="H972" i="7"/>
  <c r="G972" i="7"/>
  <c r="E972" i="7"/>
  <c r="D972" i="7"/>
  <c r="A972" i="7"/>
  <c r="I971" i="7"/>
  <c r="H971" i="7"/>
  <c r="G971" i="7"/>
  <c r="E971" i="7"/>
  <c r="D971" i="7"/>
  <c r="A971" i="7"/>
  <c r="I970" i="7"/>
  <c r="H970" i="7"/>
  <c r="G970" i="7"/>
  <c r="E970" i="7"/>
  <c r="D970" i="7"/>
  <c r="A970" i="7"/>
  <c r="I969" i="7"/>
  <c r="H969" i="7"/>
  <c r="G969" i="7"/>
  <c r="E969" i="7"/>
  <c r="D969" i="7"/>
  <c r="A969" i="7"/>
  <c r="I968" i="7"/>
  <c r="H968" i="7"/>
  <c r="G968" i="7"/>
  <c r="E968" i="7"/>
  <c r="D968" i="7"/>
  <c r="A968" i="7"/>
  <c r="I967" i="7"/>
  <c r="H967" i="7"/>
  <c r="G967" i="7"/>
  <c r="E967" i="7"/>
  <c r="D967" i="7"/>
  <c r="A967" i="7"/>
  <c r="I966" i="7"/>
  <c r="H966" i="7"/>
  <c r="G966" i="7"/>
  <c r="E966" i="7"/>
  <c r="D966" i="7"/>
  <c r="A966" i="7"/>
  <c r="I965" i="7"/>
  <c r="H965" i="7"/>
  <c r="G965" i="7"/>
  <c r="E965" i="7"/>
  <c r="D965" i="7"/>
  <c r="A965" i="7"/>
  <c r="I964" i="7"/>
  <c r="H964" i="7"/>
  <c r="G964" i="7"/>
  <c r="E964" i="7"/>
  <c r="D964" i="7"/>
  <c r="A964" i="7"/>
  <c r="I963" i="7"/>
  <c r="H963" i="7"/>
  <c r="G963" i="7"/>
  <c r="E963" i="7"/>
  <c r="D963" i="7"/>
  <c r="A963" i="7"/>
  <c r="I962" i="7"/>
  <c r="H962" i="7"/>
  <c r="G962" i="7"/>
  <c r="E962" i="7"/>
  <c r="D962" i="7"/>
  <c r="A962" i="7"/>
  <c r="I961" i="7"/>
  <c r="H961" i="7"/>
  <c r="G961" i="7"/>
  <c r="E961" i="7"/>
  <c r="D961" i="7"/>
  <c r="A961" i="7"/>
  <c r="I960" i="7"/>
  <c r="H960" i="7"/>
  <c r="G960" i="7"/>
  <c r="E960" i="7"/>
  <c r="D960" i="7"/>
  <c r="A960" i="7"/>
  <c r="I959" i="7"/>
  <c r="H959" i="7"/>
  <c r="G959" i="7"/>
  <c r="E959" i="7"/>
  <c r="D959" i="7"/>
  <c r="A959" i="7"/>
  <c r="I958" i="7"/>
  <c r="H958" i="7"/>
  <c r="G958" i="7"/>
  <c r="E958" i="7"/>
  <c r="D958" i="7"/>
  <c r="A958" i="7"/>
  <c r="I957" i="7"/>
  <c r="H957" i="7"/>
  <c r="G957" i="7"/>
  <c r="E957" i="7"/>
  <c r="D957" i="7"/>
  <c r="A957" i="7"/>
  <c r="I956" i="7"/>
  <c r="H956" i="7"/>
  <c r="G956" i="7"/>
  <c r="E956" i="7"/>
  <c r="D956" i="7"/>
  <c r="A956" i="7"/>
  <c r="I955" i="7"/>
  <c r="H955" i="7"/>
  <c r="G955" i="7"/>
  <c r="E955" i="7"/>
  <c r="D955" i="7"/>
  <c r="A955" i="7"/>
  <c r="I954" i="7"/>
  <c r="H954" i="7"/>
  <c r="G954" i="7"/>
  <c r="E954" i="7"/>
  <c r="D954" i="7"/>
  <c r="A954" i="7"/>
  <c r="I953" i="7"/>
  <c r="H953" i="7"/>
  <c r="G953" i="7"/>
  <c r="E953" i="7"/>
  <c r="D953" i="7"/>
  <c r="A953" i="7"/>
  <c r="I952" i="7"/>
  <c r="H952" i="7"/>
  <c r="G952" i="7"/>
  <c r="E952" i="7"/>
  <c r="D952" i="7"/>
  <c r="A952" i="7"/>
  <c r="I951" i="7"/>
  <c r="H951" i="7"/>
  <c r="G951" i="7"/>
  <c r="E951" i="7"/>
  <c r="D951" i="7"/>
  <c r="A951" i="7"/>
  <c r="I950" i="7"/>
  <c r="H950" i="7"/>
  <c r="G950" i="7"/>
  <c r="E950" i="7"/>
  <c r="D950" i="7"/>
  <c r="A950" i="7"/>
  <c r="I949" i="7"/>
  <c r="H949" i="7"/>
  <c r="G949" i="7"/>
  <c r="E949" i="7"/>
  <c r="D949" i="7"/>
  <c r="A949" i="7"/>
  <c r="I948" i="7"/>
  <c r="H948" i="7"/>
  <c r="G948" i="7"/>
  <c r="E948" i="7"/>
  <c r="D948" i="7"/>
  <c r="A948" i="7"/>
  <c r="I947" i="7"/>
  <c r="H947" i="7"/>
  <c r="G947" i="7"/>
  <c r="E947" i="7"/>
  <c r="D947" i="7"/>
  <c r="A947" i="7"/>
  <c r="I946" i="7"/>
  <c r="H946" i="7"/>
  <c r="G946" i="7"/>
  <c r="E946" i="7"/>
  <c r="D946" i="7"/>
  <c r="A946" i="7"/>
  <c r="I945" i="7"/>
  <c r="H945" i="7"/>
  <c r="G945" i="7"/>
  <c r="E945" i="7"/>
  <c r="D945" i="7"/>
  <c r="A945" i="7"/>
  <c r="I944" i="7"/>
  <c r="H944" i="7"/>
  <c r="G944" i="7"/>
  <c r="E944" i="7"/>
  <c r="D944" i="7"/>
  <c r="A944" i="7"/>
  <c r="I943" i="7"/>
  <c r="H943" i="7"/>
  <c r="G943" i="7"/>
  <c r="E943" i="7"/>
  <c r="D943" i="7"/>
  <c r="A943" i="7"/>
  <c r="I942" i="7"/>
  <c r="H942" i="7"/>
  <c r="G942" i="7"/>
  <c r="E942" i="7"/>
  <c r="D942" i="7"/>
  <c r="A942" i="7"/>
  <c r="I941" i="7"/>
  <c r="H941" i="7"/>
  <c r="G941" i="7"/>
  <c r="E941" i="7"/>
  <c r="D941" i="7"/>
  <c r="A941" i="7"/>
  <c r="I940" i="7"/>
  <c r="H940" i="7"/>
  <c r="G940" i="7"/>
  <c r="E940" i="7"/>
  <c r="D940" i="7"/>
  <c r="A940" i="7"/>
  <c r="I939" i="7"/>
  <c r="H939" i="7"/>
  <c r="G939" i="7"/>
  <c r="E939" i="7"/>
  <c r="D939" i="7"/>
  <c r="A939" i="7"/>
  <c r="I938" i="7"/>
  <c r="H938" i="7"/>
  <c r="G938" i="7"/>
  <c r="E938" i="7"/>
  <c r="D938" i="7"/>
  <c r="A938" i="7"/>
  <c r="I937" i="7"/>
  <c r="H937" i="7"/>
  <c r="G937" i="7"/>
  <c r="E937" i="7"/>
  <c r="D937" i="7"/>
  <c r="A937" i="7"/>
  <c r="I936" i="7"/>
  <c r="H936" i="7"/>
  <c r="G936" i="7"/>
  <c r="E936" i="7"/>
  <c r="D936" i="7"/>
  <c r="A936" i="7"/>
  <c r="I935" i="7"/>
  <c r="H935" i="7"/>
  <c r="G935" i="7"/>
  <c r="E935" i="7"/>
  <c r="D935" i="7"/>
  <c r="A935" i="7"/>
  <c r="I934" i="7"/>
  <c r="H934" i="7"/>
  <c r="G934" i="7"/>
  <c r="E934" i="7"/>
  <c r="D934" i="7"/>
  <c r="A934" i="7"/>
  <c r="I933" i="7"/>
  <c r="H933" i="7"/>
  <c r="G933" i="7"/>
  <c r="E933" i="7"/>
  <c r="D933" i="7"/>
  <c r="A933" i="7"/>
  <c r="I932" i="7"/>
  <c r="H932" i="7"/>
  <c r="G932" i="7"/>
  <c r="E932" i="7"/>
  <c r="D932" i="7"/>
  <c r="A932" i="7"/>
  <c r="I931" i="7"/>
  <c r="H931" i="7"/>
  <c r="G931" i="7"/>
  <c r="E931" i="7"/>
  <c r="D931" i="7"/>
  <c r="A931" i="7"/>
  <c r="I930" i="7"/>
  <c r="H930" i="7"/>
  <c r="G930" i="7"/>
  <c r="E930" i="7"/>
  <c r="D930" i="7"/>
  <c r="A930" i="7"/>
  <c r="I929" i="7"/>
  <c r="H929" i="7"/>
  <c r="G929" i="7"/>
  <c r="E929" i="7"/>
  <c r="D929" i="7"/>
  <c r="A929" i="7"/>
  <c r="I928" i="7"/>
  <c r="H928" i="7"/>
  <c r="G928" i="7"/>
  <c r="E928" i="7"/>
  <c r="D928" i="7"/>
  <c r="A928" i="7"/>
  <c r="I927" i="7"/>
  <c r="H927" i="7"/>
  <c r="G927" i="7"/>
  <c r="E927" i="7"/>
  <c r="D927" i="7"/>
  <c r="A927" i="7"/>
  <c r="I926" i="7"/>
  <c r="H926" i="7"/>
  <c r="G926" i="7"/>
  <c r="E926" i="7"/>
  <c r="D926" i="7"/>
  <c r="A926" i="7"/>
  <c r="I925" i="7"/>
  <c r="H925" i="7"/>
  <c r="G925" i="7"/>
  <c r="E925" i="7"/>
  <c r="D925" i="7"/>
  <c r="A925" i="7"/>
  <c r="I924" i="7"/>
  <c r="H924" i="7"/>
  <c r="G924" i="7"/>
  <c r="E924" i="7"/>
  <c r="D924" i="7"/>
  <c r="A924" i="7"/>
  <c r="I923" i="7"/>
  <c r="H923" i="7"/>
  <c r="G923" i="7"/>
  <c r="E923" i="7"/>
  <c r="D923" i="7"/>
  <c r="A923" i="7"/>
  <c r="I922" i="7"/>
  <c r="H922" i="7"/>
  <c r="G922" i="7"/>
  <c r="E922" i="7"/>
  <c r="D922" i="7"/>
  <c r="A922" i="7"/>
  <c r="I921" i="7"/>
  <c r="H921" i="7"/>
  <c r="G921" i="7"/>
  <c r="E921" i="7"/>
  <c r="D921" i="7"/>
  <c r="A921" i="7"/>
  <c r="I920" i="7"/>
  <c r="H920" i="7"/>
  <c r="G920" i="7"/>
  <c r="E920" i="7"/>
  <c r="D920" i="7"/>
  <c r="A920" i="7"/>
  <c r="I919" i="7"/>
  <c r="H919" i="7"/>
  <c r="G919" i="7"/>
  <c r="E919" i="7"/>
  <c r="D919" i="7"/>
  <c r="A919" i="7"/>
  <c r="I918" i="7"/>
  <c r="H918" i="7"/>
  <c r="G918" i="7"/>
  <c r="E918" i="7"/>
  <c r="D918" i="7"/>
  <c r="A918" i="7"/>
  <c r="I917" i="7"/>
  <c r="H917" i="7"/>
  <c r="G917" i="7"/>
  <c r="E917" i="7"/>
  <c r="D917" i="7"/>
  <c r="A917" i="7"/>
  <c r="I916" i="7"/>
  <c r="H916" i="7"/>
  <c r="G916" i="7"/>
  <c r="E916" i="7"/>
  <c r="D916" i="7"/>
  <c r="A916" i="7"/>
  <c r="I915" i="7"/>
  <c r="H915" i="7"/>
  <c r="G915" i="7"/>
  <c r="E915" i="7"/>
  <c r="D915" i="7"/>
  <c r="A915" i="7"/>
  <c r="I914" i="7"/>
  <c r="H914" i="7"/>
  <c r="G914" i="7"/>
  <c r="E914" i="7"/>
  <c r="D914" i="7"/>
  <c r="A914" i="7"/>
  <c r="I913" i="7"/>
  <c r="H913" i="7"/>
  <c r="G913" i="7"/>
  <c r="E913" i="7"/>
  <c r="D913" i="7"/>
  <c r="A913" i="7"/>
  <c r="I912" i="7"/>
  <c r="H912" i="7"/>
  <c r="G912" i="7"/>
  <c r="E912" i="7"/>
  <c r="D912" i="7"/>
  <c r="A912" i="7"/>
  <c r="I911" i="7"/>
  <c r="H911" i="7"/>
  <c r="G911" i="7"/>
  <c r="E911" i="7"/>
  <c r="D911" i="7"/>
  <c r="A911" i="7"/>
  <c r="I910" i="7"/>
  <c r="H910" i="7"/>
  <c r="G910" i="7"/>
  <c r="E910" i="7"/>
  <c r="D910" i="7"/>
  <c r="A910" i="7"/>
  <c r="I909" i="7"/>
  <c r="H909" i="7"/>
  <c r="G909" i="7"/>
  <c r="E909" i="7"/>
  <c r="D909" i="7"/>
  <c r="A909" i="7"/>
  <c r="I908" i="7"/>
  <c r="H908" i="7"/>
  <c r="G908" i="7"/>
  <c r="E908" i="7"/>
  <c r="D908" i="7"/>
  <c r="A908" i="7"/>
  <c r="I907" i="7"/>
  <c r="H907" i="7"/>
  <c r="G907" i="7"/>
  <c r="E907" i="7"/>
  <c r="D907" i="7"/>
  <c r="A907" i="7"/>
  <c r="I906" i="7"/>
  <c r="H906" i="7"/>
  <c r="G906" i="7"/>
  <c r="E906" i="7"/>
  <c r="D906" i="7"/>
  <c r="A906" i="7"/>
  <c r="I905" i="7"/>
  <c r="H905" i="7"/>
  <c r="G905" i="7"/>
  <c r="E905" i="7"/>
  <c r="D905" i="7"/>
  <c r="A905" i="7"/>
  <c r="I904" i="7"/>
  <c r="H904" i="7"/>
  <c r="G904" i="7"/>
  <c r="E904" i="7"/>
  <c r="D904" i="7"/>
  <c r="A904" i="7"/>
  <c r="I903" i="7"/>
  <c r="H903" i="7"/>
  <c r="G903" i="7"/>
  <c r="E903" i="7"/>
  <c r="D903" i="7"/>
  <c r="A903" i="7"/>
  <c r="I902" i="7"/>
  <c r="H902" i="7"/>
  <c r="G902" i="7"/>
  <c r="E902" i="7"/>
  <c r="D902" i="7"/>
  <c r="A902" i="7"/>
  <c r="I901" i="7"/>
  <c r="H901" i="7"/>
  <c r="G901" i="7"/>
  <c r="E901" i="7"/>
  <c r="D901" i="7"/>
  <c r="A901" i="7"/>
  <c r="I900" i="7"/>
  <c r="H900" i="7"/>
  <c r="G900" i="7"/>
  <c r="E900" i="7"/>
  <c r="D900" i="7"/>
  <c r="A900" i="7"/>
  <c r="I899" i="7"/>
  <c r="H899" i="7"/>
  <c r="G899" i="7"/>
  <c r="E899" i="7"/>
  <c r="D899" i="7"/>
  <c r="A899" i="7"/>
  <c r="I898" i="7"/>
  <c r="H898" i="7"/>
  <c r="G898" i="7"/>
  <c r="E898" i="7"/>
  <c r="D898" i="7"/>
  <c r="A898" i="7"/>
  <c r="I897" i="7"/>
  <c r="H897" i="7"/>
  <c r="G897" i="7"/>
  <c r="E897" i="7"/>
  <c r="D897" i="7"/>
  <c r="A897" i="7"/>
  <c r="I896" i="7"/>
  <c r="H896" i="7"/>
  <c r="G896" i="7"/>
  <c r="E896" i="7"/>
  <c r="D896" i="7"/>
  <c r="A896" i="7"/>
  <c r="I895" i="7"/>
  <c r="H895" i="7"/>
  <c r="G895" i="7"/>
  <c r="E895" i="7"/>
  <c r="D895" i="7"/>
  <c r="A895" i="7"/>
  <c r="I894" i="7"/>
  <c r="H894" i="7"/>
  <c r="G894" i="7"/>
  <c r="E894" i="7"/>
  <c r="D894" i="7"/>
  <c r="A894" i="7"/>
  <c r="I893" i="7"/>
  <c r="H893" i="7"/>
  <c r="G893" i="7"/>
  <c r="E893" i="7"/>
  <c r="D893" i="7"/>
  <c r="A893" i="7"/>
  <c r="I892" i="7"/>
  <c r="H892" i="7"/>
  <c r="G892" i="7"/>
  <c r="E892" i="7"/>
  <c r="D892" i="7"/>
  <c r="A892" i="7"/>
  <c r="I891" i="7"/>
  <c r="H891" i="7"/>
  <c r="G891" i="7"/>
  <c r="E891" i="7"/>
  <c r="D891" i="7"/>
  <c r="A891" i="7"/>
  <c r="I890" i="7"/>
  <c r="H890" i="7"/>
  <c r="G890" i="7"/>
  <c r="E890" i="7"/>
  <c r="D890" i="7"/>
  <c r="A890" i="7"/>
  <c r="I889" i="7"/>
  <c r="H889" i="7"/>
  <c r="G889" i="7"/>
  <c r="E889" i="7"/>
  <c r="D889" i="7"/>
  <c r="A889" i="7"/>
  <c r="I888" i="7"/>
  <c r="H888" i="7"/>
  <c r="G888" i="7"/>
  <c r="E888" i="7"/>
  <c r="D888" i="7"/>
  <c r="A888" i="7"/>
  <c r="I887" i="7"/>
  <c r="H887" i="7"/>
  <c r="G887" i="7"/>
  <c r="E887" i="7"/>
  <c r="D887" i="7"/>
  <c r="A887" i="7"/>
  <c r="I886" i="7"/>
  <c r="H886" i="7"/>
  <c r="G886" i="7"/>
  <c r="E886" i="7"/>
  <c r="D886" i="7"/>
  <c r="A886" i="7"/>
  <c r="I885" i="7"/>
  <c r="H885" i="7"/>
  <c r="G885" i="7"/>
  <c r="E885" i="7"/>
  <c r="D885" i="7"/>
  <c r="A885" i="7"/>
  <c r="I884" i="7"/>
  <c r="H884" i="7"/>
  <c r="G884" i="7"/>
  <c r="E884" i="7"/>
  <c r="D884" i="7"/>
  <c r="A884" i="7"/>
  <c r="I883" i="7"/>
  <c r="H883" i="7"/>
  <c r="G883" i="7"/>
  <c r="E883" i="7"/>
  <c r="D883" i="7"/>
  <c r="A883" i="7"/>
  <c r="I882" i="7"/>
  <c r="H882" i="7"/>
  <c r="G882" i="7"/>
  <c r="E882" i="7"/>
  <c r="D882" i="7"/>
  <c r="A882" i="7"/>
  <c r="I881" i="7"/>
  <c r="H881" i="7"/>
  <c r="G881" i="7"/>
  <c r="E881" i="7"/>
  <c r="D881" i="7"/>
  <c r="A881" i="7"/>
  <c r="I880" i="7"/>
  <c r="H880" i="7"/>
  <c r="G880" i="7"/>
  <c r="E880" i="7"/>
  <c r="D880" i="7"/>
  <c r="A880" i="7"/>
  <c r="I879" i="7"/>
  <c r="H879" i="7"/>
  <c r="G879" i="7"/>
  <c r="E879" i="7"/>
  <c r="D879" i="7"/>
  <c r="A879" i="7"/>
  <c r="I878" i="7"/>
  <c r="H878" i="7"/>
  <c r="G878" i="7"/>
  <c r="E878" i="7"/>
  <c r="D878" i="7"/>
  <c r="A878" i="7"/>
  <c r="I877" i="7"/>
  <c r="H877" i="7"/>
  <c r="G877" i="7"/>
  <c r="E877" i="7"/>
  <c r="D877" i="7"/>
  <c r="A877" i="7"/>
  <c r="I876" i="7"/>
  <c r="H876" i="7"/>
  <c r="G876" i="7"/>
  <c r="E876" i="7"/>
  <c r="D876" i="7"/>
  <c r="A876" i="7"/>
  <c r="I875" i="7"/>
  <c r="H875" i="7"/>
  <c r="G875" i="7"/>
  <c r="E875" i="7"/>
  <c r="D875" i="7"/>
  <c r="A875" i="7"/>
  <c r="I874" i="7"/>
  <c r="H874" i="7"/>
  <c r="G874" i="7"/>
  <c r="E874" i="7"/>
  <c r="D874" i="7"/>
  <c r="A874" i="7"/>
  <c r="I873" i="7"/>
  <c r="H873" i="7"/>
  <c r="G873" i="7"/>
  <c r="E873" i="7"/>
  <c r="D873" i="7"/>
  <c r="A873" i="7"/>
  <c r="I872" i="7"/>
  <c r="H872" i="7"/>
  <c r="G872" i="7"/>
  <c r="E872" i="7"/>
  <c r="D872" i="7"/>
  <c r="A872" i="7"/>
  <c r="I871" i="7"/>
  <c r="H871" i="7"/>
  <c r="G871" i="7"/>
  <c r="E871" i="7"/>
  <c r="D871" i="7"/>
  <c r="A871" i="7"/>
  <c r="I870" i="7"/>
  <c r="H870" i="7"/>
  <c r="G870" i="7"/>
  <c r="E870" i="7"/>
  <c r="D870" i="7"/>
  <c r="A870" i="7"/>
  <c r="I869" i="7"/>
  <c r="H869" i="7"/>
  <c r="G869" i="7"/>
  <c r="E869" i="7"/>
  <c r="D869" i="7"/>
  <c r="A869" i="7"/>
  <c r="I868" i="7"/>
  <c r="H868" i="7"/>
  <c r="G868" i="7"/>
  <c r="E868" i="7"/>
  <c r="D868" i="7"/>
  <c r="A868" i="7"/>
  <c r="I867" i="7"/>
  <c r="H867" i="7"/>
  <c r="G867" i="7"/>
  <c r="E867" i="7"/>
  <c r="D867" i="7"/>
  <c r="A867" i="7"/>
  <c r="I866" i="7"/>
  <c r="H866" i="7"/>
  <c r="G866" i="7"/>
  <c r="E866" i="7"/>
  <c r="D866" i="7"/>
  <c r="A866" i="7"/>
  <c r="I865" i="7"/>
  <c r="H865" i="7"/>
  <c r="G865" i="7"/>
  <c r="E865" i="7"/>
  <c r="D865" i="7"/>
  <c r="A865" i="7"/>
  <c r="I864" i="7"/>
  <c r="H864" i="7"/>
  <c r="G864" i="7"/>
  <c r="E864" i="7"/>
  <c r="D864" i="7"/>
  <c r="A864" i="7"/>
  <c r="I863" i="7"/>
  <c r="H863" i="7"/>
  <c r="G863" i="7"/>
  <c r="E863" i="7"/>
  <c r="D863" i="7"/>
  <c r="A863" i="7"/>
  <c r="I862" i="7"/>
  <c r="H862" i="7"/>
  <c r="G862" i="7"/>
  <c r="E862" i="7"/>
  <c r="D862" i="7"/>
  <c r="A862" i="7"/>
  <c r="I861" i="7"/>
  <c r="H861" i="7"/>
  <c r="G861" i="7"/>
  <c r="E861" i="7"/>
  <c r="D861" i="7"/>
  <c r="A861" i="7"/>
  <c r="I860" i="7"/>
  <c r="H860" i="7"/>
  <c r="G860" i="7"/>
  <c r="E860" i="7"/>
  <c r="D860" i="7"/>
  <c r="A860" i="7"/>
  <c r="I859" i="7"/>
  <c r="H859" i="7"/>
  <c r="G859" i="7"/>
  <c r="E859" i="7"/>
  <c r="D859" i="7"/>
  <c r="A859" i="7"/>
  <c r="I858" i="7"/>
  <c r="H858" i="7"/>
  <c r="G858" i="7"/>
  <c r="E858" i="7"/>
  <c r="D858" i="7"/>
  <c r="A858" i="7"/>
  <c r="I857" i="7"/>
  <c r="H857" i="7"/>
  <c r="G857" i="7"/>
  <c r="E857" i="7"/>
  <c r="D857" i="7"/>
  <c r="A857" i="7"/>
  <c r="I856" i="7"/>
  <c r="H856" i="7"/>
  <c r="G856" i="7"/>
  <c r="E856" i="7"/>
  <c r="D856" i="7"/>
  <c r="A856" i="7"/>
  <c r="I855" i="7"/>
  <c r="H855" i="7"/>
  <c r="G855" i="7"/>
  <c r="E855" i="7"/>
  <c r="D855" i="7"/>
  <c r="A855" i="7"/>
  <c r="I854" i="7"/>
  <c r="H854" i="7"/>
  <c r="G854" i="7"/>
  <c r="E854" i="7"/>
  <c r="D854" i="7"/>
  <c r="A854" i="7"/>
  <c r="I853" i="7"/>
  <c r="H853" i="7"/>
  <c r="G853" i="7"/>
  <c r="E853" i="7"/>
  <c r="D853" i="7"/>
  <c r="A853" i="7"/>
  <c r="I852" i="7"/>
  <c r="H852" i="7"/>
  <c r="G852" i="7"/>
  <c r="E852" i="7"/>
  <c r="D852" i="7"/>
  <c r="A852" i="7"/>
  <c r="I851" i="7"/>
  <c r="H851" i="7"/>
  <c r="G851" i="7"/>
  <c r="E851" i="7"/>
  <c r="D851" i="7"/>
  <c r="A851" i="7"/>
  <c r="I850" i="7"/>
  <c r="H850" i="7"/>
  <c r="G850" i="7"/>
  <c r="E850" i="7"/>
  <c r="D850" i="7"/>
  <c r="A850" i="7"/>
  <c r="I849" i="7"/>
  <c r="H849" i="7"/>
  <c r="G849" i="7"/>
  <c r="E849" i="7"/>
  <c r="D849" i="7"/>
  <c r="A849" i="7"/>
  <c r="I848" i="7"/>
  <c r="H848" i="7"/>
  <c r="G848" i="7"/>
  <c r="E848" i="7"/>
  <c r="D848" i="7"/>
  <c r="A848" i="7"/>
  <c r="I847" i="7"/>
  <c r="H847" i="7"/>
  <c r="G847" i="7"/>
  <c r="E847" i="7"/>
  <c r="D847" i="7"/>
  <c r="A847" i="7"/>
  <c r="I846" i="7"/>
  <c r="H846" i="7"/>
  <c r="G846" i="7"/>
  <c r="E846" i="7"/>
  <c r="D846" i="7"/>
  <c r="A846" i="7"/>
  <c r="I845" i="7"/>
  <c r="H845" i="7"/>
  <c r="G845" i="7"/>
  <c r="E845" i="7"/>
  <c r="D845" i="7"/>
  <c r="A845" i="7"/>
  <c r="I844" i="7"/>
  <c r="H844" i="7"/>
  <c r="G844" i="7"/>
  <c r="E844" i="7"/>
  <c r="D844" i="7"/>
  <c r="A844" i="7"/>
  <c r="I843" i="7"/>
  <c r="H843" i="7"/>
  <c r="G843" i="7"/>
  <c r="E843" i="7"/>
  <c r="D843" i="7"/>
  <c r="A843" i="7"/>
  <c r="I842" i="7"/>
  <c r="H842" i="7"/>
  <c r="G842" i="7"/>
  <c r="E842" i="7"/>
  <c r="D842" i="7"/>
  <c r="A842" i="7"/>
  <c r="I841" i="7"/>
  <c r="H841" i="7"/>
  <c r="G841" i="7"/>
  <c r="E841" i="7"/>
  <c r="D841" i="7"/>
  <c r="A841" i="7"/>
  <c r="I840" i="7"/>
  <c r="H840" i="7"/>
  <c r="G840" i="7"/>
  <c r="E840" i="7"/>
  <c r="D840" i="7"/>
  <c r="A840" i="7"/>
  <c r="I839" i="7"/>
  <c r="H839" i="7"/>
  <c r="G839" i="7"/>
  <c r="E839" i="7"/>
  <c r="D839" i="7"/>
  <c r="A839" i="7"/>
  <c r="I838" i="7"/>
  <c r="H838" i="7"/>
  <c r="G838" i="7"/>
  <c r="E838" i="7"/>
  <c r="D838" i="7"/>
  <c r="A838" i="7"/>
  <c r="I837" i="7"/>
  <c r="H837" i="7"/>
  <c r="G837" i="7"/>
  <c r="E837" i="7"/>
  <c r="D837" i="7"/>
  <c r="A837" i="7"/>
  <c r="I836" i="7"/>
  <c r="H836" i="7"/>
  <c r="G836" i="7"/>
  <c r="E836" i="7"/>
  <c r="D836" i="7"/>
  <c r="A836" i="7"/>
  <c r="I835" i="7"/>
  <c r="H835" i="7"/>
  <c r="G835" i="7"/>
  <c r="E835" i="7"/>
  <c r="D835" i="7"/>
  <c r="A835" i="7"/>
  <c r="I834" i="7"/>
  <c r="H834" i="7"/>
  <c r="G834" i="7"/>
  <c r="E834" i="7"/>
  <c r="D834" i="7"/>
  <c r="A834" i="7"/>
  <c r="I833" i="7"/>
  <c r="H833" i="7"/>
  <c r="G833" i="7"/>
  <c r="E833" i="7"/>
  <c r="D833" i="7"/>
  <c r="A833" i="7"/>
  <c r="I832" i="7"/>
  <c r="H832" i="7"/>
  <c r="G832" i="7"/>
  <c r="E832" i="7"/>
  <c r="D832" i="7"/>
  <c r="A832" i="7"/>
  <c r="I831" i="7"/>
  <c r="H831" i="7"/>
  <c r="G831" i="7"/>
  <c r="E831" i="7"/>
  <c r="D831" i="7"/>
  <c r="A831" i="7"/>
  <c r="I830" i="7"/>
  <c r="H830" i="7"/>
  <c r="G830" i="7"/>
  <c r="E830" i="7"/>
  <c r="D830" i="7"/>
  <c r="A830" i="7"/>
  <c r="I829" i="7"/>
  <c r="H829" i="7"/>
  <c r="G829" i="7"/>
  <c r="E829" i="7"/>
  <c r="D829" i="7"/>
  <c r="A829" i="7"/>
  <c r="I828" i="7"/>
  <c r="H828" i="7"/>
  <c r="G828" i="7"/>
  <c r="E828" i="7"/>
  <c r="D828" i="7"/>
  <c r="A828" i="7"/>
  <c r="I827" i="7"/>
  <c r="H827" i="7"/>
  <c r="G827" i="7"/>
  <c r="E827" i="7"/>
  <c r="D827" i="7"/>
  <c r="A827" i="7"/>
  <c r="I826" i="7"/>
  <c r="H826" i="7"/>
  <c r="G826" i="7"/>
  <c r="E826" i="7"/>
  <c r="D826" i="7"/>
  <c r="A826" i="7"/>
  <c r="I825" i="7"/>
  <c r="H825" i="7"/>
  <c r="G825" i="7"/>
  <c r="E825" i="7"/>
  <c r="D825" i="7"/>
  <c r="A825" i="7"/>
  <c r="I824" i="7"/>
  <c r="H824" i="7"/>
  <c r="G824" i="7"/>
  <c r="E824" i="7"/>
  <c r="D824" i="7"/>
  <c r="A824" i="7"/>
  <c r="I823" i="7"/>
  <c r="H823" i="7"/>
  <c r="G823" i="7"/>
  <c r="E823" i="7"/>
  <c r="D823" i="7"/>
  <c r="A823" i="7"/>
  <c r="I822" i="7"/>
  <c r="H822" i="7"/>
  <c r="G822" i="7"/>
  <c r="E822" i="7"/>
  <c r="D822" i="7"/>
  <c r="A822" i="7"/>
  <c r="I821" i="7"/>
  <c r="H821" i="7"/>
  <c r="G821" i="7"/>
  <c r="E821" i="7"/>
  <c r="D821" i="7"/>
  <c r="A821" i="7"/>
  <c r="I820" i="7"/>
  <c r="H820" i="7"/>
  <c r="G820" i="7"/>
  <c r="E820" i="7"/>
  <c r="D820" i="7"/>
  <c r="A820" i="7"/>
  <c r="I819" i="7"/>
  <c r="H819" i="7"/>
  <c r="G819" i="7"/>
  <c r="E819" i="7"/>
  <c r="D819" i="7"/>
  <c r="A819" i="7"/>
  <c r="I818" i="7"/>
  <c r="H818" i="7"/>
  <c r="G818" i="7"/>
  <c r="E818" i="7"/>
  <c r="D818" i="7"/>
  <c r="A818" i="7"/>
  <c r="I817" i="7"/>
  <c r="H817" i="7"/>
  <c r="G817" i="7"/>
  <c r="E817" i="7"/>
  <c r="D817" i="7"/>
  <c r="A817" i="7"/>
  <c r="I816" i="7"/>
  <c r="H816" i="7"/>
  <c r="G816" i="7"/>
  <c r="E816" i="7"/>
  <c r="D816" i="7"/>
  <c r="A816" i="7"/>
  <c r="I815" i="7"/>
  <c r="H815" i="7"/>
  <c r="G815" i="7"/>
  <c r="E815" i="7"/>
  <c r="D815" i="7"/>
  <c r="A815" i="7"/>
  <c r="I814" i="7"/>
  <c r="H814" i="7"/>
  <c r="G814" i="7"/>
  <c r="E814" i="7"/>
  <c r="D814" i="7"/>
  <c r="A814" i="7"/>
  <c r="I813" i="7"/>
  <c r="H813" i="7"/>
  <c r="G813" i="7"/>
  <c r="E813" i="7"/>
  <c r="D813" i="7"/>
  <c r="A813" i="7"/>
  <c r="I812" i="7"/>
  <c r="H812" i="7"/>
  <c r="G812" i="7"/>
  <c r="E812" i="7"/>
  <c r="D812" i="7"/>
  <c r="A812" i="7"/>
  <c r="I811" i="7"/>
  <c r="H811" i="7"/>
  <c r="G811" i="7"/>
  <c r="E811" i="7"/>
  <c r="D811" i="7"/>
  <c r="A811" i="7"/>
  <c r="I810" i="7"/>
  <c r="H810" i="7"/>
  <c r="G810" i="7"/>
  <c r="E810" i="7"/>
  <c r="D810" i="7"/>
  <c r="A810" i="7"/>
  <c r="I809" i="7"/>
  <c r="H809" i="7"/>
  <c r="G809" i="7"/>
  <c r="E809" i="7"/>
  <c r="D809" i="7"/>
  <c r="A809" i="7"/>
  <c r="I808" i="7"/>
  <c r="H808" i="7"/>
  <c r="G808" i="7"/>
  <c r="E808" i="7"/>
  <c r="D808" i="7"/>
  <c r="A808" i="7"/>
  <c r="I807" i="7"/>
  <c r="H807" i="7"/>
  <c r="G807" i="7"/>
  <c r="E807" i="7"/>
  <c r="D807" i="7"/>
  <c r="A807" i="7"/>
  <c r="I806" i="7"/>
  <c r="H806" i="7"/>
  <c r="G806" i="7"/>
  <c r="E806" i="7"/>
  <c r="D806" i="7"/>
  <c r="A806" i="7"/>
  <c r="I805" i="7"/>
  <c r="H805" i="7"/>
  <c r="G805" i="7"/>
  <c r="E805" i="7"/>
  <c r="D805" i="7"/>
  <c r="A805" i="7"/>
  <c r="I804" i="7"/>
  <c r="H804" i="7"/>
  <c r="G804" i="7"/>
  <c r="E804" i="7"/>
  <c r="D804" i="7"/>
  <c r="A804" i="7"/>
  <c r="I803" i="7"/>
  <c r="H803" i="7"/>
  <c r="G803" i="7"/>
  <c r="E803" i="7"/>
  <c r="D803" i="7"/>
  <c r="A803" i="7"/>
  <c r="I802" i="7"/>
  <c r="H802" i="7"/>
  <c r="G802" i="7"/>
  <c r="E802" i="7"/>
  <c r="D802" i="7"/>
  <c r="A802" i="7"/>
  <c r="I801" i="7"/>
  <c r="H801" i="7"/>
  <c r="G801" i="7"/>
  <c r="E801" i="7"/>
  <c r="D801" i="7"/>
  <c r="A801" i="7"/>
  <c r="I800" i="7"/>
  <c r="H800" i="7"/>
  <c r="G800" i="7"/>
  <c r="E800" i="7"/>
  <c r="D800" i="7"/>
  <c r="A800" i="7"/>
  <c r="I799" i="7"/>
  <c r="H799" i="7"/>
  <c r="G799" i="7"/>
  <c r="E799" i="7"/>
  <c r="D799" i="7"/>
  <c r="A799" i="7"/>
  <c r="I798" i="7"/>
  <c r="H798" i="7"/>
  <c r="G798" i="7"/>
  <c r="E798" i="7"/>
  <c r="D798" i="7"/>
  <c r="A798" i="7"/>
  <c r="I797" i="7"/>
  <c r="H797" i="7"/>
  <c r="G797" i="7"/>
  <c r="E797" i="7"/>
  <c r="D797" i="7"/>
  <c r="A797" i="7"/>
  <c r="I796" i="7"/>
  <c r="H796" i="7"/>
  <c r="G796" i="7"/>
  <c r="E796" i="7"/>
  <c r="D796" i="7"/>
  <c r="A796" i="7"/>
  <c r="I795" i="7"/>
  <c r="H795" i="7"/>
  <c r="G795" i="7"/>
  <c r="E795" i="7"/>
  <c r="D795" i="7"/>
  <c r="A795" i="7"/>
  <c r="I794" i="7"/>
  <c r="H794" i="7"/>
  <c r="G794" i="7"/>
  <c r="E794" i="7"/>
  <c r="D794" i="7"/>
  <c r="A794" i="7"/>
  <c r="I793" i="7"/>
  <c r="H793" i="7"/>
  <c r="G793" i="7"/>
  <c r="E793" i="7"/>
  <c r="D793" i="7"/>
  <c r="A793" i="7"/>
  <c r="I792" i="7"/>
  <c r="H792" i="7"/>
  <c r="G792" i="7"/>
  <c r="E792" i="7"/>
  <c r="D792" i="7"/>
  <c r="A792" i="7"/>
  <c r="I791" i="7"/>
  <c r="H791" i="7"/>
  <c r="G791" i="7"/>
  <c r="E791" i="7"/>
  <c r="D791" i="7"/>
  <c r="A791" i="7"/>
  <c r="I790" i="7"/>
  <c r="H790" i="7"/>
  <c r="G790" i="7"/>
  <c r="E790" i="7"/>
  <c r="D790" i="7"/>
  <c r="A790" i="7"/>
  <c r="I789" i="7"/>
  <c r="H789" i="7"/>
  <c r="G789" i="7"/>
  <c r="E789" i="7"/>
  <c r="D789" i="7"/>
  <c r="A789" i="7"/>
  <c r="I788" i="7"/>
  <c r="H788" i="7"/>
  <c r="G788" i="7"/>
  <c r="E788" i="7"/>
  <c r="D788" i="7"/>
  <c r="A788" i="7"/>
  <c r="I787" i="7"/>
  <c r="H787" i="7"/>
  <c r="G787" i="7"/>
  <c r="E787" i="7"/>
  <c r="D787" i="7"/>
  <c r="A787" i="7"/>
  <c r="I786" i="7"/>
  <c r="H786" i="7"/>
  <c r="G786" i="7"/>
  <c r="E786" i="7"/>
  <c r="D786" i="7"/>
  <c r="A786" i="7"/>
  <c r="I785" i="7"/>
  <c r="H785" i="7"/>
  <c r="G785" i="7"/>
  <c r="E785" i="7"/>
  <c r="D785" i="7"/>
  <c r="A785" i="7"/>
  <c r="I784" i="7"/>
  <c r="H784" i="7"/>
  <c r="G784" i="7"/>
  <c r="E784" i="7"/>
  <c r="D784" i="7"/>
  <c r="A784" i="7"/>
  <c r="I783" i="7"/>
  <c r="H783" i="7"/>
  <c r="G783" i="7"/>
  <c r="E783" i="7"/>
  <c r="D783" i="7"/>
  <c r="A783" i="7"/>
  <c r="I782" i="7"/>
  <c r="H782" i="7"/>
  <c r="G782" i="7"/>
  <c r="E782" i="7"/>
  <c r="D782" i="7"/>
  <c r="A782" i="7"/>
  <c r="I781" i="7"/>
  <c r="H781" i="7"/>
  <c r="G781" i="7"/>
  <c r="E781" i="7"/>
  <c r="D781" i="7"/>
  <c r="A781" i="7"/>
  <c r="I780" i="7"/>
  <c r="H780" i="7"/>
  <c r="G780" i="7"/>
  <c r="E780" i="7"/>
  <c r="D780" i="7"/>
  <c r="A780" i="7"/>
  <c r="I779" i="7"/>
  <c r="H779" i="7"/>
  <c r="G779" i="7"/>
  <c r="E779" i="7"/>
  <c r="D779" i="7"/>
  <c r="A779" i="7"/>
  <c r="I778" i="7"/>
  <c r="H778" i="7"/>
  <c r="G778" i="7"/>
  <c r="E778" i="7"/>
  <c r="D778" i="7"/>
  <c r="A778" i="7"/>
  <c r="I777" i="7"/>
  <c r="H777" i="7"/>
  <c r="G777" i="7"/>
  <c r="E777" i="7"/>
  <c r="D777" i="7"/>
  <c r="A777" i="7"/>
  <c r="I776" i="7"/>
  <c r="H776" i="7"/>
  <c r="G776" i="7"/>
  <c r="E776" i="7"/>
  <c r="D776" i="7"/>
  <c r="A776" i="7"/>
  <c r="I775" i="7"/>
  <c r="H775" i="7"/>
  <c r="G775" i="7"/>
  <c r="E775" i="7"/>
  <c r="D775" i="7"/>
  <c r="A775" i="7"/>
  <c r="I774" i="7"/>
  <c r="H774" i="7"/>
  <c r="G774" i="7"/>
  <c r="E774" i="7"/>
  <c r="D774" i="7"/>
  <c r="A774" i="7"/>
  <c r="I773" i="7"/>
  <c r="H773" i="7"/>
  <c r="G773" i="7"/>
  <c r="E773" i="7"/>
  <c r="D773" i="7"/>
  <c r="A773" i="7"/>
  <c r="I772" i="7"/>
  <c r="H772" i="7"/>
  <c r="G772" i="7"/>
  <c r="E772" i="7"/>
  <c r="D772" i="7"/>
  <c r="A772" i="7"/>
  <c r="I771" i="7"/>
  <c r="H771" i="7"/>
  <c r="G771" i="7"/>
  <c r="E771" i="7"/>
  <c r="D771" i="7"/>
  <c r="A771" i="7"/>
  <c r="I770" i="7"/>
  <c r="H770" i="7"/>
  <c r="G770" i="7"/>
  <c r="E770" i="7"/>
  <c r="D770" i="7"/>
  <c r="A770" i="7"/>
  <c r="I769" i="7"/>
  <c r="H769" i="7"/>
  <c r="G769" i="7"/>
  <c r="E769" i="7"/>
  <c r="D769" i="7"/>
  <c r="A769" i="7"/>
  <c r="I768" i="7"/>
  <c r="H768" i="7"/>
  <c r="G768" i="7"/>
  <c r="E768" i="7"/>
  <c r="D768" i="7"/>
  <c r="A768" i="7"/>
  <c r="I767" i="7"/>
  <c r="H767" i="7"/>
  <c r="G767" i="7"/>
  <c r="E767" i="7"/>
  <c r="D767" i="7"/>
  <c r="A767" i="7"/>
  <c r="I766" i="7"/>
  <c r="H766" i="7"/>
  <c r="G766" i="7"/>
  <c r="E766" i="7"/>
  <c r="D766" i="7"/>
  <c r="A766" i="7"/>
  <c r="I765" i="7"/>
  <c r="H765" i="7"/>
  <c r="G765" i="7"/>
  <c r="E765" i="7"/>
  <c r="D765" i="7"/>
  <c r="A765" i="7"/>
  <c r="I764" i="7"/>
  <c r="H764" i="7"/>
  <c r="G764" i="7"/>
  <c r="E764" i="7"/>
  <c r="D764" i="7"/>
  <c r="A764" i="7"/>
  <c r="I763" i="7"/>
  <c r="H763" i="7"/>
  <c r="G763" i="7"/>
  <c r="E763" i="7"/>
  <c r="D763" i="7"/>
  <c r="A763" i="7"/>
  <c r="I762" i="7"/>
  <c r="H762" i="7"/>
  <c r="G762" i="7"/>
  <c r="E762" i="7"/>
  <c r="D762" i="7"/>
  <c r="A762" i="7"/>
  <c r="I761" i="7"/>
  <c r="H761" i="7"/>
  <c r="G761" i="7"/>
  <c r="E761" i="7"/>
  <c r="D761" i="7"/>
  <c r="A761" i="7"/>
  <c r="I760" i="7"/>
  <c r="H760" i="7"/>
  <c r="G760" i="7"/>
  <c r="E760" i="7"/>
  <c r="D760" i="7"/>
  <c r="A760" i="7"/>
  <c r="I759" i="7"/>
  <c r="H759" i="7"/>
  <c r="G759" i="7"/>
  <c r="E759" i="7"/>
  <c r="D759" i="7"/>
  <c r="A759" i="7"/>
  <c r="I758" i="7"/>
  <c r="H758" i="7"/>
  <c r="G758" i="7"/>
  <c r="E758" i="7"/>
  <c r="D758" i="7"/>
  <c r="A758" i="7"/>
  <c r="I757" i="7"/>
  <c r="H757" i="7"/>
  <c r="G757" i="7"/>
  <c r="E757" i="7"/>
  <c r="D757" i="7"/>
  <c r="A757" i="7"/>
  <c r="I756" i="7"/>
  <c r="H756" i="7"/>
  <c r="G756" i="7"/>
  <c r="E756" i="7"/>
  <c r="D756" i="7"/>
  <c r="A756" i="7"/>
  <c r="I755" i="7"/>
  <c r="H755" i="7"/>
  <c r="G755" i="7"/>
  <c r="E755" i="7"/>
  <c r="D755" i="7"/>
  <c r="A755" i="7"/>
  <c r="I754" i="7"/>
  <c r="H754" i="7"/>
  <c r="G754" i="7"/>
  <c r="E754" i="7"/>
  <c r="D754" i="7"/>
  <c r="A754" i="7"/>
  <c r="I753" i="7"/>
  <c r="H753" i="7"/>
  <c r="G753" i="7"/>
  <c r="E753" i="7"/>
  <c r="D753" i="7"/>
  <c r="A753" i="7"/>
  <c r="I752" i="7"/>
  <c r="H752" i="7"/>
  <c r="G752" i="7"/>
  <c r="E752" i="7"/>
  <c r="D752" i="7"/>
  <c r="A752" i="7"/>
  <c r="I751" i="7"/>
  <c r="H751" i="7"/>
  <c r="G751" i="7"/>
  <c r="E751" i="7"/>
  <c r="D751" i="7"/>
  <c r="A751" i="7"/>
  <c r="I750" i="7"/>
  <c r="H750" i="7"/>
  <c r="G750" i="7"/>
  <c r="E750" i="7"/>
  <c r="D750" i="7"/>
  <c r="A750" i="7"/>
  <c r="I749" i="7"/>
  <c r="H749" i="7"/>
  <c r="G749" i="7"/>
  <c r="E749" i="7"/>
  <c r="D749" i="7"/>
  <c r="A749" i="7"/>
  <c r="I748" i="7"/>
  <c r="H748" i="7"/>
  <c r="G748" i="7"/>
  <c r="E748" i="7"/>
  <c r="D748" i="7"/>
  <c r="A748" i="7"/>
  <c r="I747" i="7"/>
  <c r="H747" i="7"/>
  <c r="G747" i="7"/>
  <c r="E747" i="7"/>
  <c r="D747" i="7"/>
  <c r="A747" i="7"/>
  <c r="I746" i="7"/>
  <c r="H746" i="7"/>
  <c r="G746" i="7"/>
  <c r="E746" i="7"/>
  <c r="D746" i="7"/>
  <c r="A746" i="7"/>
  <c r="I745" i="7"/>
  <c r="H745" i="7"/>
  <c r="G745" i="7"/>
  <c r="E745" i="7"/>
  <c r="D745" i="7"/>
  <c r="A745" i="7"/>
  <c r="I744" i="7"/>
  <c r="H744" i="7"/>
  <c r="G744" i="7"/>
  <c r="E744" i="7"/>
  <c r="D744" i="7"/>
  <c r="A744" i="7"/>
  <c r="I743" i="7"/>
  <c r="H743" i="7"/>
  <c r="G743" i="7"/>
  <c r="E743" i="7"/>
  <c r="D743" i="7"/>
  <c r="A743" i="7"/>
  <c r="I742" i="7"/>
  <c r="H742" i="7"/>
  <c r="G742" i="7"/>
  <c r="E742" i="7"/>
  <c r="D742" i="7"/>
  <c r="A742" i="7"/>
  <c r="I741" i="7"/>
  <c r="H741" i="7"/>
  <c r="G741" i="7"/>
  <c r="E741" i="7"/>
  <c r="D741" i="7"/>
  <c r="A741" i="7"/>
  <c r="I740" i="7"/>
  <c r="H740" i="7"/>
  <c r="G740" i="7"/>
  <c r="E740" i="7"/>
  <c r="D740" i="7"/>
  <c r="A740" i="7"/>
  <c r="I739" i="7"/>
  <c r="H739" i="7"/>
  <c r="G739" i="7"/>
  <c r="E739" i="7"/>
  <c r="D739" i="7"/>
  <c r="A739" i="7"/>
  <c r="I738" i="7"/>
  <c r="H738" i="7"/>
  <c r="G738" i="7"/>
  <c r="E738" i="7"/>
  <c r="D738" i="7"/>
  <c r="A738" i="7"/>
  <c r="I737" i="7"/>
  <c r="H737" i="7"/>
  <c r="G737" i="7"/>
  <c r="E737" i="7"/>
  <c r="D737" i="7"/>
  <c r="A737" i="7"/>
  <c r="I736" i="7"/>
  <c r="H736" i="7"/>
  <c r="G736" i="7"/>
  <c r="E736" i="7"/>
  <c r="D736" i="7"/>
  <c r="A736" i="7"/>
  <c r="I735" i="7"/>
  <c r="H735" i="7"/>
  <c r="G735" i="7"/>
  <c r="E735" i="7"/>
  <c r="D735" i="7"/>
  <c r="A735" i="7"/>
  <c r="I734" i="7"/>
  <c r="H734" i="7"/>
  <c r="G734" i="7"/>
  <c r="E734" i="7"/>
  <c r="D734" i="7"/>
  <c r="A734" i="7"/>
  <c r="I733" i="7"/>
  <c r="H733" i="7"/>
  <c r="G733" i="7"/>
  <c r="E733" i="7"/>
  <c r="D733" i="7"/>
  <c r="A733" i="7"/>
  <c r="I732" i="7"/>
  <c r="H732" i="7"/>
  <c r="G732" i="7"/>
  <c r="E732" i="7"/>
  <c r="D732" i="7"/>
  <c r="A732" i="7"/>
  <c r="I731" i="7"/>
  <c r="H731" i="7"/>
  <c r="G731" i="7"/>
  <c r="E731" i="7"/>
  <c r="D731" i="7"/>
  <c r="A731" i="7"/>
  <c r="I730" i="7"/>
  <c r="H730" i="7"/>
  <c r="G730" i="7"/>
  <c r="E730" i="7"/>
  <c r="D730" i="7"/>
  <c r="A730" i="7"/>
  <c r="I729" i="7"/>
  <c r="H729" i="7"/>
  <c r="G729" i="7"/>
  <c r="E729" i="7"/>
  <c r="D729" i="7"/>
  <c r="A729" i="7"/>
  <c r="I728" i="7"/>
  <c r="H728" i="7"/>
  <c r="G728" i="7"/>
  <c r="E728" i="7"/>
  <c r="D728" i="7"/>
  <c r="A728" i="7"/>
  <c r="I727" i="7"/>
  <c r="H727" i="7"/>
  <c r="G727" i="7"/>
  <c r="E727" i="7"/>
  <c r="D727" i="7"/>
  <c r="A727" i="7"/>
  <c r="I726" i="7"/>
  <c r="H726" i="7"/>
  <c r="G726" i="7"/>
  <c r="E726" i="7"/>
  <c r="D726" i="7"/>
  <c r="A726" i="7"/>
  <c r="I725" i="7"/>
  <c r="H725" i="7"/>
  <c r="G725" i="7"/>
  <c r="E725" i="7"/>
  <c r="D725" i="7"/>
  <c r="A725" i="7"/>
  <c r="I724" i="7"/>
  <c r="H724" i="7"/>
  <c r="G724" i="7"/>
  <c r="E724" i="7"/>
  <c r="D724" i="7"/>
  <c r="A724" i="7"/>
  <c r="I723" i="7"/>
  <c r="H723" i="7"/>
  <c r="G723" i="7"/>
  <c r="E723" i="7"/>
  <c r="D723" i="7"/>
  <c r="A723" i="7"/>
  <c r="I722" i="7"/>
  <c r="H722" i="7"/>
  <c r="G722" i="7"/>
  <c r="E722" i="7"/>
  <c r="D722" i="7"/>
  <c r="A722" i="7"/>
  <c r="I721" i="7"/>
  <c r="H721" i="7"/>
  <c r="G721" i="7"/>
  <c r="E721" i="7"/>
  <c r="D721" i="7"/>
  <c r="A721" i="7"/>
  <c r="I720" i="7"/>
  <c r="H720" i="7"/>
  <c r="G720" i="7"/>
  <c r="E720" i="7"/>
  <c r="D720" i="7"/>
  <c r="A720" i="7"/>
  <c r="I719" i="7"/>
  <c r="H719" i="7"/>
  <c r="G719" i="7"/>
  <c r="E719" i="7"/>
  <c r="D719" i="7"/>
  <c r="A719" i="7"/>
  <c r="I718" i="7"/>
  <c r="H718" i="7"/>
  <c r="G718" i="7"/>
  <c r="E718" i="7"/>
  <c r="D718" i="7"/>
  <c r="A718" i="7"/>
  <c r="I717" i="7"/>
  <c r="H717" i="7"/>
  <c r="G717" i="7"/>
  <c r="E717" i="7"/>
  <c r="D717" i="7"/>
  <c r="A717" i="7"/>
  <c r="I716" i="7"/>
  <c r="H716" i="7"/>
  <c r="G716" i="7"/>
  <c r="E716" i="7"/>
  <c r="D716" i="7"/>
  <c r="A716" i="7"/>
  <c r="I715" i="7"/>
  <c r="H715" i="7"/>
  <c r="G715" i="7"/>
  <c r="E715" i="7"/>
  <c r="D715" i="7"/>
  <c r="A715" i="7"/>
  <c r="I714" i="7"/>
  <c r="H714" i="7"/>
  <c r="G714" i="7"/>
  <c r="E714" i="7"/>
  <c r="D714" i="7"/>
  <c r="A714" i="7"/>
  <c r="I713" i="7"/>
  <c r="H713" i="7"/>
  <c r="G713" i="7"/>
  <c r="E713" i="7"/>
  <c r="D713" i="7"/>
  <c r="A713" i="7"/>
  <c r="I712" i="7"/>
  <c r="H712" i="7"/>
  <c r="G712" i="7"/>
  <c r="E712" i="7"/>
  <c r="D712" i="7"/>
  <c r="A712" i="7"/>
  <c r="I711" i="7"/>
  <c r="H711" i="7"/>
  <c r="G711" i="7"/>
  <c r="E711" i="7"/>
  <c r="D711" i="7"/>
  <c r="A711" i="7"/>
  <c r="I710" i="7"/>
  <c r="H710" i="7"/>
  <c r="G710" i="7"/>
  <c r="E710" i="7"/>
  <c r="D710" i="7"/>
  <c r="A710" i="7"/>
  <c r="I709" i="7"/>
  <c r="H709" i="7"/>
  <c r="G709" i="7"/>
  <c r="E709" i="7"/>
  <c r="D709" i="7"/>
  <c r="A709" i="7"/>
  <c r="I708" i="7"/>
  <c r="H708" i="7"/>
  <c r="G708" i="7"/>
  <c r="E708" i="7"/>
  <c r="D708" i="7"/>
  <c r="A708" i="7"/>
  <c r="I707" i="7"/>
  <c r="H707" i="7"/>
  <c r="G707" i="7"/>
  <c r="E707" i="7"/>
  <c r="D707" i="7"/>
  <c r="A707" i="7"/>
  <c r="I706" i="7"/>
  <c r="H706" i="7"/>
  <c r="G706" i="7"/>
  <c r="E706" i="7"/>
  <c r="D706" i="7"/>
  <c r="A706" i="7"/>
  <c r="I705" i="7"/>
  <c r="H705" i="7"/>
  <c r="G705" i="7"/>
  <c r="E705" i="7"/>
  <c r="D705" i="7"/>
  <c r="A705" i="7"/>
  <c r="I704" i="7"/>
  <c r="H704" i="7"/>
  <c r="G704" i="7"/>
  <c r="E704" i="7"/>
  <c r="D704" i="7"/>
  <c r="A704" i="7"/>
  <c r="I703" i="7"/>
  <c r="H703" i="7"/>
  <c r="G703" i="7"/>
  <c r="E703" i="7"/>
  <c r="D703" i="7"/>
  <c r="A703" i="7"/>
  <c r="I702" i="7"/>
  <c r="H702" i="7"/>
  <c r="G702" i="7"/>
  <c r="E702" i="7"/>
  <c r="D702" i="7"/>
  <c r="A702" i="7"/>
  <c r="I701" i="7"/>
  <c r="H701" i="7"/>
  <c r="G701" i="7"/>
  <c r="E701" i="7"/>
  <c r="D701" i="7"/>
  <c r="A701" i="7"/>
  <c r="I700" i="7"/>
  <c r="H700" i="7"/>
  <c r="G700" i="7"/>
  <c r="E700" i="7"/>
  <c r="D700" i="7"/>
  <c r="A700" i="7"/>
  <c r="I699" i="7"/>
  <c r="H699" i="7"/>
  <c r="G699" i="7"/>
  <c r="E699" i="7"/>
  <c r="D699" i="7"/>
  <c r="A699" i="7"/>
  <c r="I698" i="7"/>
  <c r="H698" i="7"/>
  <c r="G698" i="7"/>
  <c r="E698" i="7"/>
  <c r="D698" i="7"/>
  <c r="A698" i="7"/>
  <c r="I697" i="7"/>
  <c r="H697" i="7"/>
  <c r="G697" i="7"/>
  <c r="E697" i="7"/>
  <c r="D697" i="7"/>
  <c r="A697" i="7"/>
  <c r="I696" i="7"/>
  <c r="H696" i="7"/>
  <c r="G696" i="7"/>
  <c r="E696" i="7"/>
  <c r="D696" i="7"/>
  <c r="A696" i="7"/>
  <c r="I695" i="7"/>
  <c r="H695" i="7"/>
  <c r="G695" i="7"/>
  <c r="E695" i="7"/>
  <c r="D695" i="7"/>
  <c r="A695" i="7"/>
  <c r="I694" i="7"/>
  <c r="H694" i="7"/>
  <c r="G694" i="7"/>
  <c r="E694" i="7"/>
  <c r="D694" i="7"/>
  <c r="A694" i="7"/>
  <c r="I693" i="7"/>
  <c r="H693" i="7"/>
  <c r="G693" i="7"/>
  <c r="E693" i="7"/>
  <c r="D693" i="7"/>
  <c r="A693" i="7"/>
  <c r="I692" i="7"/>
  <c r="H692" i="7"/>
  <c r="G692" i="7"/>
  <c r="E692" i="7"/>
  <c r="D692" i="7"/>
  <c r="A692" i="7"/>
  <c r="I691" i="7"/>
  <c r="H691" i="7"/>
  <c r="G691" i="7"/>
  <c r="E691" i="7"/>
  <c r="D691" i="7"/>
  <c r="A691" i="7"/>
  <c r="I690" i="7"/>
  <c r="H690" i="7"/>
  <c r="G690" i="7"/>
  <c r="E690" i="7"/>
  <c r="D690" i="7"/>
  <c r="A690" i="7"/>
  <c r="I689" i="7"/>
  <c r="H689" i="7"/>
  <c r="G689" i="7"/>
  <c r="E689" i="7"/>
  <c r="D689" i="7"/>
  <c r="A689" i="7"/>
  <c r="I688" i="7"/>
  <c r="H688" i="7"/>
  <c r="G688" i="7"/>
  <c r="E688" i="7"/>
  <c r="D688" i="7"/>
  <c r="A688" i="7"/>
  <c r="I687" i="7"/>
  <c r="H687" i="7"/>
  <c r="G687" i="7"/>
  <c r="E687" i="7"/>
  <c r="D687" i="7"/>
  <c r="A687" i="7"/>
  <c r="I686" i="7"/>
  <c r="H686" i="7"/>
  <c r="G686" i="7"/>
  <c r="E686" i="7"/>
  <c r="D686" i="7"/>
  <c r="A686" i="7"/>
  <c r="I685" i="7"/>
  <c r="H685" i="7"/>
  <c r="G685" i="7"/>
  <c r="E685" i="7"/>
  <c r="D685" i="7"/>
  <c r="A685" i="7"/>
  <c r="I684" i="7"/>
  <c r="H684" i="7"/>
  <c r="G684" i="7"/>
  <c r="E684" i="7"/>
  <c r="D684" i="7"/>
  <c r="A684" i="7"/>
  <c r="I683" i="7"/>
  <c r="H683" i="7"/>
  <c r="G683" i="7"/>
  <c r="E683" i="7"/>
  <c r="D683" i="7"/>
  <c r="A683" i="7"/>
  <c r="I682" i="7"/>
  <c r="H682" i="7"/>
  <c r="G682" i="7"/>
  <c r="E682" i="7"/>
  <c r="D682" i="7"/>
  <c r="A682" i="7"/>
  <c r="I681" i="7"/>
  <c r="H681" i="7"/>
  <c r="G681" i="7"/>
  <c r="E681" i="7"/>
  <c r="D681" i="7"/>
  <c r="A681" i="7"/>
  <c r="I680" i="7"/>
  <c r="H680" i="7"/>
  <c r="G680" i="7"/>
  <c r="E680" i="7"/>
  <c r="D680" i="7"/>
  <c r="A680" i="7"/>
  <c r="I679" i="7"/>
  <c r="H679" i="7"/>
  <c r="G679" i="7"/>
  <c r="E679" i="7"/>
  <c r="D679" i="7"/>
  <c r="A679" i="7"/>
  <c r="I678" i="7"/>
  <c r="H678" i="7"/>
  <c r="G678" i="7"/>
  <c r="E678" i="7"/>
  <c r="D678" i="7"/>
  <c r="A678" i="7"/>
  <c r="I677" i="7"/>
  <c r="H677" i="7"/>
  <c r="G677" i="7"/>
  <c r="E677" i="7"/>
  <c r="D677" i="7"/>
  <c r="A677" i="7"/>
  <c r="I676" i="7"/>
  <c r="H676" i="7"/>
  <c r="G676" i="7"/>
  <c r="E676" i="7"/>
  <c r="D676" i="7"/>
  <c r="A676" i="7"/>
  <c r="I675" i="7"/>
  <c r="H675" i="7"/>
  <c r="G675" i="7"/>
  <c r="E675" i="7"/>
  <c r="D675" i="7"/>
  <c r="A675" i="7"/>
  <c r="I674" i="7"/>
  <c r="H674" i="7"/>
  <c r="G674" i="7"/>
  <c r="E674" i="7"/>
  <c r="D674" i="7"/>
  <c r="A674" i="7"/>
  <c r="I673" i="7"/>
  <c r="H673" i="7"/>
  <c r="G673" i="7"/>
  <c r="E673" i="7"/>
  <c r="D673" i="7"/>
  <c r="A673" i="7"/>
  <c r="I672" i="7"/>
  <c r="H672" i="7"/>
  <c r="G672" i="7"/>
  <c r="E672" i="7"/>
  <c r="D672" i="7"/>
  <c r="A672" i="7"/>
  <c r="I671" i="7"/>
  <c r="H671" i="7"/>
  <c r="G671" i="7"/>
  <c r="E671" i="7"/>
  <c r="D671" i="7"/>
  <c r="A671" i="7"/>
  <c r="I670" i="7"/>
  <c r="H670" i="7"/>
  <c r="G670" i="7"/>
  <c r="E670" i="7"/>
  <c r="D670" i="7"/>
  <c r="A670" i="7"/>
  <c r="I669" i="7"/>
  <c r="H669" i="7"/>
  <c r="G669" i="7"/>
  <c r="E669" i="7"/>
  <c r="D669" i="7"/>
  <c r="A669" i="7"/>
  <c r="I668" i="7"/>
  <c r="H668" i="7"/>
  <c r="G668" i="7"/>
  <c r="E668" i="7"/>
  <c r="D668" i="7"/>
  <c r="A668" i="7"/>
  <c r="I667" i="7"/>
  <c r="H667" i="7"/>
  <c r="G667" i="7"/>
  <c r="E667" i="7"/>
  <c r="D667" i="7"/>
  <c r="A667" i="7"/>
  <c r="I666" i="7"/>
  <c r="H666" i="7"/>
  <c r="G666" i="7"/>
  <c r="E666" i="7"/>
  <c r="D666" i="7"/>
  <c r="A666" i="7"/>
  <c r="I665" i="7"/>
  <c r="H665" i="7"/>
  <c r="G665" i="7"/>
  <c r="E665" i="7"/>
  <c r="D665" i="7"/>
  <c r="A665" i="7"/>
  <c r="I664" i="7"/>
  <c r="H664" i="7"/>
  <c r="G664" i="7"/>
  <c r="E664" i="7"/>
  <c r="D664" i="7"/>
  <c r="A664" i="7"/>
  <c r="I663" i="7"/>
  <c r="H663" i="7"/>
  <c r="G663" i="7"/>
  <c r="E663" i="7"/>
  <c r="D663" i="7"/>
  <c r="A663" i="7"/>
  <c r="I662" i="7"/>
  <c r="H662" i="7"/>
  <c r="G662" i="7"/>
  <c r="E662" i="7"/>
  <c r="D662" i="7"/>
  <c r="A662" i="7"/>
  <c r="I661" i="7"/>
  <c r="H661" i="7"/>
  <c r="G661" i="7"/>
  <c r="E661" i="7"/>
  <c r="D661" i="7"/>
  <c r="A661" i="7"/>
  <c r="I660" i="7"/>
  <c r="H660" i="7"/>
  <c r="G660" i="7"/>
  <c r="E660" i="7"/>
  <c r="D660" i="7"/>
  <c r="A660" i="7"/>
  <c r="I659" i="7"/>
  <c r="H659" i="7"/>
  <c r="G659" i="7"/>
  <c r="E659" i="7"/>
  <c r="D659" i="7"/>
  <c r="A659" i="7"/>
  <c r="I658" i="7"/>
  <c r="H658" i="7"/>
  <c r="G658" i="7"/>
  <c r="E658" i="7"/>
  <c r="D658" i="7"/>
  <c r="A658" i="7"/>
  <c r="I657" i="7"/>
  <c r="H657" i="7"/>
  <c r="G657" i="7"/>
  <c r="E657" i="7"/>
  <c r="D657" i="7"/>
  <c r="A657" i="7"/>
  <c r="I656" i="7"/>
  <c r="H656" i="7"/>
  <c r="G656" i="7"/>
  <c r="E656" i="7"/>
  <c r="D656" i="7"/>
  <c r="A656" i="7"/>
  <c r="I655" i="7"/>
  <c r="H655" i="7"/>
  <c r="G655" i="7"/>
  <c r="E655" i="7"/>
  <c r="D655" i="7"/>
  <c r="A655" i="7"/>
  <c r="I654" i="7"/>
  <c r="H654" i="7"/>
  <c r="G654" i="7"/>
  <c r="E654" i="7"/>
  <c r="D654" i="7"/>
  <c r="A654" i="7"/>
  <c r="I653" i="7"/>
  <c r="H653" i="7"/>
  <c r="G653" i="7"/>
  <c r="E653" i="7"/>
  <c r="D653" i="7"/>
  <c r="A653" i="7"/>
  <c r="I652" i="7"/>
  <c r="H652" i="7"/>
  <c r="G652" i="7"/>
  <c r="E652" i="7"/>
  <c r="D652" i="7"/>
  <c r="A652" i="7"/>
  <c r="I651" i="7"/>
  <c r="H651" i="7"/>
  <c r="G651" i="7"/>
  <c r="E651" i="7"/>
  <c r="D651" i="7"/>
  <c r="A651" i="7"/>
  <c r="I650" i="7"/>
  <c r="H650" i="7"/>
  <c r="G650" i="7"/>
  <c r="E650" i="7"/>
  <c r="D650" i="7"/>
  <c r="A650" i="7"/>
  <c r="I649" i="7"/>
  <c r="H649" i="7"/>
  <c r="G649" i="7"/>
  <c r="E649" i="7"/>
  <c r="D649" i="7"/>
  <c r="A649" i="7"/>
  <c r="I648" i="7"/>
  <c r="H648" i="7"/>
  <c r="G648" i="7"/>
  <c r="E648" i="7"/>
  <c r="D648" i="7"/>
  <c r="A648" i="7"/>
  <c r="I647" i="7"/>
  <c r="H647" i="7"/>
  <c r="G647" i="7"/>
  <c r="E647" i="7"/>
  <c r="D647" i="7"/>
  <c r="A647" i="7"/>
  <c r="I646" i="7"/>
  <c r="H646" i="7"/>
  <c r="G646" i="7"/>
  <c r="E646" i="7"/>
  <c r="D646" i="7"/>
  <c r="A646" i="7"/>
  <c r="I645" i="7"/>
  <c r="H645" i="7"/>
  <c r="G645" i="7"/>
  <c r="E645" i="7"/>
  <c r="D645" i="7"/>
  <c r="A645" i="7"/>
  <c r="I644" i="7"/>
  <c r="H644" i="7"/>
  <c r="G644" i="7"/>
  <c r="E644" i="7"/>
  <c r="D644" i="7"/>
  <c r="A644" i="7"/>
  <c r="I643" i="7"/>
  <c r="H643" i="7"/>
  <c r="G643" i="7"/>
  <c r="E643" i="7"/>
  <c r="D643" i="7"/>
  <c r="A643" i="7"/>
  <c r="I642" i="7"/>
  <c r="H642" i="7"/>
  <c r="G642" i="7"/>
  <c r="E642" i="7"/>
  <c r="D642" i="7"/>
  <c r="A642" i="7"/>
  <c r="I641" i="7"/>
  <c r="H641" i="7"/>
  <c r="G641" i="7"/>
  <c r="E641" i="7"/>
  <c r="D641" i="7"/>
  <c r="A641" i="7"/>
  <c r="I640" i="7"/>
  <c r="H640" i="7"/>
  <c r="G640" i="7"/>
  <c r="E640" i="7"/>
  <c r="D640" i="7"/>
  <c r="A640" i="7"/>
  <c r="I639" i="7"/>
  <c r="H639" i="7"/>
  <c r="G639" i="7"/>
  <c r="E639" i="7"/>
  <c r="D639" i="7"/>
  <c r="A639" i="7"/>
  <c r="I638" i="7"/>
  <c r="H638" i="7"/>
  <c r="G638" i="7"/>
  <c r="E638" i="7"/>
  <c r="D638" i="7"/>
  <c r="A638" i="7"/>
  <c r="I637" i="7"/>
  <c r="H637" i="7"/>
  <c r="G637" i="7"/>
  <c r="E637" i="7"/>
  <c r="D637" i="7"/>
  <c r="A637" i="7"/>
  <c r="I636" i="7"/>
  <c r="H636" i="7"/>
  <c r="G636" i="7"/>
  <c r="E636" i="7"/>
  <c r="D636" i="7"/>
  <c r="A636" i="7"/>
  <c r="I635" i="7"/>
  <c r="H635" i="7"/>
  <c r="G635" i="7"/>
  <c r="E635" i="7"/>
  <c r="D635" i="7"/>
  <c r="A635" i="7"/>
  <c r="I634" i="7"/>
  <c r="H634" i="7"/>
  <c r="G634" i="7"/>
  <c r="E634" i="7"/>
  <c r="D634" i="7"/>
  <c r="A634" i="7"/>
  <c r="I633" i="7"/>
  <c r="H633" i="7"/>
  <c r="G633" i="7"/>
  <c r="E633" i="7"/>
  <c r="D633" i="7"/>
  <c r="A633" i="7"/>
  <c r="I632" i="7"/>
  <c r="H632" i="7"/>
  <c r="G632" i="7"/>
  <c r="E632" i="7"/>
  <c r="D632" i="7"/>
  <c r="A632" i="7"/>
  <c r="I631" i="7"/>
  <c r="H631" i="7"/>
  <c r="G631" i="7"/>
  <c r="E631" i="7"/>
  <c r="D631" i="7"/>
  <c r="A631" i="7"/>
  <c r="I630" i="7"/>
  <c r="H630" i="7"/>
  <c r="G630" i="7"/>
  <c r="E630" i="7"/>
  <c r="D630" i="7"/>
  <c r="A630" i="7"/>
  <c r="I629" i="7"/>
  <c r="H629" i="7"/>
  <c r="G629" i="7"/>
  <c r="E629" i="7"/>
  <c r="D629" i="7"/>
  <c r="A629" i="7"/>
  <c r="I628" i="7"/>
  <c r="H628" i="7"/>
  <c r="G628" i="7"/>
  <c r="E628" i="7"/>
  <c r="D628" i="7"/>
  <c r="A628" i="7"/>
  <c r="I627" i="7"/>
  <c r="H627" i="7"/>
  <c r="G627" i="7"/>
  <c r="E627" i="7"/>
  <c r="D627" i="7"/>
  <c r="A627" i="7"/>
  <c r="I626" i="7"/>
  <c r="H626" i="7"/>
  <c r="G626" i="7"/>
  <c r="E626" i="7"/>
  <c r="D626" i="7"/>
  <c r="A626" i="7"/>
  <c r="I625" i="7"/>
  <c r="H625" i="7"/>
  <c r="G625" i="7"/>
  <c r="E625" i="7"/>
  <c r="D625" i="7"/>
  <c r="A625" i="7"/>
  <c r="I624" i="7"/>
  <c r="H624" i="7"/>
  <c r="G624" i="7"/>
  <c r="E624" i="7"/>
  <c r="D624" i="7"/>
  <c r="A624" i="7"/>
  <c r="I623" i="7"/>
  <c r="H623" i="7"/>
  <c r="G623" i="7"/>
  <c r="E623" i="7"/>
  <c r="D623" i="7"/>
  <c r="A623" i="7"/>
  <c r="I622" i="7"/>
  <c r="H622" i="7"/>
  <c r="G622" i="7"/>
  <c r="E622" i="7"/>
  <c r="D622" i="7"/>
  <c r="A622" i="7"/>
  <c r="I621" i="7"/>
  <c r="H621" i="7"/>
  <c r="G621" i="7"/>
  <c r="E621" i="7"/>
  <c r="D621" i="7"/>
  <c r="A621" i="7"/>
  <c r="I620" i="7"/>
  <c r="H620" i="7"/>
  <c r="G620" i="7"/>
  <c r="E620" i="7"/>
  <c r="D620" i="7"/>
  <c r="A620" i="7"/>
  <c r="I619" i="7"/>
  <c r="H619" i="7"/>
  <c r="G619" i="7"/>
  <c r="E619" i="7"/>
  <c r="D619" i="7"/>
  <c r="A619" i="7"/>
  <c r="I618" i="7"/>
  <c r="H618" i="7"/>
  <c r="G618" i="7"/>
  <c r="E618" i="7"/>
  <c r="D618" i="7"/>
  <c r="A618" i="7"/>
  <c r="I617" i="7"/>
  <c r="H617" i="7"/>
  <c r="G617" i="7"/>
  <c r="E617" i="7"/>
  <c r="D617" i="7"/>
  <c r="A617" i="7"/>
  <c r="I616" i="7"/>
  <c r="H616" i="7"/>
  <c r="G616" i="7"/>
  <c r="E616" i="7"/>
  <c r="D616" i="7"/>
  <c r="A616" i="7"/>
  <c r="I615" i="7"/>
  <c r="H615" i="7"/>
  <c r="G615" i="7"/>
  <c r="E615" i="7"/>
  <c r="D615" i="7"/>
  <c r="A615" i="7"/>
  <c r="I614" i="7"/>
  <c r="H614" i="7"/>
  <c r="G614" i="7"/>
  <c r="E614" i="7"/>
  <c r="D614" i="7"/>
  <c r="A614" i="7"/>
  <c r="I613" i="7"/>
  <c r="H613" i="7"/>
  <c r="G613" i="7"/>
  <c r="E613" i="7"/>
  <c r="D613" i="7"/>
  <c r="A613" i="7"/>
  <c r="I612" i="7"/>
  <c r="H612" i="7"/>
  <c r="G612" i="7"/>
  <c r="E612" i="7"/>
  <c r="D612" i="7"/>
  <c r="A612" i="7"/>
  <c r="I611" i="7"/>
  <c r="H611" i="7"/>
  <c r="G611" i="7"/>
  <c r="E611" i="7"/>
  <c r="D611" i="7"/>
  <c r="A611" i="7"/>
  <c r="I610" i="7"/>
  <c r="H610" i="7"/>
  <c r="G610" i="7"/>
  <c r="E610" i="7"/>
  <c r="D610" i="7"/>
  <c r="A610" i="7"/>
  <c r="I609" i="7"/>
  <c r="H609" i="7"/>
  <c r="G609" i="7"/>
  <c r="E609" i="7"/>
  <c r="D609" i="7"/>
  <c r="A609" i="7"/>
  <c r="I608" i="7"/>
  <c r="H608" i="7"/>
  <c r="G608" i="7"/>
  <c r="E608" i="7"/>
  <c r="D608" i="7"/>
  <c r="A608" i="7"/>
  <c r="I607" i="7"/>
  <c r="H607" i="7"/>
  <c r="G607" i="7"/>
  <c r="E607" i="7"/>
  <c r="D607" i="7"/>
  <c r="A607" i="7"/>
  <c r="I606" i="7"/>
  <c r="H606" i="7"/>
  <c r="G606" i="7"/>
  <c r="E606" i="7"/>
  <c r="D606" i="7"/>
  <c r="A606" i="7"/>
  <c r="I605" i="7"/>
  <c r="H605" i="7"/>
  <c r="G605" i="7"/>
  <c r="E605" i="7"/>
  <c r="D605" i="7"/>
  <c r="A605" i="7"/>
  <c r="I604" i="7"/>
  <c r="H604" i="7"/>
  <c r="G604" i="7"/>
  <c r="E604" i="7"/>
  <c r="D604" i="7"/>
  <c r="A604" i="7"/>
  <c r="I603" i="7"/>
  <c r="H603" i="7"/>
  <c r="G603" i="7"/>
  <c r="E603" i="7"/>
  <c r="D603" i="7"/>
  <c r="A603" i="7"/>
  <c r="I602" i="7"/>
  <c r="H602" i="7"/>
  <c r="G602" i="7"/>
  <c r="E602" i="7"/>
  <c r="D602" i="7"/>
  <c r="A602" i="7"/>
  <c r="I601" i="7"/>
  <c r="H601" i="7"/>
  <c r="G601" i="7"/>
  <c r="E601" i="7"/>
  <c r="D601" i="7"/>
  <c r="A601" i="7"/>
  <c r="I600" i="7"/>
  <c r="H600" i="7"/>
  <c r="G600" i="7"/>
  <c r="E600" i="7"/>
  <c r="D600" i="7"/>
  <c r="A600" i="7"/>
  <c r="I599" i="7"/>
  <c r="H599" i="7"/>
  <c r="G599" i="7"/>
  <c r="E599" i="7"/>
  <c r="D599" i="7"/>
  <c r="A599" i="7"/>
  <c r="I598" i="7"/>
  <c r="H598" i="7"/>
  <c r="G598" i="7"/>
  <c r="E598" i="7"/>
  <c r="D598" i="7"/>
  <c r="A598" i="7"/>
  <c r="I597" i="7"/>
  <c r="H597" i="7"/>
  <c r="G597" i="7"/>
  <c r="E597" i="7"/>
  <c r="D597" i="7"/>
  <c r="A597" i="7"/>
  <c r="I596" i="7"/>
  <c r="H596" i="7"/>
  <c r="G596" i="7"/>
  <c r="E596" i="7"/>
  <c r="D596" i="7"/>
  <c r="A596" i="7"/>
  <c r="I595" i="7"/>
  <c r="H595" i="7"/>
  <c r="G595" i="7"/>
  <c r="E595" i="7"/>
  <c r="D595" i="7"/>
  <c r="A595" i="7"/>
  <c r="I594" i="7"/>
  <c r="H594" i="7"/>
  <c r="G594" i="7"/>
  <c r="E594" i="7"/>
  <c r="D594" i="7"/>
  <c r="A594" i="7"/>
  <c r="I593" i="7"/>
  <c r="H593" i="7"/>
  <c r="G593" i="7"/>
  <c r="E593" i="7"/>
  <c r="D593" i="7"/>
  <c r="A593" i="7"/>
  <c r="I592" i="7"/>
  <c r="H592" i="7"/>
  <c r="G592" i="7"/>
  <c r="E592" i="7"/>
  <c r="D592" i="7"/>
  <c r="A592" i="7"/>
  <c r="I591" i="7"/>
  <c r="H591" i="7"/>
  <c r="G591" i="7"/>
  <c r="E591" i="7"/>
  <c r="D591" i="7"/>
  <c r="A591" i="7"/>
  <c r="I590" i="7"/>
  <c r="H590" i="7"/>
  <c r="G590" i="7"/>
  <c r="E590" i="7"/>
  <c r="D590" i="7"/>
  <c r="A590" i="7"/>
  <c r="I589" i="7"/>
  <c r="H589" i="7"/>
  <c r="G589" i="7"/>
  <c r="E589" i="7"/>
  <c r="D589" i="7"/>
  <c r="A589" i="7"/>
  <c r="I588" i="7"/>
  <c r="H588" i="7"/>
  <c r="G588" i="7"/>
  <c r="E588" i="7"/>
  <c r="D588" i="7"/>
  <c r="A588" i="7"/>
  <c r="I587" i="7"/>
  <c r="H587" i="7"/>
  <c r="G587" i="7"/>
  <c r="E587" i="7"/>
  <c r="D587" i="7"/>
  <c r="A587" i="7"/>
  <c r="I586" i="7"/>
  <c r="H586" i="7"/>
  <c r="G586" i="7"/>
  <c r="E586" i="7"/>
  <c r="D586" i="7"/>
  <c r="A586" i="7"/>
  <c r="I585" i="7"/>
  <c r="H585" i="7"/>
  <c r="G585" i="7"/>
  <c r="E585" i="7"/>
  <c r="D585" i="7"/>
  <c r="A585" i="7"/>
  <c r="I584" i="7"/>
  <c r="H584" i="7"/>
  <c r="G584" i="7"/>
  <c r="E584" i="7"/>
  <c r="D584" i="7"/>
  <c r="A584" i="7"/>
  <c r="I583" i="7"/>
  <c r="H583" i="7"/>
  <c r="G583" i="7"/>
  <c r="E583" i="7"/>
  <c r="D583" i="7"/>
  <c r="A583" i="7"/>
  <c r="I582" i="7"/>
  <c r="H582" i="7"/>
  <c r="G582" i="7"/>
  <c r="E582" i="7"/>
  <c r="D582" i="7"/>
  <c r="A582" i="7"/>
  <c r="I581" i="7"/>
  <c r="H581" i="7"/>
  <c r="G581" i="7"/>
  <c r="E581" i="7"/>
  <c r="D581" i="7"/>
  <c r="A581" i="7"/>
  <c r="I580" i="7"/>
  <c r="H580" i="7"/>
  <c r="G580" i="7"/>
  <c r="E580" i="7"/>
  <c r="D580" i="7"/>
  <c r="A580" i="7"/>
  <c r="I579" i="7"/>
  <c r="H579" i="7"/>
  <c r="G579" i="7"/>
  <c r="E579" i="7"/>
  <c r="D579" i="7"/>
  <c r="A579" i="7"/>
  <c r="I578" i="7"/>
  <c r="H578" i="7"/>
  <c r="G578" i="7"/>
  <c r="E578" i="7"/>
  <c r="D578" i="7"/>
  <c r="A578" i="7"/>
  <c r="I577" i="7"/>
  <c r="H577" i="7"/>
  <c r="G577" i="7"/>
  <c r="E577" i="7"/>
  <c r="D577" i="7"/>
  <c r="A577" i="7"/>
  <c r="I576" i="7"/>
  <c r="H576" i="7"/>
  <c r="G576" i="7"/>
  <c r="E576" i="7"/>
  <c r="D576" i="7"/>
  <c r="A576" i="7"/>
  <c r="I575" i="7"/>
  <c r="H575" i="7"/>
  <c r="G575" i="7"/>
  <c r="E575" i="7"/>
  <c r="D575" i="7"/>
  <c r="A575" i="7"/>
  <c r="I574" i="7"/>
  <c r="H574" i="7"/>
  <c r="G574" i="7"/>
  <c r="E574" i="7"/>
  <c r="D574" i="7"/>
  <c r="A574" i="7"/>
  <c r="I573" i="7"/>
  <c r="H573" i="7"/>
  <c r="G573" i="7"/>
  <c r="E573" i="7"/>
  <c r="D573" i="7"/>
  <c r="A573" i="7"/>
  <c r="I572" i="7"/>
  <c r="H572" i="7"/>
  <c r="G572" i="7"/>
  <c r="E572" i="7"/>
  <c r="D572" i="7"/>
  <c r="A572" i="7"/>
  <c r="I571" i="7"/>
  <c r="H571" i="7"/>
  <c r="G571" i="7"/>
  <c r="E571" i="7"/>
  <c r="D571" i="7"/>
  <c r="A571" i="7"/>
  <c r="I570" i="7"/>
  <c r="H570" i="7"/>
  <c r="G570" i="7"/>
  <c r="E570" i="7"/>
  <c r="D570" i="7"/>
  <c r="A570" i="7"/>
  <c r="I569" i="7"/>
  <c r="H569" i="7"/>
  <c r="G569" i="7"/>
  <c r="E569" i="7"/>
  <c r="D569" i="7"/>
  <c r="A569" i="7"/>
  <c r="I568" i="7"/>
  <c r="H568" i="7"/>
  <c r="G568" i="7"/>
  <c r="E568" i="7"/>
  <c r="D568" i="7"/>
  <c r="A568" i="7"/>
  <c r="I567" i="7"/>
  <c r="H567" i="7"/>
  <c r="G567" i="7"/>
  <c r="E567" i="7"/>
  <c r="D567" i="7"/>
  <c r="A567" i="7"/>
  <c r="I566" i="7"/>
  <c r="H566" i="7"/>
  <c r="G566" i="7"/>
  <c r="E566" i="7"/>
  <c r="D566" i="7"/>
  <c r="A566" i="7"/>
  <c r="I565" i="7"/>
  <c r="H565" i="7"/>
  <c r="G565" i="7"/>
  <c r="E565" i="7"/>
  <c r="D565" i="7"/>
  <c r="A565" i="7"/>
  <c r="I564" i="7"/>
  <c r="H564" i="7"/>
  <c r="G564" i="7"/>
  <c r="E564" i="7"/>
  <c r="D564" i="7"/>
  <c r="A564" i="7"/>
  <c r="I563" i="7"/>
  <c r="H563" i="7"/>
  <c r="G563" i="7"/>
  <c r="E563" i="7"/>
  <c r="D563" i="7"/>
  <c r="A563" i="7"/>
  <c r="I562" i="7"/>
  <c r="H562" i="7"/>
  <c r="G562" i="7"/>
  <c r="E562" i="7"/>
  <c r="D562" i="7"/>
  <c r="A562" i="7"/>
  <c r="I561" i="7"/>
  <c r="H561" i="7"/>
  <c r="G561" i="7"/>
  <c r="E561" i="7"/>
  <c r="D561" i="7"/>
  <c r="A561" i="7"/>
  <c r="I560" i="7"/>
  <c r="H560" i="7"/>
  <c r="G560" i="7"/>
  <c r="E560" i="7"/>
  <c r="D560" i="7"/>
  <c r="A560" i="7"/>
  <c r="I559" i="7"/>
  <c r="H559" i="7"/>
  <c r="G559" i="7"/>
  <c r="E559" i="7"/>
  <c r="D559" i="7"/>
  <c r="A559" i="7"/>
  <c r="I558" i="7"/>
  <c r="H558" i="7"/>
  <c r="G558" i="7"/>
  <c r="E558" i="7"/>
  <c r="D558" i="7"/>
  <c r="A558" i="7"/>
  <c r="I557" i="7"/>
  <c r="H557" i="7"/>
  <c r="G557" i="7"/>
  <c r="E557" i="7"/>
  <c r="D557" i="7"/>
  <c r="A557" i="7"/>
  <c r="I556" i="7"/>
  <c r="H556" i="7"/>
  <c r="G556" i="7"/>
  <c r="E556" i="7"/>
  <c r="D556" i="7"/>
  <c r="A556" i="7"/>
  <c r="I555" i="7"/>
  <c r="H555" i="7"/>
  <c r="G555" i="7"/>
  <c r="E555" i="7"/>
  <c r="D555" i="7"/>
  <c r="A555" i="7"/>
  <c r="I554" i="7"/>
  <c r="H554" i="7"/>
  <c r="G554" i="7"/>
  <c r="E554" i="7"/>
  <c r="D554" i="7"/>
  <c r="A554" i="7"/>
  <c r="I553" i="7"/>
  <c r="H553" i="7"/>
  <c r="G553" i="7"/>
  <c r="E553" i="7"/>
  <c r="D553" i="7"/>
  <c r="A553" i="7"/>
  <c r="I552" i="7"/>
  <c r="H552" i="7"/>
  <c r="G552" i="7"/>
  <c r="E552" i="7"/>
  <c r="D552" i="7"/>
  <c r="A552" i="7"/>
  <c r="I551" i="7"/>
  <c r="H551" i="7"/>
  <c r="G551" i="7"/>
  <c r="E551" i="7"/>
  <c r="D551" i="7"/>
  <c r="A551" i="7"/>
  <c r="I550" i="7"/>
  <c r="H550" i="7"/>
  <c r="G550" i="7"/>
  <c r="E550" i="7"/>
  <c r="D550" i="7"/>
  <c r="A550" i="7"/>
  <c r="I549" i="7"/>
  <c r="H549" i="7"/>
  <c r="G549" i="7"/>
  <c r="E549" i="7"/>
  <c r="D549" i="7"/>
  <c r="A549" i="7"/>
  <c r="I548" i="7"/>
  <c r="H548" i="7"/>
  <c r="G548" i="7"/>
  <c r="E548" i="7"/>
  <c r="D548" i="7"/>
  <c r="A548" i="7"/>
  <c r="I547" i="7"/>
  <c r="H547" i="7"/>
  <c r="G547" i="7"/>
  <c r="E547" i="7"/>
  <c r="D547" i="7"/>
  <c r="A547" i="7"/>
  <c r="I546" i="7"/>
  <c r="H546" i="7"/>
  <c r="G546" i="7"/>
  <c r="E546" i="7"/>
  <c r="D546" i="7"/>
  <c r="A546" i="7"/>
  <c r="I545" i="7"/>
  <c r="H545" i="7"/>
  <c r="G545" i="7"/>
  <c r="E545" i="7"/>
  <c r="D545" i="7"/>
  <c r="A545" i="7"/>
  <c r="I544" i="7"/>
  <c r="H544" i="7"/>
  <c r="G544" i="7"/>
  <c r="E544" i="7"/>
  <c r="D544" i="7"/>
  <c r="A544" i="7"/>
  <c r="I543" i="7"/>
  <c r="H543" i="7"/>
  <c r="G543" i="7"/>
  <c r="E543" i="7"/>
  <c r="D543" i="7"/>
  <c r="A543" i="7"/>
  <c r="I542" i="7"/>
  <c r="H542" i="7"/>
  <c r="G542" i="7"/>
  <c r="E542" i="7"/>
  <c r="D542" i="7"/>
  <c r="A542" i="7"/>
  <c r="I541" i="7"/>
  <c r="H541" i="7"/>
  <c r="G541" i="7"/>
  <c r="E541" i="7"/>
  <c r="D541" i="7"/>
  <c r="A541" i="7"/>
  <c r="I540" i="7"/>
  <c r="H540" i="7"/>
  <c r="G540" i="7"/>
  <c r="E540" i="7"/>
  <c r="D540" i="7"/>
  <c r="A540" i="7"/>
  <c r="I539" i="7"/>
  <c r="H539" i="7"/>
  <c r="G539" i="7"/>
  <c r="E539" i="7"/>
  <c r="D539" i="7"/>
  <c r="A539" i="7"/>
  <c r="I538" i="7"/>
  <c r="H538" i="7"/>
  <c r="G538" i="7"/>
  <c r="E538" i="7"/>
  <c r="D538" i="7"/>
  <c r="A538" i="7"/>
  <c r="I537" i="7"/>
  <c r="H537" i="7"/>
  <c r="G537" i="7"/>
  <c r="E537" i="7"/>
  <c r="D537" i="7"/>
  <c r="A537" i="7"/>
  <c r="I536" i="7"/>
  <c r="H536" i="7"/>
  <c r="G536" i="7"/>
  <c r="E536" i="7"/>
  <c r="D536" i="7"/>
  <c r="A536" i="7"/>
  <c r="I535" i="7"/>
  <c r="H535" i="7"/>
  <c r="G535" i="7"/>
  <c r="E535" i="7"/>
  <c r="D535" i="7"/>
  <c r="A535" i="7"/>
  <c r="I534" i="7"/>
  <c r="H534" i="7"/>
  <c r="G534" i="7"/>
  <c r="E534" i="7"/>
  <c r="D534" i="7"/>
  <c r="A534" i="7"/>
  <c r="I533" i="7"/>
  <c r="H533" i="7"/>
  <c r="G533" i="7"/>
  <c r="E533" i="7"/>
  <c r="D533" i="7"/>
  <c r="A533" i="7"/>
  <c r="I532" i="7"/>
  <c r="H532" i="7"/>
  <c r="G532" i="7"/>
  <c r="E532" i="7"/>
  <c r="D532" i="7"/>
  <c r="A532" i="7"/>
  <c r="I531" i="7"/>
  <c r="H531" i="7"/>
  <c r="G531" i="7"/>
  <c r="E531" i="7"/>
  <c r="D531" i="7"/>
  <c r="A531" i="7"/>
  <c r="I530" i="7"/>
  <c r="H530" i="7"/>
  <c r="G530" i="7"/>
  <c r="E530" i="7"/>
  <c r="D530" i="7"/>
  <c r="A530" i="7"/>
  <c r="I529" i="7"/>
  <c r="H529" i="7"/>
  <c r="G529" i="7"/>
  <c r="E529" i="7"/>
  <c r="D529" i="7"/>
  <c r="A529" i="7"/>
  <c r="I528" i="7"/>
  <c r="H528" i="7"/>
  <c r="G528" i="7"/>
  <c r="E528" i="7"/>
  <c r="D528" i="7"/>
  <c r="A528" i="7"/>
  <c r="I527" i="7"/>
  <c r="H527" i="7"/>
  <c r="G527" i="7"/>
  <c r="E527" i="7"/>
  <c r="D527" i="7"/>
  <c r="A527" i="7"/>
  <c r="I526" i="7"/>
  <c r="H526" i="7"/>
  <c r="G526" i="7"/>
  <c r="E526" i="7"/>
  <c r="D526" i="7"/>
  <c r="A526" i="7"/>
  <c r="I525" i="7"/>
  <c r="H525" i="7"/>
  <c r="G525" i="7"/>
  <c r="E525" i="7"/>
  <c r="D525" i="7"/>
  <c r="A525" i="7"/>
  <c r="I524" i="7"/>
  <c r="H524" i="7"/>
  <c r="G524" i="7"/>
  <c r="E524" i="7"/>
  <c r="D524" i="7"/>
  <c r="A524" i="7"/>
  <c r="I523" i="7"/>
  <c r="H523" i="7"/>
  <c r="G523" i="7"/>
  <c r="E523" i="7"/>
  <c r="D523" i="7"/>
  <c r="A523" i="7"/>
  <c r="I522" i="7"/>
  <c r="H522" i="7"/>
  <c r="G522" i="7"/>
  <c r="E522" i="7"/>
  <c r="D522" i="7"/>
  <c r="A522" i="7"/>
  <c r="I521" i="7"/>
  <c r="H521" i="7"/>
  <c r="G521" i="7"/>
  <c r="E521" i="7"/>
  <c r="D521" i="7"/>
  <c r="A521" i="7"/>
  <c r="I520" i="7"/>
  <c r="H520" i="7"/>
  <c r="G520" i="7"/>
  <c r="E520" i="7"/>
  <c r="D520" i="7"/>
  <c r="A520" i="7"/>
  <c r="I519" i="7"/>
  <c r="H519" i="7"/>
  <c r="G519" i="7"/>
  <c r="E519" i="7"/>
  <c r="D519" i="7"/>
  <c r="A519" i="7"/>
  <c r="I518" i="7"/>
  <c r="H518" i="7"/>
  <c r="G518" i="7"/>
  <c r="E518" i="7"/>
  <c r="D518" i="7"/>
  <c r="A518" i="7"/>
  <c r="I517" i="7"/>
  <c r="H517" i="7"/>
  <c r="G517" i="7"/>
  <c r="E517" i="7"/>
  <c r="D517" i="7"/>
  <c r="A517" i="7"/>
  <c r="I516" i="7"/>
  <c r="H516" i="7"/>
  <c r="G516" i="7"/>
  <c r="E516" i="7"/>
  <c r="D516" i="7"/>
  <c r="A516" i="7"/>
  <c r="I515" i="7"/>
  <c r="H515" i="7"/>
  <c r="G515" i="7"/>
  <c r="E515" i="7"/>
  <c r="D515" i="7"/>
  <c r="A515" i="7"/>
  <c r="I514" i="7"/>
  <c r="H514" i="7"/>
  <c r="G514" i="7"/>
  <c r="E514" i="7"/>
  <c r="D514" i="7"/>
  <c r="A514" i="7"/>
  <c r="I513" i="7"/>
  <c r="H513" i="7"/>
  <c r="G513" i="7"/>
  <c r="E513" i="7"/>
  <c r="D513" i="7"/>
  <c r="A513" i="7"/>
  <c r="I512" i="7"/>
  <c r="H512" i="7"/>
  <c r="G512" i="7"/>
  <c r="E512" i="7"/>
  <c r="D512" i="7"/>
  <c r="A512" i="7"/>
  <c r="I511" i="7"/>
  <c r="H511" i="7"/>
  <c r="G511" i="7"/>
  <c r="E511" i="7"/>
  <c r="D511" i="7"/>
  <c r="A511" i="7"/>
  <c r="I510" i="7"/>
  <c r="H510" i="7"/>
  <c r="G510" i="7"/>
  <c r="E510" i="7"/>
  <c r="D510" i="7"/>
  <c r="A510" i="7"/>
  <c r="I509" i="7"/>
  <c r="H509" i="7"/>
  <c r="G509" i="7"/>
  <c r="E509" i="7"/>
  <c r="D509" i="7"/>
  <c r="A509" i="7"/>
  <c r="I508" i="7"/>
  <c r="H508" i="7"/>
  <c r="G508" i="7"/>
  <c r="E508" i="7"/>
  <c r="D508" i="7"/>
  <c r="A508" i="7"/>
  <c r="I507" i="7"/>
  <c r="H507" i="7"/>
  <c r="G507" i="7"/>
  <c r="E507" i="7"/>
  <c r="D507" i="7"/>
  <c r="A507" i="7"/>
  <c r="I506" i="7"/>
  <c r="H506" i="7"/>
  <c r="G506" i="7"/>
  <c r="E506" i="7"/>
  <c r="D506" i="7"/>
  <c r="A506" i="7"/>
  <c r="I505" i="7"/>
  <c r="H505" i="7"/>
  <c r="G505" i="7"/>
  <c r="E505" i="7"/>
  <c r="D505" i="7"/>
  <c r="A505" i="7"/>
  <c r="I504" i="7"/>
  <c r="H504" i="7"/>
  <c r="G504" i="7"/>
  <c r="E504" i="7"/>
  <c r="D504" i="7"/>
  <c r="A504" i="7"/>
  <c r="I503" i="7"/>
  <c r="H503" i="7"/>
  <c r="G503" i="7"/>
  <c r="E503" i="7"/>
  <c r="D503" i="7"/>
  <c r="A503" i="7"/>
  <c r="I502" i="7"/>
  <c r="H502" i="7"/>
  <c r="G502" i="7"/>
  <c r="E502" i="7"/>
  <c r="D502" i="7"/>
  <c r="A502" i="7"/>
  <c r="I501" i="7"/>
  <c r="H501" i="7"/>
  <c r="G501" i="7"/>
  <c r="E501" i="7"/>
  <c r="D501" i="7"/>
  <c r="A501" i="7"/>
  <c r="I500" i="7"/>
  <c r="H500" i="7"/>
  <c r="G500" i="7"/>
  <c r="E500" i="7"/>
  <c r="D500" i="7"/>
  <c r="A500" i="7"/>
  <c r="I499" i="7"/>
  <c r="H499" i="7"/>
  <c r="G499" i="7"/>
  <c r="E499" i="7"/>
  <c r="D499" i="7"/>
  <c r="A499" i="7"/>
  <c r="I498" i="7"/>
  <c r="H498" i="7"/>
  <c r="G498" i="7"/>
  <c r="E498" i="7"/>
  <c r="D498" i="7"/>
  <c r="A498" i="7"/>
  <c r="I497" i="7"/>
  <c r="H497" i="7"/>
  <c r="G497" i="7"/>
  <c r="E497" i="7"/>
  <c r="D497" i="7"/>
  <c r="A497" i="7"/>
  <c r="I496" i="7"/>
  <c r="H496" i="7"/>
  <c r="G496" i="7"/>
  <c r="E496" i="7"/>
  <c r="D496" i="7"/>
  <c r="A496" i="7"/>
  <c r="I495" i="7"/>
  <c r="H495" i="7"/>
  <c r="G495" i="7"/>
  <c r="E495" i="7"/>
  <c r="D495" i="7"/>
  <c r="A495" i="7"/>
  <c r="I494" i="7"/>
  <c r="H494" i="7"/>
  <c r="G494" i="7"/>
  <c r="E494" i="7"/>
  <c r="D494" i="7"/>
  <c r="A494" i="7"/>
  <c r="I493" i="7"/>
  <c r="H493" i="7"/>
  <c r="G493" i="7"/>
  <c r="E493" i="7"/>
  <c r="D493" i="7"/>
  <c r="A493" i="7"/>
  <c r="I492" i="7"/>
  <c r="H492" i="7"/>
  <c r="G492" i="7"/>
  <c r="E492" i="7"/>
  <c r="D492" i="7"/>
  <c r="A492" i="7"/>
  <c r="I491" i="7"/>
  <c r="H491" i="7"/>
  <c r="G491" i="7"/>
  <c r="E491" i="7"/>
  <c r="D491" i="7"/>
  <c r="A491" i="7"/>
  <c r="I490" i="7"/>
  <c r="H490" i="7"/>
  <c r="G490" i="7"/>
  <c r="E490" i="7"/>
  <c r="D490" i="7"/>
  <c r="A490" i="7"/>
  <c r="I489" i="7"/>
  <c r="H489" i="7"/>
  <c r="G489" i="7"/>
  <c r="E489" i="7"/>
  <c r="D489" i="7"/>
  <c r="A489" i="7"/>
  <c r="I488" i="7"/>
  <c r="H488" i="7"/>
  <c r="G488" i="7"/>
  <c r="E488" i="7"/>
  <c r="D488" i="7"/>
  <c r="A488" i="7"/>
  <c r="I487" i="7"/>
  <c r="H487" i="7"/>
  <c r="G487" i="7"/>
  <c r="E487" i="7"/>
  <c r="D487" i="7"/>
  <c r="A487" i="7"/>
  <c r="I486" i="7"/>
  <c r="H486" i="7"/>
  <c r="G486" i="7"/>
  <c r="E486" i="7"/>
  <c r="D486" i="7"/>
  <c r="A486" i="7"/>
  <c r="I485" i="7"/>
  <c r="H485" i="7"/>
  <c r="G485" i="7"/>
  <c r="E485" i="7"/>
  <c r="D485" i="7"/>
  <c r="A485" i="7"/>
  <c r="I484" i="7"/>
  <c r="H484" i="7"/>
  <c r="G484" i="7"/>
  <c r="E484" i="7"/>
  <c r="D484" i="7"/>
  <c r="A484" i="7"/>
  <c r="I483" i="7"/>
  <c r="H483" i="7"/>
  <c r="G483" i="7"/>
  <c r="E483" i="7"/>
  <c r="D483" i="7"/>
  <c r="A483" i="7"/>
  <c r="I482" i="7"/>
  <c r="H482" i="7"/>
  <c r="G482" i="7"/>
  <c r="E482" i="7"/>
  <c r="D482" i="7"/>
  <c r="A482" i="7"/>
  <c r="I481" i="7"/>
  <c r="H481" i="7"/>
  <c r="G481" i="7"/>
  <c r="E481" i="7"/>
  <c r="D481" i="7"/>
  <c r="A481" i="7"/>
  <c r="I480" i="7"/>
  <c r="H480" i="7"/>
  <c r="G480" i="7"/>
  <c r="E480" i="7"/>
  <c r="D480" i="7"/>
  <c r="A480" i="7"/>
  <c r="I479" i="7"/>
  <c r="H479" i="7"/>
  <c r="G479" i="7"/>
  <c r="E479" i="7"/>
  <c r="D479" i="7"/>
  <c r="A479" i="7"/>
  <c r="I478" i="7"/>
  <c r="H478" i="7"/>
  <c r="G478" i="7"/>
  <c r="E478" i="7"/>
  <c r="D478" i="7"/>
  <c r="A478" i="7"/>
  <c r="I477" i="7"/>
  <c r="H477" i="7"/>
  <c r="G477" i="7"/>
  <c r="E477" i="7"/>
  <c r="D477" i="7"/>
  <c r="A477" i="7"/>
  <c r="I476" i="7"/>
  <c r="H476" i="7"/>
  <c r="G476" i="7"/>
  <c r="E476" i="7"/>
  <c r="D476" i="7"/>
  <c r="A476" i="7"/>
  <c r="I475" i="7"/>
  <c r="H475" i="7"/>
  <c r="G475" i="7"/>
  <c r="E475" i="7"/>
  <c r="D475" i="7"/>
  <c r="A475" i="7"/>
  <c r="I474" i="7"/>
  <c r="H474" i="7"/>
  <c r="G474" i="7"/>
  <c r="E474" i="7"/>
  <c r="D474" i="7"/>
  <c r="A474" i="7"/>
  <c r="I473" i="7"/>
  <c r="H473" i="7"/>
  <c r="G473" i="7"/>
  <c r="E473" i="7"/>
  <c r="D473" i="7"/>
  <c r="A473" i="7"/>
  <c r="I472" i="7"/>
  <c r="H472" i="7"/>
  <c r="G472" i="7"/>
  <c r="E472" i="7"/>
  <c r="D472" i="7"/>
  <c r="A472" i="7"/>
  <c r="I471" i="7"/>
  <c r="H471" i="7"/>
  <c r="G471" i="7"/>
  <c r="E471" i="7"/>
  <c r="D471" i="7"/>
  <c r="A471" i="7"/>
  <c r="I470" i="7"/>
  <c r="H470" i="7"/>
  <c r="G470" i="7"/>
  <c r="E470" i="7"/>
  <c r="D470" i="7"/>
  <c r="A470" i="7"/>
  <c r="I469" i="7"/>
  <c r="H469" i="7"/>
  <c r="G469" i="7"/>
  <c r="E469" i="7"/>
  <c r="D469" i="7"/>
  <c r="A469" i="7"/>
  <c r="I468" i="7"/>
  <c r="H468" i="7"/>
  <c r="G468" i="7"/>
  <c r="E468" i="7"/>
  <c r="D468" i="7"/>
  <c r="A468" i="7"/>
  <c r="I467" i="7"/>
  <c r="H467" i="7"/>
  <c r="G467" i="7"/>
  <c r="E467" i="7"/>
  <c r="D467" i="7"/>
  <c r="A467" i="7"/>
  <c r="I466" i="7"/>
  <c r="H466" i="7"/>
  <c r="G466" i="7"/>
  <c r="E466" i="7"/>
  <c r="D466" i="7"/>
  <c r="A466" i="7"/>
  <c r="I465" i="7"/>
  <c r="H465" i="7"/>
  <c r="G465" i="7"/>
  <c r="E465" i="7"/>
  <c r="D465" i="7"/>
  <c r="A465" i="7"/>
  <c r="I464" i="7"/>
  <c r="H464" i="7"/>
  <c r="G464" i="7"/>
  <c r="E464" i="7"/>
  <c r="D464" i="7"/>
  <c r="A464" i="7"/>
  <c r="I463" i="7"/>
  <c r="H463" i="7"/>
  <c r="G463" i="7"/>
  <c r="E463" i="7"/>
  <c r="D463" i="7"/>
  <c r="A463" i="7"/>
  <c r="I462" i="7"/>
  <c r="H462" i="7"/>
  <c r="G462" i="7"/>
  <c r="E462" i="7"/>
  <c r="D462" i="7"/>
  <c r="A462" i="7"/>
  <c r="I461" i="7"/>
  <c r="H461" i="7"/>
  <c r="G461" i="7"/>
  <c r="E461" i="7"/>
  <c r="D461" i="7"/>
  <c r="A461" i="7"/>
  <c r="I460" i="7"/>
  <c r="H460" i="7"/>
  <c r="G460" i="7"/>
  <c r="E460" i="7"/>
  <c r="D460" i="7"/>
  <c r="A460" i="7"/>
  <c r="I459" i="7"/>
  <c r="H459" i="7"/>
  <c r="G459" i="7"/>
  <c r="E459" i="7"/>
  <c r="D459" i="7"/>
  <c r="A459" i="7"/>
  <c r="I458" i="7"/>
  <c r="H458" i="7"/>
  <c r="G458" i="7"/>
  <c r="E458" i="7"/>
  <c r="D458" i="7"/>
  <c r="A458" i="7"/>
  <c r="I457" i="7"/>
  <c r="H457" i="7"/>
  <c r="G457" i="7"/>
  <c r="E457" i="7"/>
  <c r="D457" i="7"/>
  <c r="A457" i="7"/>
  <c r="I456" i="7"/>
  <c r="H456" i="7"/>
  <c r="G456" i="7"/>
  <c r="E456" i="7"/>
  <c r="D456" i="7"/>
  <c r="A456" i="7"/>
  <c r="I455" i="7"/>
  <c r="H455" i="7"/>
  <c r="G455" i="7"/>
  <c r="E455" i="7"/>
  <c r="D455" i="7"/>
  <c r="A455" i="7"/>
  <c r="I454" i="7"/>
  <c r="H454" i="7"/>
  <c r="G454" i="7"/>
  <c r="E454" i="7"/>
  <c r="D454" i="7"/>
  <c r="A454" i="7"/>
  <c r="I453" i="7"/>
  <c r="H453" i="7"/>
  <c r="G453" i="7"/>
  <c r="E453" i="7"/>
  <c r="D453" i="7"/>
  <c r="A453" i="7"/>
  <c r="I452" i="7"/>
  <c r="H452" i="7"/>
  <c r="G452" i="7"/>
  <c r="E452" i="7"/>
  <c r="D452" i="7"/>
  <c r="A452" i="7"/>
  <c r="I451" i="7"/>
  <c r="H451" i="7"/>
  <c r="G451" i="7"/>
  <c r="E451" i="7"/>
  <c r="D451" i="7"/>
  <c r="A451" i="7"/>
  <c r="I450" i="7"/>
  <c r="H450" i="7"/>
  <c r="G450" i="7"/>
  <c r="E450" i="7"/>
  <c r="D450" i="7"/>
  <c r="A450" i="7"/>
  <c r="I449" i="7"/>
  <c r="H449" i="7"/>
  <c r="G449" i="7"/>
  <c r="E449" i="7"/>
  <c r="D449" i="7"/>
  <c r="A449" i="7"/>
  <c r="I448" i="7"/>
  <c r="H448" i="7"/>
  <c r="G448" i="7"/>
  <c r="E448" i="7"/>
  <c r="D448" i="7"/>
  <c r="A448" i="7"/>
  <c r="I447" i="7"/>
  <c r="H447" i="7"/>
  <c r="G447" i="7"/>
  <c r="E447" i="7"/>
  <c r="D447" i="7"/>
  <c r="A447" i="7"/>
  <c r="I446" i="7"/>
  <c r="H446" i="7"/>
  <c r="G446" i="7"/>
  <c r="E446" i="7"/>
  <c r="D446" i="7"/>
  <c r="A446" i="7"/>
  <c r="I445" i="7"/>
  <c r="H445" i="7"/>
  <c r="G445" i="7"/>
  <c r="E445" i="7"/>
  <c r="D445" i="7"/>
  <c r="A445" i="7"/>
  <c r="I444" i="7"/>
  <c r="H444" i="7"/>
  <c r="G444" i="7"/>
  <c r="E444" i="7"/>
  <c r="D444" i="7"/>
  <c r="A444" i="7"/>
  <c r="I443" i="7"/>
  <c r="H443" i="7"/>
  <c r="G443" i="7"/>
  <c r="E443" i="7"/>
  <c r="D443" i="7"/>
  <c r="A443" i="7"/>
  <c r="I442" i="7"/>
  <c r="H442" i="7"/>
  <c r="G442" i="7"/>
  <c r="E442" i="7"/>
  <c r="D442" i="7"/>
  <c r="A442" i="7"/>
  <c r="I441" i="7"/>
  <c r="H441" i="7"/>
  <c r="G441" i="7"/>
  <c r="E441" i="7"/>
  <c r="D441" i="7"/>
  <c r="A441" i="7"/>
  <c r="I440" i="7"/>
  <c r="H440" i="7"/>
  <c r="G440" i="7"/>
  <c r="E440" i="7"/>
  <c r="D440" i="7"/>
  <c r="A440" i="7"/>
  <c r="I439" i="7"/>
  <c r="H439" i="7"/>
  <c r="G439" i="7"/>
  <c r="E439" i="7"/>
  <c r="D439" i="7"/>
  <c r="A439" i="7"/>
  <c r="I438" i="7"/>
  <c r="H438" i="7"/>
  <c r="G438" i="7"/>
  <c r="E438" i="7"/>
  <c r="D438" i="7"/>
  <c r="A438" i="7"/>
  <c r="I437" i="7"/>
  <c r="H437" i="7"/>
  <c r="G437" i="7"/>
  <c r="E437" i="7"/>
  <c r="D437" i="7"/>
  <c r="A437" i="7"/>
  <c r="I436" i="7"/>
  <c r="H436" i="7"/>
  <c r="G436" i="7"/>
  <c r="E436" i="7"/>
  <c r="D436" i="7"/>
  <c r="A436" i="7"/>
  <c r="I435" i="7"/>
  <c r="H435" i="7"/>
  <c r="G435" i="7"/>
  <c r="E435" i="7"/>
  <c r="D435" i="7"/>
  <c r="A435" i="7"/>
  <c r="I434" i="7"/>
  <c r="H434" i="7"/>
  <c r="G434" i="7"/>
  <c r="E434" i="7"/>
  <c r="D434" i="7"/>
  <c r="A434" i="7"/>
  <c r="I433" i="7"/>
  <c r="H433" i="7"/>
  <c r="G433" i="7"/>
  <c r="E433" i="7"/>
  <c r="D433" i="7"/>
  <c r="A433" i="7"/>
  <c r="I432" i="7"/>
  <c r="H432" i="7"/>
  <c r="G432" i="7"/>
  <c r="E432" i="7"/>
  <c r="D432" i="7"/>
  <c r="A432" i="7"/>
  <c r="I431" i="7"/>
  <c r="H431" i="7"/>
  <c r="G431" i="7"/>
  <c r="E431" i="7"/>
  <c r="D431" i="7"/>
  <c r="A431" i="7"/>
  <c r="I430" i="7"/>
  <c r="H430" i="7"/>
  <c r="G430" i="7"/>
  <c r="E430" i="7"/>
  <c r="D430" i="7"/>
  <c r="A430" i="7"/>
  <c r="I429" i="7"/>
  <c r="H429" i="7"/>
  <c r="G429" i="7"/>
  <c r="E429" i="7"/>
  <c r="D429" i="7"/>
  <c r="A429" i="7"/>
  <c r="I428" i="7"/>
  <c r="H428" i="7"/>
  <c r="G428" i="7"/>
  <c r="E428" i="7"/>
  <c r="D428" i="7"/>
  <c r="A428" i="7"/>
  <c r="I427" i="7"/>
  <c r="H427" i="7"/>
  <c r="G427" i="7"/>
  <c r="E427" i="7"/>
  <c r="D427" i="7"/>
  <c r="A427" i="7"/>
  <c r="I426" i="7"/>
  <c r="H426" i="7"/>
  <c r="G426" i="7"/>
  <c r="E426" i="7"/>
  <c r="D426" i="7"/>
  <c r="A426" i="7"/>
  <c r="I425" i="7"/>
  <c r="H425" i="7"/>
  <c r="G425" i="7"/>
  <c r="E425" i="7"/>
  <c r="D425" i="7"/>
  <c r="A425" i="7"/>
  <c r="I424" i="7"/>
  <c r="H424" i="7"/>
  <c r="G424" i="7"/>
  <c r="E424" i="7"/>
  <c r="D424" i="7"/>
  <c r="A424" i="7"/>
  <c r="I423" i="7"/>
  <c r="H423" i="7"/>
  <c r="G423" i="7"/>
  <c r="E423" i="7"/>
  <c r="D423" i="7"/>
  <c r="A423" i="7"/>
  <c r="I422" i="7"/>
  <c r="H422" i="7"/>
  <c r="G422" i="7"/>
  <c r="E422" i="7"/>
  <c r="D422" i="7"/>
  <c r="A422" i="7"/>
  <c r="I421" i="7"/>
  <c r="H421" i="7"/>
  <c r="G421" i="7"/>
  <c r="E421" i="7"/>
  <c r="D421" i="7"/>
  <c r="A421" i="7"/>
  <c r="I420" i="7"/>
  <c r="H420" i="7"/>
  <c r="G420" i="7"/>
  <c r="E420" i="7"/>
  <c r="D420" i="7"/>
  <c r="A420" i="7"/>
  <c r="I419" i="7"/>
  <c r="H419" i="7"/>
  <c r="G419" i="7"/>
  <c r="E419" i="7"/>
  <c r="D419" i="7"/>
  <c r="A419" i="7"/>
  <c r="I418" i="7"/>
  <c r="H418" i="7"/>
  <c r="G418" i="7"/>
  <c r="E418" i="7"/>
  <c r="D418" i="7"/>
  <c r="A418" i="7"/>
  <c r="I417" i="7"/>
  <c r="H417" i="7"/>
  <c r="G417" i="7"/>
  <c r="E417" i="7"/>
  <c r="D417" i="7"/>
  <c r="A417" i="7"/>
  <c r="I416" i="7"/>
  <c r="H416" i="7"/>
  <c r="G416" i="7"/>
  <c r="E416" i="7"/>
  <c r="D416" i="7"/>
  <c r="A416" i="7"/>
  <c r="I415" i="7"/>
  <c r="H415" i="7"/>
  <c r="G415" i="7"/>
  <c r="E415" i="7"/>
  <c r="D415" i="7"/>
  <c r="A415" i="7"/>
  <c r="I414" i="7"/>
  <c r="H414" i="7"/>
  <c r="G414" i="7"/>
  <c r="E414" i="7"/>
  <c r="D414" i="7"/>
  <c r="A414" i="7"/>
  <c r="I413" i="7"/>
  <c r="H413" i="7"/>
  <c r="G413" i="7"/>
  <c r="E413" i="7"/>
  <c r="D413" i="7"/>
  <c r="A413" i="7"/>
  <c r="I412" i="7"/>
  <c r="H412" i="7"/>
  <c r="G412" i="7"/>
  <c r="E412" i="7"/>
  <c r="D412" i="7"/>
  <c r="A412" i="7"/>
  <c r="I411" i="7"/>
  <c r="H411" i="7"/>
  <c r="G411" i="7"/>
  <c r="E411" i="7"/>
  <c r="D411" i="7"/>
  <c r="A411" i="7"/>
  <c r="I410" i="7"/>
  <c r="H410" i="7"/>
  <c r="G410" i="7"/>
  <c r="E410" i="7"/>
  <c r="D410" i="7"/>
  <c r="A410" i="7"/>
  <c r="I409" i="7"/>
  <c r="H409" i="7"/>
  <c r="G409" i="7"/>
  <c r="E409" i="7"/>
  <c r="D409" i="7"/>
  <c r="A409" i="7"/>
  <c r="I408" i="7"/>
  <c r="H408" i="7"/>
  <c r="G408" i="7"/>
  <c r="E408" i="7"/>
  <c r="D408" i="7"/>
  <c r="A408" i="7"/>
  <c r="I407" i="7"/>
  <c r="H407" i="7"/>
  <c r="G407" i="7"/>
  <c r="E407" i="7"/>
  <c r="D407" i="7"/>
  <c r="A407" i="7"/>
  <c r="I406" i="7"/>
  <c r="H406" i="7"/>
  <c r="G406" i="7"/>
  <c r="E406" i="7"/>
  <c r="D406" i="7"/>
  <c r="A406" i="7"/>
  <c r="I405" i="7"/>
  <c r="H405" i="7"/>
  <c r="G405" i="7"/>
  <c r="E405" i="7"/>
  <c r="D405" i="7"/>
  <c r="A405" i="7"/>
  <c r="I404" i="7"/>
  <c r="H404" i="7"/>
  <c r="G404" i="7"/>
  <c r="E404" i="7"/>
  <c r="D404" i="7"/>
  <c r="A404" i="7"/>
  <c r="I403" i="7"/>
  <c r="H403" i="7"/>
  <c r="G403" i="7"/>
  <c r="E403" i="7"/>
  <c r="D403" i="7"/>
  <c r="A403" i="7"/>
  <c r="I402" i="7"/>
  <c r="H402" i="7"/>
  <c r="G402" i="7"/>
  <c r="E402" i="7"/>
  <c r="D402" i="7"/>
  <c r="A402" i="7"/>
  <c r="I401" i="7"/>
  <c r="H401" i="7"/>
  <c r="G401" i="7"/>
  <c r="E401" i="7"/>
  <c r="D401" i="7"/>
  <c r="A401" i="7"/>
  <c r="I400" i="7"/>
  <c r="H400" i="7"/>
  <c r="G400" i="7"/>
  <c r="E400" i="7"/>
  <c r="D400" i="7"/>
  <c r="A400" i="7"/>
  <c r="I399" i="7"/>
  <c r="H399" i="7"/>
  <c r="G399" i="7"/>
  <c r="E399" i="7"/>
  <c r="D399" i="7"/>
  <c r="A399" i="7"/>
  <c r="I398" i="7"/>
  <c r="H398" i="7"/>
  <c r="G398" i="7"/>
  <c r="E398" i="7"/>
  <c r="D398" i="7"/>
  <c r="A398" i="7"/>
  <c r="I397" i="7"/>
  <c r="H397" i="7"/>
  <c r="G397" i="7"/>
  <c r="E397" i="7"/>
  <c r="D397" i="7"/>
  <c r="A397" i="7"/>
  <c r="I396" i="7"/>
  <c r="H396" i="7"/>
  <c r="G396" i="7"/>
  <c r="E396" i="7"/>
  <c r="D396" i="7"/>
  <c r="A396" i="7"/>
  <c r="I395" i="7"/>
  <c r="H395" i="7"/>
  <c r="G395" i="7"/>
  <c r="E395" i="7"/>
  <c r="D395" i="7"/>
  <c r="A395" i="7"/>
  <c r="I394" i="7"/>
  <c r="H394" i="7"/>
  <c r="G394" i="7"/>
  <c r="E394" i="7"/>
  <c r="D394" i="7"/>
  <c r="A394" i="7"/>
  <c r="I393" i="7"/>
  <c r="H393" i="7"/>
  <c r="G393" i="7"/>
  <c r="E393" i="7"/>
  <c r="D393" i="7"/>
  <c r="A393" i="7"/>
  <c r="I392" i="7"/>
  <c r="H392" i="7"/>
  <c r="G392" i="7"/>
  <c r="E392" i="7"/>
  <c r="D392" i="7"/>
  <c r="A392" i="7"/>
  <c r="I391" i="7"/>
  <c r="H391" i="7"/>
  <c r="G391" i="7"/>
  <c r="E391" i="7"/>
  <c r="D391" i="7"/>
  <c r="A391" i="7"/>
  <c r="I390" i="7"/>
  <c r="H390" i="7"/>
  <c r="G390" i="7"/>
  <c r="E390" i="7"/>
  <c r="D390" i="7"/>
  <c r="A390" i="7"/>
  <c r="I389" i="7"/>
  <c r="H389" i="7"/>
  <c r="G389" i="7"/>
  <c r="E389" i="7"/>
  <c r="D389" i="7"/>
  <c r="A389" i="7"/>
  <c r="I388" i="7"/>
  <c r="H388" i="7"/>
  <c r="G388" i="7"/>
  <c r="E388" i="7"/>
  <c r="D388" i="7"/>
  <c r="A388" i="7"/>
  <c r="I387" i="7"/>
  <c r="H387" i="7"/>
  <c r="G387" i="7"/>
  <c r="E387" i="7"/>
  <c r="D387" i="7"/>
  <c r="A387" i="7"/>
  <c r="I386" i="7"/>
  <c r="H386" i="7"/>
  <c r="G386" i="7"/>
  <c r="E386" i="7"/>
  <c r="D386" i="7"/>
  <c r="A386" i="7"/>
  <c r="I385" i="7"/>
  <c r="H385" i="7"/>
  <c r="G385" i="7"/>
  <c r="E385" i="7"/>
  <c r="D385" i="7"/>
  <c r="A385" i="7"/>
  <c r="I384" i="7"/>
  <c r="H384" i="7"/>
  <c r="G384" i="7"/>
  <c r="E384" i="7"/>
  <c r="D384" i="7"/>
  <c r="A384" i="7"/>
  <c r="I383" i="7"/>
  <c r="H383" i="7"/>
  <c r="G383" i="7"/>
  <c r="E383" i="7"/>
  <c r="D383" i="7"/>
  <c r="A383" i="7"/>
  <c r="I382" i="7"/>
  <c r="H382" i="7"/>
  <c r="G382" i="7"/>
  <c r="E382" i="7"/>
  <c r="D382" i="7"/>
  <c r="A382" i="7"/>
  <c r="I381" i="7"/>
  <c r="H381" i="7"/>
  <c r="G381" i="7"/>
  <c r="E381" i="7"/>
  <c r="D381" i="7"/>
  <c r="A381" i="7"/>
  <c r="I380" i="7"/>
  <c r="H380" i="7"/>
  <c r="G380" i="7"/>
  <c r="E380" i="7"/>
  <c r="D380" i="7"/>
  <c r="A380" i="7"/>
  <c r="I379" i="7"/>
  <c r="H379" i="7"/>
  <c r="G379" i="7"/>
  <c r="E379" i="7"/>
  <c r="D379" i="7"/>
  <c r="A379" i="7"/>
  <c r="I378" i="7"/>
  <c r="H378" i="7"/>
  <c r="G378" i="7"/>
  <c r="E378" i="7"/>
  <c r="D378" i="7"/>
  <c r="A378" i="7"/>
  <c r="I377" i="7"/>
  <c r="H377" i="7"/>
  <c r="G377" i="7"/>
  <c r="E377" i="7"/>
  <c r="D377" i="7"/>
  <c r="A377" i="7"/>
  <c r="I376" i="7"/>
  <c r="H376" i="7"/>
  <c r="G376" i="7"/>
  <c r="E376" i="7"/>
  <c r="D376" i="7"/>
  <c r="A376" i="7"/>
  <c r="I375" i="7"/>
  <c r="H375" i="7"/>
  <c r="G375" i="7"/>
  <c r="E375" i="7"/>
  <c r="D375" i="7"/>
  <c r="A375" i="7"/>
  <c r="I374" i="7"/>
  <c r="H374" i="7"/>
  <c r="G374" i="7"/>
  <c r="E374" i="7"/>
  <c r="D374" i="7"/>
  <c r="A374" i="7"/>
  <c r="I373" i="7"/>
  <c r="H373" i="7"/>
  <c r="G373" i="7"/>
  <c r="E373" i="7"/>
  <c r="D373" i="7"/>
  <c r="A373" i="7"/>
  <c r="I372" i="7"/>
  <c r="H372" i="7"/>
  <c r="G372" i="7"/>
  <c r="E372" i="7"/>
  <c r="D372" i="7"/>
  <c r="A372" i="7"/>
  <c r="I371" i="7"/>
  <c r="H371" i="7"/>
  <c r="G371" i="7"/>
  <c r="E371" i="7"/>
  <c r="D371" i="7"/>
  <c r="A371" i="7"/>
  <c r="I370" i="7"/>
  <c r="H370" i="7"/>
  <c r="G370" i="7"/>
  <c r="E370" i="7"/>
  <c r="D370" i="7"/>
  <c r="A370" i="7"/>
  <c r="I369" i="7"/>
  <c r="H369" i="7"/>
  <c r="G369" i="7"/>
  <c r="E369" i="7"/>
  <c r="D369" i="7"/>
  <c r="A369" i="7"/>
  <c r="I368" i="7"/>
  <c r="H368" i="7"/>
  <c r="G368" i="7"/>
  <c r="E368" i="7"/>
  <c r="D368" i="7"/>
  <c r="A368" i="7"/>
  <c r="I367" i="7"/>
  <c r="H367" i="7"/>
  <c r="G367" i="7"/>
  <c r="E367" i="7"/>
  <c r="D367" i="7"/>
  <c r="A367" i="7"/>
  <c r="I366" i="7"/>
  <c r="H366" i="7"/>
  <c r="G366" i="7"/>
  <c r="E366" i="7"/>
  <c r="D366" i="7"/>
  <c r="A366" i="7"/>
  <c r="I365" i="7"/>
  <c r="H365" i="7"/>
  <c r="G365" i="7"/>
  <c r="E365" i="7"/>
  <c r="D365" i="7"/>
  <c r="A365" i="7"/>
  <c r="I364" i="7"/>
  <c r="H364" i="7"/>
  <c r="G364" i="7"/>
  <c r="E364" i="7"/>
  <c r="D364" i="7"/>
  <c r="A364" i="7"/>
  <c r="I363" i="7"/>
  <c r="H363" i="7"/>
  <c r="G363" i="7"/>
  <c r="E363" i="7"/>
  <c r="D363" i="7"/>
  <c r="A363" i="7"/>
  <c r="I362" i="7"/>
  <c r="H362" i="7"/>
  <c r="G362" i="7"/>
  <c r="E362" i="7"/>
  <c r="D362" i="7"/>
  <c r="A362" i="7"/>
  <c r="I361" i="7"/>
  <c r="H361" i="7"/>
  <c r="G361" i="7"/>
  <c r="E361" i="7"/>
  <c r="D361" i="7"/>
  <c r="A361" i="7"/>
  <c r="I360" i="7"/>
  <c r="H360" i="7"/>
  <c r="G360" i="7"/>
  <c r="E360" i="7"/>
  <c r="D360" i="7"/>
  <c r="A360" i="7"/>
  <c r="I359" i="7"/>
  <c r="H359" i="7"/>
  <c r="G359" i="7"/>
  <c r="E359" i="7"/>
  <c r="D359" i="7"/>
  <c r="A359" i="7"/>
  <c r="I358" i="7"/>
  <c r="H358" i="7"/>
  <c r="G358" i="7"/>
  <c r="E358" i="7"/>
  <c r="D358" i="7"/>
  <c r="A358" i="7"/>
  <c r="I357" i="7"/>
  <c r="H357" i="7"/>
  <c r="G357" i="7"/>
  <c r="E357" i="7"/>
  <c r="D357" i="7"/>
  <c r="A357" i="7"/>
  <c r="I356" i="7"/>
  <c r="H356" i="7"/>
  <c r="G356" i="7"/>
  <c r="E356" i="7"/>
  <c r="D356" i="7"/>
  <c r="A356" i="7"/>
  <c r="I355" i="7"/>
  <c r="H355" i="7"/>
  <c r="G355" i="7"/>
  <c r="E355" i="7"/>
  <c r="D355" i="7"/>
  <c r="A355" i="7"/>
  <c r="I354" i="7"/>
  <c r="H354" i="7"/>
  <c r="G354" i="7"/>
  <c r="E354" i="7"/>
  <c r="D354" i="7"/>
  <c r="A354" i="7"/>
  <c r="I353" i="7"/>
  <c r="H353" i="7"/>
  <c r="G353" i="7"/>
  <c r="E353" i="7"/>
  <c r="D353" i="7"/>
  <c r="A353" i="7"/>
  <c r="I352" i="7"/>
  <c r="H352" i="7"/>
  <c r="G352" i="7"/>
  <c r="E352" i="7"/>
  <c r="D352" i="7"/>
  <c r="A352" i="7"/>
  <c r="I351" i="7"/>
  <c r="H351" i="7"/>
  <c r="G351" i="7"/>
  <c r="E351" i="7"/>
  <c r="D351" i="7"/>
  <c r="A351" i="7"/>
  <c r="I350" i="7"/>
  <c r="H350" i="7"/>
  <c r="G350" i="7"/>
  <c r="E350" i="7"/>
  <c r="D350" i="7"/>
  <c r="A350" i="7"/>
  <c r="I349" i="7"/>
  <c r="H349" i="7"/>
  <c r="G349" i="7"/>
  <c r="E349" i="7"/>
  <c r="D349" i="7"/>
  <c r="A349" i="7"/>
  <c r="I348" i="7"/>
  <c r="H348" i="7"/>
  <c r="G348" i="7"/>
  <c r="E348" i="7"/>
  <c r="D348" i="7"/>
  <c r="A348" i="7"/>
  <c r="I347" i="7"/>
  <c r="H347" i="7"/>
  <c r="G347" i="7"/>
  <c r="E347" i="7"/>
  <c r="D347" i="7"/>
  <c r="A347" i="7"/>
  <c r="I346" i="7"/>
  <c r="H346" i="7"/>
  <c r="G346" i="7"/>
  <c r="E346" i="7"/>
  <c r="D346" i="7"/>
  <c r="A346" i="7"/>
  <c r="I345" i="7"/>
  <c r="H345" i="7"/>
  <c r="G345" i="7"/>
  <c r="E345" i="7"/>
  <c r="D345" i="7"/>
  <c r="A345" i="7"/>
  <c r="I344" i="7"/>
  <c r="H344" i="7"/>
  <c r="G344" i="7"/>
  <c r="E344" i="7"/>
  <c r="D344" i="7"/>
  <c r="A344" i="7"/>
  <c r="I343" i="7"/>
  <c r="H343" i="7"/>
  <c r="G343" i="7"/>
  <c r="E343" i="7"/>
  <c r="D343" i="7"/>
  <c r="A343" i="7"/>
  <c r="I342" i="7"/>
  <c r="H342" i="7"/>
  <c r="G342" i="7"/>
  <c r="E342" i="7"/>
  <c r="D342" i="7"/>
  <c r="A342" i="7"/>
  <c r="I341" i="7"/>
  <c r="H341" i="7"/>
  <c r="G341" i="7"/>
  <c r="E341" i="7"/>
  <c r="D341" i="7"/>
  <c r="A341" i="7"/>
  <c r="I340" i="7"/>
  <c r="H340" i="7"/>
  <c r="G340" i="7"/>
  <c r="E340" i="7"/>
  <c r="D340" i="7"/>
  <c r="A340" i="7"/>
  <c r="I339" i="7"/>
  <c r="H339" i="7"/>
  <c r="G339" i="7"/>
  <c r="E339" i="7"/>
  <c r="D339" i="7"/>
  <c r="A339" i="7"/>
  <c r="I338" i="7"/>
  <c r="H338" i="7"/>
  <c r="G338" i="7"/>
  <c r="E338" i="7"/>
  <c r="D338" i="7"/>
  <c r="A338" i="7"/>
  <c r="I337" i="7"/>
  <c r="H337" i="7"/>
  <c r="G337" i="7"/>
  <c r="E337" i="7"/>
  <c r="D337" i="7"/>
  <c r="A337" i="7"/>
  <c r="I336" i="7"/>
  <c r="H336" i="7"/>
  <c r="G336" i="7"/>
  <c r="E336" i="7"/>
  <c r="D336" i="7"/>
  <c r="A336" i="7"/>
  <c r="I335" i="7"/>
  <c r="H335" i="7"/>
  <c r="G335" i="7"/>
  <c r="E335" i="7"/>
  <c r="D335" i="7"/>
  <c r="A335" i="7"/>
  <c r="I334" i="7"/>
  <c r="H334" i="7"/>
  <c r="G334" i="7"/>
  <c r="E334" i="7"/>
  <c r="D334" i="7"/>
  <c r="A334" i="7"/>
  <c r="I333" i="7"/>
  <c r="H333" i="7"/>
  <c r="G333" i="7"/>
  <c r="E333" i="7"/>
  <c r="D333" i="7"/>
  <c r="A333" i="7"/>
  <c r="I332" i="7"/>
  <c r="H332" i="7"/>
  <c r="G332" i="7"/>
  <c r="E332" i="7"/>
  <c r="D332" i="7"/>
  <c r="A332" i="7"/>
  <c r="I331" i="7"/>
  <c r="H331" i="7"/>
  <c r="G331" i="7"/>
  <c r="E331" i="7"/>
  <c r="D331" i="7"/>
  <c r="A331" i="7"/>
  <c r="I330" i="7"/>
  <c r="H330" i="7"/>
  <c r="G330" i="7"/>
  <c r="E330" i="7"/>
  <c r="D330" i="7"/>
  <c r="A330" i="7"/>
  <c r="I329" i="7"/>
  <c r="H329" i="7"/>
  <c r="G329" i="7"/>
  <c r="E329" i="7"/>
  <c r="D329" i="7"/>
  <c r="A329" i="7"/>
  <c r="I328" i="7"/>
  <c r="H328" i="7"/>
  <c r="G328" i="7"/>
  <c r="E328" i="7"/>
  <c r="D328" i="7"/>
  <c r="A328" i="7"/>
  <c r="I327" i="7"/>
  <c r="H327" i="7"/>
  <c r="G327" i="7"/>
  <c r="E327" i="7"/>
  <c r="D327" i="7"/>
  <c r="A327" i="7"/>
  <c r="I326" i="7"/>
  <c r="H326" i="7"/>
  <c r="G326" i="7"/>
  <c r="E326" i="7"/>
  <c r="D326" i="7"/>
  <c r="A326" i="7"/>
  <c r="I325" i="7"/>
  <c r="H325" i="7"/>
  <c r="G325" i="7"/>
  <c r="E325" i="7"/>
  <c r="D325" i="7"/>
  <c r="A325" i="7"/>
  <c r="I324" i="7"/>
  <c r="H324" i="7"/>
  <c r="G324" i="7"/>
  <c r="E324" i="7"/>
  <c r="D324" i="7"/>
  <c r="A324" i="7"/>
  <c r="I323" i="7"/>
  <c r="H323" i="7"/>
  <c r="G323" i="7"/>
  <c r="E323" i="7"/>
  <c r="D323" i="7"/>
  <c r="A323" i="7"/>
  <c r="I322" i="7"/>
  <c r="H322" i="7"/>
  <c r="G322" i="7"/>
  <c r="E322" i="7"/>
  <c r="D322" i="7"/>
  <c r="A322" i="7"/>
  <c r="I321" i="7"/>
  <c r="H321" i="7"/>
  <c r="G321" i="7"/>
  <c r="E321" i="7"/>
  <c r="D321" i="7"/>
  <c r="A321" i="7"/>
  <c r="I320" i="7"/>
  <c r="H320" i="7"/>
  <c r="G320" i="7"/>
  <c r="E320" i="7"/>
  <c r="D320" i="7"/>
  <c r="A320" i="7"/>
  <c r="I319" i="7"/>
  <c r="H319" i="7"/>
  <c r="G319" i="7"/>
  <c r="E319" i="7"/>
  <c r="D319" i="7"/>
  <c r="A319" i="7"/>
  <c r="I318" i="7"/>
  <c r="H318" i="7"/>
  <c r="G318" i="7"/>
  <c r="E318" i="7"/>
  <c r="D318" i="7"/>
  <c r="A318" i="7"/>
  <c r="I317" i="7"/>
  <c r="H317" i="7"/>
  <c r="G317" i="7"/>
  <c r="E317" i="7"/>
  <c r="D317" i="7"/>
  <c r="A317" i="7"/>
  <c r="I316" i="7"/>
  <c r="H316" i="7"/>
  <c r="G316" i="7"/>
  <c r="E316" i="7"/>
  <c r="D316" i="7"/>
  <c r="A316" i="7"/>
  <c r="I315" i="7"/>
  <c r="H315" i="7"/>
  <c r="G315" i="7"/>
  <c r="E315" i="7"/>
  <c r="D315" i="7"/>
  <c r="A315" i="7"/>
  <c r="I314" i="7"/>
  <c r="H314" i="7"/>
  <c r="G314" i="7"/>
  <c r="E314" i="7"/>
  <c r="D314" i="7"/>
  <c r="A314" i="7"/>
  <c r="I313" i="7"/>
  <c r="H313" i="7"/>
  <c r="G313" i="7"/>
  <c r="E313" i="7"/>
  <c r="D313" i="7"/>
  <c r="A313" i="7"/>
  <c r="I312" i="7"/>
  <c r="H312" i="7"/>
  <c r="G312" i="7"/>
  <c r="E312" i="7"/>
  <c r="D312" i="7"/>
  <c r="A312" i="7"/>
  <c r="I311" i="7"/>
  <c r="H311" i="7"/>
  <c r="G311" i="7"/>
  <c r="E311" i="7"/>
  <c r="D311" i="7"/>
  <c r="A311" i="7"/>
  <c r="I310" i="7"/>
  <c r="H310" i="7"/>
  <c r="G310" i="7"/>
  <c r="E310" i="7"/>
  <c r="D310" i="7"/>
  <c r="A310" i="7"/>
  <c r="I309" i="7"/>
  <c r="H309" i="7"/>
  <c r="G309" i="7"/>
  <c r="E309" i="7"/>
  <c r="D309" i="7"/>
  <c r="A309" i="7"/>
  <c r="I308" i="7"/>
  <c r="H308" i="7"/>
  <c r="G308" i="7"/>
  <c r="E308" i="7"/>
  <c r="D308" i="7"/>
  <c r="A308" i="7"/>
  <c r="I307" i="7"/>
  <c r="H307" i="7"/>
  <c r="G307" i="7"/>
  <c r="E307" i="7"/>
  <c r="D307" i="7"/>
  <c r="A307" i="7"/>
  <c r="I306" i="7"/>
  <c r="H306" i="7"/>
  <c r="G306" i="7"/>
  <c r="E306" i="7"/>
  <c r="D306" i="7"/>
  <c r="A306" i="7"/>
  <c r="I305" i="7"/>
  <c r="H305" i="7"/>
  <c r="G305" i="7"/>
  <c r="E305" i="7"/>
  <c r="D305" i="7"/>
  <c r="A305" i="7"/>
  <c r="I304" i="7"/>
  <c r="H304" i="7"/>
  <c r="G304" i="7"/>
  <c r="E304" i="7"/>
  <c r="D304" i="7"/>
  <c r="A304" i="7"/>
  <c r="I303" i="7"/>
  <c r="H303" i="7"/>
  <c r="G303" i="7"/>
  <c r="E303" i="7"/>
  <c r="D303" i="7"/>
  <c r="A303" i="7"/>
  <c r="I302" i="7"/>
  <c r="H302" i="7"/>
  <c r="G302" i="7"/>
  <c r="E302" i="7"/>
  <c r="D302" i="7"/>
  <c r="A302" i="7"/>
  <c r="I301" i="7"/>
  <c r="H301" i="7"/>
  <c r="G301" i="7"/>
  <c r="E301" i="7"/>
  <c r="D301" i="7"/>
  <c r="A301" i="7"/>
  <c r="I300" i="7"/>
  <c r="H300" i="7"/>
  <c r="G300" i="7"/>
  <c r="E300" i="7"/>
  <c r="D300" i="7"/>
  <c r="A300" i="7"/>
  <c r="I299" i="7"/>
  <c r="H299" i="7"/>
  <c r="G299" i="7"/>
  <c r="E299" i="7"/>
  <c r="D299" i="7"/>
  <c r="A299" i="7"/>
  <c r="I298" i="7"/>
  <c r="H298" i="7"/>
  <c r="G298" i="7"/>
  <c r="E298" i="7"/>
  <c r="D298" i="7"/>
  <c r="A298" i="7"/>
  <c r="I297" i="7"/>
  <c r="H297" i="7"/>
  <c r="G297" i="7"/>
  <c r="E297" i="7"/>
  <c r="D297" i="7"/>
  <c r="A297" i="7"/>
  <c r="I296" i="7"/>
  <c r="H296" i="7"/>
  <c r="G296" i="7"/>
  <c r="E296" i="7"/>
  <c r="D296" i="7"/>
  <c r="A296" i="7"/>
  <c r="I295" i="7"/>
  <c r="H295" i="7"/>
  <c r="G295" i="7"/>
  <c r="E295" i="7"/>
  <c r="D295" i="7"/>
  <c r="A295" i="7"/>
  <c r="I294" i="7"/>
  <c r="H294" i="7"/>
  <c r="G294" i="7"/>
  <c r="E294" i="7"/>
  <c r="D294" i="7"/>
  <c r="A294" i="7"/>
  <c r="I293" i="7"/>
  <c r="H293" i="7"/>
  <c r="G293" i="7"/>
  <c r="E293" i="7"/>
  <c r="D293" i="7"/>
  <c r="A293" i="7"/>
  <c r="I292" i="7"/>
  <c r="H292" i="7"/>
  <c r="G292" i="7"/>
  <c r="E292" i="7"/>
  <c r="D292" i="7"/>
  <c r="A292" i="7"/>
  <c r="I291" i="7"/>
  <c r="H291" i="7"/>
  <c r="G291" i="7"/>
  <c r="E291" i="7"/>
  <c r="D291" i="7"/>
  <c r="A291" i="7"/>
  <c r="I290" i="7"/>
  <c r="H290" i="7"/>
  <c r="G290" i="7"/>
  <c r="E290" i="7"/>
  <c r="D290" i="7"/>
  <c r="A290" i="7"/>
  <c r="I289" i="7"/>
  <c r="H289" i="7"/>
  <c r="G289" i="7"/>
  <c r="E289" i="7"/>
  <c r="D289" i="7"/>
  <c r="A289" i="7"/>
  <c r="I288" i="7"/>
  <c r="H288" i="7"/>
  <c r="G288" i="7"/>
  <c r="E288" i="7"/>
  <c r="D288" i="7"/>
  <c r="A288" i="7"/>
  <c r="I287" i="7"/>
  <c r="H287" i="7"/>
  <c r="G287" i="7"/>
  <c r="E287" i="7"/>
  <c r="D287" i="7"/>
  <c r="A287" i="7"/>
  <c r="I286" i="7"/>
  <c r="H286" i="7"/>
  <c r="G286" i="7"/>
  <c r="E286" i="7"/>
  <c r="D286" i="7"/>
  <c r="A286" i="7"/>
  <c r="I285" i="7"/>
  <c r="H285" i="7"/>
  <c r="G285" i="7"/>
  <c r="E285" i="7"/>
  <c r="D285" i="7"/>
  <c r="A285" i="7"/>
  <c r="I284" i="7"/>
  <c r="H284" i="7"/>
  <c r="G284" i="7"/>
  <c r="E284" i="7"/>
  <c r="D284" i="7"/>
  <c r="A284" i="7"/>
  <c r="I283" i="7"/>
  <c r="H283" i="7"/>
  <c r="G283" i="7"/>
  <c r="E283" i="7"/>
  <c r="D283" i="7"/>
  <c r="A283" i="7"/>
  <c r="I282" i="7"/>
  <c r="H282" i="7"/>
  <c r="G282" i="7"/>
  <c r="E282" i="7"/>
  <c r="D282" i="7"/>
  <c r="A282" i="7"/>
  <c r="I281" i="7"/>
  <c r="H281" i="7"/>
  <c r="G281" i="7"/>
  <c r="E281" i="7"/>
  <c r="D281" i="7"/>
  <c r="A281" i="7"/>
  <c r="I280" i="7"/>
  <c r="H280" i="7"/>
  <c r="G280" i="7"/>
  <c r="E280" i="7"/>
  <c r="D280" i="7"/>
  <c r="A280" i="7"/>
  <c r="I279" i="7"/>
  <c r="H279" i="7"/>
  <c r="G279" i="7"/>
  <c r="E279" i="7"/>
  <c r="D279" i="7"/>
  <c r="A279" i="7"/>
  <c r="I278" i="7"/>
  <c r="H278" i="7"/>
  <c r="G278" i="7"/>
  <c r="E278" i="7"/>
  <c r="D278" i="7"/>
  <c r="A278" i="7"/>
  <c r="I277" i="7"/>
  <c r="H277" i="7"/>
  <c r="G277" i="7"/>
  <c r="E277" i="7"/>
  <c r="D277" i="7"/>
  <c r="A277" i="7"/>
  <c r="I276" i="7"/>
  <c r="H276" i="7"/>
  <c r="G276" i="7"/>
  <c r="E276" i="7"/>
  <c r="D276" i="7"/>
  <c r="A276" i="7"/>
  <c r="I275" i="7"/>
  <c r="H275" i="7"/>
  <c r="G275" i="7"/>
  <c r="E275" i="7"/>
  <c r="D275" i="7"/>
  <c r="A275" i="7"/>
  <c r="I274" i="7"/>
  <c r="H274" i="7"/>
  <c r="G274" i="7"/>
  <c r="E274" i="7"/>
  <c r="D274" i="7"/>
  <c r="A274" i="7"/>
  <c r="I273" i="7"/>
  <c r="H273" i="7"/>
  <c r="G273" i="7"/>
  <c r="E273" i="7"/>
  <c r="D273" i="7"/>
  <c r="A273" i="7"/>
  <c r="I272" i="7"/>
  <c r="H272" i="7"/>
  <c r="G272" i="7"/>
  <c r="E272" i="7"/>
  <c r="D272" i="7"/>
  <c r="A272" i="7"/>
  <c r="I271" i="7"/>
  <c r="H271" i="7"/>
  <c r="G271" i="7"/>
  <c r="E271" i="7"/>
  <c r="D271" i="7"/>
  <c r="A271" i="7"/>
  <c r="I270" i="7"/>
  <c r="H270" i="7"/>
  <c r="G270" i="7"/>
  <c r="E270" i="7"/>
  <c r="D270" i="7"/>
  <c r="A270" i="7"/>
  <c r="I269" i="7"/>
  <c r="H269" i="7"/>
  <c r="G269" i="7"/>
  <c r="E269" i="7"/>
  <c r="D269" i="7"/>
  <c r="A269" i="7"/>
  <c r="I268" i="7"/>
  <c r="H268" i="7"/>
  <c r="G268" i="7"/>
  <c r="E268" i="7"/>
  <c r="D268" i="7"/>
  <c r="A268" i="7"/>
  <c r="I267" i="7"/>
  <c r="H267" i="7"/>
  <c r="G267" i="7"/>
  <c r="E267" i="7"/>
  <c r="D267" i="7"/>
  <c r="A267" i="7"/>
  <c r="I266" i="7"/>
  <c r="H266" i="7"/>
  <c r="G266" i="7"/>
  <c r="E266" i="7"/>
  <c r="D266" i="7"/>
  <c r="A266" i="7"/>
  <c r="I265" i="7"/>
  <c r="H265" i="7"/>
  <c r="G265" i="7"/>
  <c r="E265" i="7"/>
  <c r="D265" i="7"/>
  <c r="A265" i="7"/>
  <c r="I264" i="7"/>
  <c r="H264" i="7"/>
  <c r="G264" i="7"/>
  <c r="E264" i="7"/>
  <c r="D264" i="7"/>
  <c r="A264" i="7"/>
  <c r="I263" i="7"/>
  <c r="H263" i="7"/>
  <c r="G263" i="7"/>
  <c r="E263" i="7"/>
  <c r="D263" i="7"/>
  <c r="A263" i="7"/>
  <c r="I262" i="7"/>
  <c r="H262" i="7"/>
  <c r="G262" i="7"/>
  <c r="E262" i="7"/>
  <c r="D262" i="7"/>
  <c r="A262" i="7"/>
  <c r="I261" i="7"/>
  <c r="H261" i="7"/>
  <c r="G261" i="7"/>
  <c r="E261" i="7"/>
  <c r="D261" i="7"/>
  <c r="A261" i="7"/>
  <c r="I260" i="7"/>
  <c r="H260" i="7"/>
  <c r="G260" i="7"/>
  <c r="E260" i="7"/>
  <c r="D260" i="7"/>
  <c r="A260" i="7"/>
  <c r="I259" i="7"/>
  <c r="H259" i="7"/>
  <c r="G259" i="7"/>
  <c r="E259" i="7"/>
  <c r="D259" i="7"/>
  <c r="A259" i="7"/>
  <c r="I258" i="7"/>
  <c r="H258" i="7"/>
  <c r="G258" i="7"/>
  <c r="E258" i="7"/>
  <c r="D258" i="7"/>
  <c r="A258" i="7"/>
  <c r="I257" i="7"/>
  <c r="H257" i="7"/>
  <c r="G257" i="7"/>
  <c r="E257" i="7"/>
  <c r="D257" i="7"/>
  <c r="A257" i="7"/>
  <c r="I256" i="7"/>
  <c r="H256" i="7"/>
  <c r="G256" i="7"/>
  <c r="E256" i="7"/>
  <c r="D256" i="7"/>
  <c r="A256" i="7"/>
  <c r="I255" i="7"/>
  <c r="H255" i="7"/>
  <c r="G255" i="7"/>
  <c r="E255" i="7"/>
  <c r="D255" i="7"/>
  <c r="A255" i="7"/>
  <c r="I254" i="7"/>
  <c r="H254" i="7"/>
  <c r="G254" i="7"/>
  <c r="E254" i="7"/>
  <c r="D254" i="7"/>
  <c r="A254" i="7"/>
  <c r="I253" i="7"/>
  <c r="H253" i="7"/>
  <c r="G253" i="7"/>
  <c r="E253" i="7"/>
  <c r="D253" i="7"/>
  <c r="A253" i="7"/>
  <c r="I252" i="7"/>
  <c r="H252" i="7"/>
  <c r="G252" i="7"/>
  <c r="E252" i="7"/>
  <c r="D252" i="7"/>
  <c r="A252" i="7"/>
  <c r="I251" i="7"/>
  <c r="H251" i="7"/>
  <c r="G251" i="7"/>
  <c r="E251" i="7"/>
  <c r="D251" i="7"/>
  <c r="A251" i="7"/>
  <c r="I250" i="7"/>
  <c r="H250" i="7"/>
  <c r="G250" i="7"/>
  <c r="E250" i="7"/>
  <c r="D250" i="7"/>
  <c r="A250" i="7"/>
  <c r="I249" i="7"/>
  <c r="H249" i="7"/>
  <c r="G249" i="7"/>
  <c r="E249" i="7"/>
  <c r="D249" i="7"/>
  <c r="A249" i="7"/>
  <c r="I248" i="7"/>
  <c r="H248" i="7"/>
  <c r="G248" i="7"/>
  <c r="E248" i="7"/>
  <c r="D248" i="7"/>
  <c r="A248" i="7"/>
  <c r="I247" i="7"/>
  <c r="H247" i="7"/>
  <c r="G247" i="7"/>
  <c r="E247" i="7"/>
  <c r="D247" i="7"/>
  <c r="A247" i="7"/>
  <c r="I246" i="7"/>
  <c r="H246" i="7"/>
  <c r="G246" i="7"/>
  <c r="E246" i="7"/>
  <c r="D246" i="7"/>
  <c r="A246" i="7"/>
  <c r="I245" i="7"/>
  <c r="H245" i="7"/>
  <c r="G245" i="7"/>
  <c r="E245" i="7"/>
  <c r="D245" i="7"/>
  <c r="A245" i="7"/>
  <c r="I244" i="7"/>
  <c r="H244" i="7"/>
  <c r="G244" i="7"/>
  <c r="E244" i="7"/>
  <c r="D244" i="7"/>
  <c r="A244" i="7"/>
  <c r="I243" i="7"/>
  <c r="H243" i="7"/>
  <c r="G243" i="7"/>
  <c r="E243" i="7"/>
  <c r="D243" i="7"/>
  <c r="A243" i="7"/>
  <c r="I242" i="7"/>
  <c r="H242" i="7"/>
  <c r="G242" i="7"/>
  <c r="E242" i="7"/>
  <c r="D242" i="7"/>
  <c r="A242" i="7"/>
  <c r="I241" i="7"/>
  <c r="H241" i="7"/>
  <c r="G241" i="7"/>
  <c r="E241" i="7"/>
  <c r="D241" i="7"/>
  <c r="A241" i="7"/>
  <c r="I240" i="7"/>
  <c r="H240" i="7"/>
  <c r="G240" i="7"/>
  <c r="E240" i="7"/>
  <c r="D240" i="7"/>
  <c r="A240" i="7"/>
  <c r="I239" i="7"/>
  <c r="H239" i="7"/>
  <c r="G239" i="7"/>
  <c r="E239" i="7"/>
  <c r="D239" i="7"/>
  <c r="A239" i="7"/>
  <c r="I238" i="7"/>
  <c r="H238" i="7"/>
  <c r="G238" i="7"/>
  <c r="E238" i="7"/>
  <c r="D238" i="7"/>
  <c r="A238" i="7"/>
  <c r="I237" i="7"/>
  <c r="H237" i="7"/>
  <c r="G237" i="7"/>
  <c r="E237" i="7"/>
  <c r="D237" i="7"/>
  <c r="A237" i="7"/>
  <c r="I236" i="7"/>
  <c r="H236" i="7"/>
  <c r="G236" i="7"/>
  <c r="E236" i="7"/>
  <c r="D236" i="7"/>
  <c r="A236" i="7"/>
  <c r="I235" i="7"/>
  <c r="H235" i="7"/>
  <c r="G235" i="7"/>
  <c r="E235" i="7"/>
  <c r="D235" i="7"/>
  <c r="A235" i="7"/>
  <c r="I234" i="7"/>
  <c r="H234" i="7"/>
  <c r="G234" i="7"/>
  <c r="E234" i="7"/>
  <c r="D234" i="7"/>
  <c r="A234" i="7"/>
  <c r="I233" i="7"/>
  <c r="H233" i="7"/>
  <c r="G233" i="7"/>
  <c r="E233" i="7"/>
  <c r="D233" i="7"/>
  <c r="A233" i="7"/>
  <c r="I232" i="7"/>
  <c r="H232" i="7"/>
  <c r="G232" i="7"/>
  <c r="E232" i="7"/>
  <c r="D232" i="7"/>
  <c r="A232" i="7"/>
  <c r="I231" i="7"/>
  <c r="H231" i="7"/>
  <c r="G231" i="7"/>
  <c r="E231" i="7"/>
  <c r="D231" i="7"/>
  <c r="A231" i="7"/>
  <c r="I230" i="7"/>
  <c r="H230" i="7"/>
  <c r="G230" i="7"/>
  <c r="E230" i="7"/>
  <c r="D230" i="7"/>
  <c r="A230" i="7"/>
  <c r="I229" i="7"/>
  <c r="H229" i="7"/>
  <c r="G229" i="7"/>
  <c r="E229" i="7"/>
  <c r="D229" i="7"/>
  <c r="A229" i="7"/>
  <c r="I228" i="7"/>
  <c r="H228" i="7"/>
  <c r="G228" i="7"/>
  <c r="E228" i="7"/>
  <c r="D228" i="7"/>
  <c r="A228" i="7"/>
  <c r="I227" i="7"/>
  <c r="H227" i="7"/>
  <c r="G227" i="7"/>
  <c r="E227" i="7"/>
  <c r="D227" i="7"/>
  <c r="A227" i="7"/>
  <c r="I226" i="7"/>
  <c r="H226" i="7"/>
  <c r="G226" i="7"/>
  <c r="E226" i="7"/>
  <c r="D226" i="7"/>
  <c r="A226" i="7"/>
  <c r="I225" i="7"/>
  <c r="H225" i="7"/>
  <c r="G225" i="7"/>
  <c r="E225" i="7"/>
  <c r="D225" i="7"/>
  <c r="A225" i="7"/>
  <c r="I224" i="7"/>
  <c r="H224" i="7"/>
  <c r="G224" i="7"/>
  <c r="E224" i="7"/>
  <c r="D224" i="7"/>
  <c r="A224" i="7"/>
  <c r="I223" i="7"/>
  <c r="H223" i="7"/>
  <c r="G223" i="7"/>
  <c r="E223" i="7"/>
  <c r="D223" i="7"/>
  <c r="A223" i="7"/>
  <c r="I222" i="7"/>
  <c r="H222" i="7"/>
  <c r="G222" i="7"/>
  <c r="E222" i="7"/>
  <c r="D222" i="7"/>
  <c r="A222" i="7"/>
  <c r="I221" i="7"/>
  <c r="H221" i="7"/>
  <c r="G221" i="7"/>
  <c r="E221" i="7"/>
  <c r="D221" i="7"/>
  <c r="A221" i="7"/>
  <c r="I220" i="7"/>
  <c r="H220" i="7"/>
  <c r="G220" i="7"/>
  <c r="E220" i="7"/>
  <c r="D220" i="7"/>
  <c r="A220" i="7"/>
  <c r="I219" i="7"/>
  <c r="H219" i="7"/>
  <c r="G219" i="7"/>
  <c r="E219" i="7"/>
  <c r="D219" i="7"/>
  <c r="A219" i="7"/>
  <c r="I218" i="7"/>
  <c r="H218" i="7"/>
  <c r="G218" i="7"/>
  <c r="E218" i="7"/>
  <c r="D218" i="7"/>
  <c r="A218" i="7"/>
  <c r="I217" i="7"/>
  <c r="H217" i="7"/>
  <c r="G217" i="7"/>
  <c r="E217" i="7"/>
  <c r="D217" i="7"/>
  <c r="A217" i="7"/>
  <c r="I216" i="7"/>
  <c r="H216" i="7"/>
  <c r="G216" i="7"/>
  <c r="E216" i="7"/>
  <c r="D216" i="7"/>
  <c r="A216" i="7"/>
  <c r="I215" i="7"/>
  <c r="H215" i="7"/>
  <c r="G215" i="7"/>
  <c r="E215" i="7"/>
  <c r="D215" i="7"/>
  <c r="A215" i="7"/>
  <c r="I214" i="7"/>
  <c r="H214" i="7"/>
  <c r="G214" i="7"/>
  <c r="E214" i="7"/>
  <c r="D214" i="7"/>
  <c r="A214" i="7"/>
  <c r="I213" i="7"/>
  <c r="H213" i="7"/>
  <c r="G213" i="7"/>
  <c r="E213" i="7"/>
  <c r="D213" i="7"/>
  <c r="A213" i="7"/>
  <c r="I212" i="7"/>
  <c r="H212" i="7"/>
  <c r="G212" i="7"/>
  <c r="E212" i="7"/>
  <c r="D212" i="7"/>
  <c r="A212" i="7"/>
  <c r="I211" i="7"/>
  <c r="H211" i="7"/>
  <c r="G211" i="7"/>
  <c r="E211" i="7"/>
  <c r="D211" i="7"/>
  <c r="A211" i="7"/>
  <c r="I210" i="7"/>
  <c r="H210" i="7"/>
  <c r="G210" i="7"/>
  <c r="E210" i="7"/>
  <c r="D210" i="7"/>
  <c r="A210" i="7"/>
  <c r="I209" i="7"/>
  <c r="H209" i="7"/>
  <c r="G209" i="7"/>
  <c r="E209" i="7"/>
  <c r="D209" i="7"/>
  <c r="A209" i="7"/>
  <c r="I208" i="7"/>
  <c r="H208" i="7"/>
  <c r="G208" i="7"/>
  <c r="E208" i="7"/>
  <c r="D208" i="7"/>
  <c r="A208" i="7"/>
  <c r="I207" i="7"/>
  <c r="H207" i="7"/>
  <c r="G207" i="7"/>
  <c r="E207" i="7"/>
  <c r="D207" i="7"/>
  <c r="A207" i="7"/>
  <c r="I206" i="7"/>
  <c r="H206" i="7"/>
  <c r="G206" i="7"/>
  <c r="E206" i="7"/>
  <c r="D206" i="7"/>
  <c r="A206" i="7"/>
  <c r="I205" i="7"/>
  <c r="H205" i="7"/>
  <c r="G205" i="7"/>
  <c r="E205" i="7"/>
  <c r="D205" i="7"/>
  <c r="A205" i="7"/>
  <c r="I204" i="7"/>
  <c r="H204" i="7"/>
  <c r="G204" i="7"/>
  <c r="E204" i="7"/>
  <c r="D204" i="7"/>
  <c r="A204" i="7"/>
  <c r="I203" i="7"/>
  <c r="H203" i="7"/>
  <c r="G203" i="7"/>
  <c r="E203" i="7"/>
  <c r="D203" i="7"/>
  <c r="A203" i="7"/>
  <c r="I202" i="7"/>
  <c r="H202" i="7"/>
  <c r="G202" i="7"/>
  <c r="E202" i="7"/>
  <c r="D202" i="7"/>
  <c r="A202" i="7"/>
  <c r="I201" i="7"/>
  <c r="H201" i="7"/>
  <c r="G201" i="7"/>
  <c r="E201" i="7"/>
  <c r="D201" i="7"/>
  <c r="A201" i="7"/>
  <c r="I200" i="7"/>
  <c r="H200" i="7"/>
  <c r="G200" i="7"/>
  <c r="E200" i="7"/>
  <c r="D200" i="7"/>
  <c r="A200" i="7"/>
  <c r="I199" i="7"/>
  <c r="H199" i="7"/>
  <c r="G199" i="7"/>
  <c r="E199" i="7"/>
  <c r="D199" i="7"/>
  <c r="A199" i="7"/>
  <c r="I198" i="7"/>
  <c r="H198" i="7"/>
  <c r="G198" i="7"/>
  <c r="E198" i="7"/>
  <c r="D198" i="7"/>
  <c r="A198" i="7"/>
  <c r="I197" i="7"/>
  <c r="H197" i="7"/>
  <c r="G197" i="7"/>
  <c r="E197" i="7"/>
  <c r="D197" i="7"/>
  <c r="A197" i="7"/>
  <c r="I196" i="7"/>
  <c r="H196" i="7"/>
  <c r="G196" i="7"/>
  <c r="E196" i="7"/>
  <c r="D196" i="7"/>
  <c r="A196" i="7"/>
  <c r="I195" i="7"/>
  <c r="H195" i="7"/>
  <c r="G195" i="7"/>
  <c r="E195" i="7"/>
  <c r="D195" i="7"/>
  <c r="A195" i="7"/>
  <c r="I194" i="7"/>
  <c r="H194" i="7"/>
  <c r="G194" i="7"/>
  <c r="E194" i="7"/>
  <c r="D194" i="7"/>
  <c r="A194" i="7"/>
  <c r="I193" i="7"/>
  <c r="H193" i="7"/>
  <c r="G193" i="7"/>
  <c r="E193" i="7"/>
  <c r="D193" i="7"/>
  <c r="A193" i="7"/>
  <c r="I192" i="7"/>
  <c r="H192" i="7"/>
  <c r="G192" i="7"/>
  <c r="E192" i="7"/>
  <c r="D192" i="7"/>
  <c r="A192" i="7"/>
  <c r="I191" i="7"/>
  <c r="H191" i="7"/>
  <c r="G191" i="7"/>
  <c r="E191" i="7"/>
  <c r="D191" i="7"/>
  <c r="A191" i="7"/>
  <c r="I190" i="7"/>
  <c r="H190" i="7"/>
  <c r="G190" i="7"/>
  <c r="E190" i="7"/>
  <c r="D190" i="7"/>
  <c r="A190" i="7"/>
  <c r="I189" i="7"/>
  <c r="H189" i="7"/>
  <c r="G189" i="7"/>
  <c r="E189" i="7"/>
  <c r="D189" i="7"/>
  <c r="A189" i="7"/>
  <c r="I188" i="7"/>
  <c r="H188" i="7"/>
  <c r="G188" i="7"/>
  <c r="E188" i="7"/>
  <c r="D188" i="7"/>
  <c r="A188" i="7"/>
  <c r="I187" i="7"/>
  <c r="H187" i="7"/>
  <c r="G187" i="7"/>
  <c r="E187" i="7"/>
  <c r="D187" i="7"/>
  <c r="A187" i="7"/>
  <c r="I186" i="7"/>
  <c r="H186" i="7"/>
  <c r="G186" i="7"/>
  <c r="E186" i="7"/>
  <c r="D186" i="7"/>
  <c r="A186" i="7"/>
  <c r="I185" i="7"/>
  <c r="H185" i="7"/>
  <c r="G185" i="7"/>
  <c r="E185" i="7"/>
  <c r="D185" i="7"/>
  <c r="A185" i="7"/>
  <c r="I184" i="7"/>
  <c r="H184" i="7"/>
  <c r="G184" i="7"/>
  <c r="E184" i="7"/>
  <c r="D184" i="7"/>
  <c r="A184" i="7"/>
  <c r="I183" i="7"/>
  <c r="H183" i="7"/>
  <c r="G183" i="7"/>
  <c r="E183" i="7"/>
  <c r="D183" i="7"/>
  <c r="A183" i="7"/>
  <c r="I182" i="7"/>
  <c r="H182" i="7"/>
  <c r="G182" i="7"/>
  <c r="E182" i="7"/>
  <c r="D182" i="7"/>
  <c r="A182" i="7"/>
  <c r="I181" i="7"/>
  <c r="H181" i="7"/>
  <c r="G181" i="7"/>
  <c r="E181" i="7"/>
  <c r="D181" i="7"/>
  <c r="A181" i="7"/>
  <c r="I180" i="7"/>
  <c r="H180" i="7"/>
  <c r="G180" i="7"/>
  <c r="E180" i="7"/>
  <c r="D180" i="7"/>
  <c r="A180" i="7"/>
  <c r="I179" i="7"/>
  <c r="H179" i="7"/>
  <c r="G179" i="7"/>
  <c r="E179" i="7"/>
  <c r="D179" i="7"/>
  <c r="A179" i="7"/>
  <c r="I178" i="7"/>
  <c r="H178" i="7"/>
  <c r="G178" i="7"/>
  <c r="E178" i="7"/>
  <c r="D178" i="7"/>
  <c r="A178" i="7"/>
  <c r="I177" i="7"/>
  <c r="H177" i="7"/>
  <c r="G177" i="7"/>
  <c r="E177" i="7"/>
  <c r="D177" i="7"/>
  <c r="A177" i="7"/>
  <c r="I176" i="7"/>
  <c r="H176" i="7"/>
  <c r="G176" i="7"/>
  <c r="E176" i="7"/>
  <c r="D176" i="7"/>
  <c r="A176" i="7"/>
  <c r="I175" i="7"/>
  <c r="H175" i="7"/>
  <c r="G175" i="7"/>
  <c r="E175" i="7"/>
  <c r="D175" i="7"/>
  <c r="A175" i="7"/>
  <c r="I174" i="7"/>
  <c r="H174" i="7"/>
  <c r="G174" i="7"/>
  <c r="E174" i="7"/>
  <c r="D174" i="7"/>
  <c r="A174" i="7"/>
  <c r="I173" i="7"/>
  <c r="H173" i="7"/>
  <c r="G173" i="7"/>
  <c r="E173" i="7"/>
  <c r="D173" i="7"/>
  <c r="A173" i="7"/>
  <c r="I172" i="7"/>
  <c r="H172" i="7"/>
  <c r="G172" i="7"/>
  <c r="E172" i="7"/>
  <c r="D172" i="7"/>
  <c r="A172" i="7"/>
  <c r="I171" i="7"/>
  <c r="H171" i="7"/>
  <c r="G171" i="7"/>
  <c r="E171" i="7"/>
  <c r="D171" i="7"/>
  <c r="A171" i="7"/>
  <c r="I170" i="7"/>
  <c r="H170" i="7"/>
  <c r="G170" i="7"/>
  <c r="E170" i="7"/>
  <c r="D170" i="7"/>
  <c r="A170" i="7"/>
  <c r="I169" i="7"/>
  <c r="H169" i="7"/>
  <c r="G169" i="7"/>
  <c r="E169" i="7"/>
  <c r="D169" i="7"/>
  <c r="A169" i="7"/>
  <c r="I168" i="7"/>
  <c r="H168" i="7"/>
  <c r="G168" i="7"/>
  <c r="E168" i="7"/>
  <c r="D168" i="7"/>
  <c r="A168" i="7"/>
  <c r="I167" i="7"/>
  <c r="H167" i="7"/>
  <c r="G167" i="7"/>
  <c r="E167" i="7"/>
  <c r="D167" i="7"/>
  <c r="A167" i="7"/>
  <c r="I166" i="7"/>
  <c r="H166" i="7"/>
  <c r="G166" i="7"/>
  <c r="E166" i="7"/>
  <c r="D166" i="7"/>
  <c r="A166" i="7"/>
  <c r="I165" i="7"/>
  <c r="H165" i="7"/>
  <c r="G165" i="7"/>
  <c r="E165" i="7"/>
  <c r="D165" i="7"/>
  <c r="A165" i="7"/>
  <c r="I164" i="7"/>
  <c r="H164" i="7"/>
  <c r="G164" i="7"/>
  <c r="E164" i="7"/>
  <c r="D164" i="7"/>
  <c r="A164" i="7"/>
  <c r="I163" i="7"/>
  <c r="H163" i="7"/>
  <c r="G163" i="7"/>
  <c r="E163" i="7"/>
  <c r="D163" i="7"/>
  <c r="A163" i="7"/>
  <c r="I162" i="7"/>
  <c r="H162" i="7"/>
  <c r="G162" i="7"/>
  <c r="E162" i="7"/>
  <c r="D162" i="7"/>
  <c r="A162" i="7"/>
  <c r="I161" i="7"/>
  <c r="H161" i="7"/>
  <c r="G161" i="7"/>
  <c r="E161" i="7"/>
  <c r="D161" i="7"/>
  <c r="A161" i="7"/>
  <c r="I160" i="7"/>
  <c r="H160" i="7"/>
  <c r="G160" i="7"/>
  <c r="E160" i="7"/>
  <c r="D160" i="7"/>
  <c r="A160" i="7"/>
  <c r="I159" i="7"/>
  <c r="H159" i="7"/>
  <c r="G159" i="7"/>
  <c r="E159" i="7"/>
  <c r="D159" i="7"/>
  <c r="A159" i="7"/>
  <c r="I158" i="7"/>
  <c r="H158" i="7"/>
  <c r="G158" i="7"/>
  <c r="E158" i="7"/>
  <c r="D158" i="7"/>
  <c r="A158" i="7"/>
  <c r="I157" i="7"/>
  <c r="H157" i="7"/>
  <c r="G157" i="7"/>
  <c r="E157" i="7"/>
  <c r="D157" i="7"/>
  <c r="A157" i="7"/>
  <c r="I156" i="7"/>
  <c r="H156" i="7"/>
  <c r="G156" i="7"/>
  <c r="E156" i="7"/>
  <c r="D156" i="7"/>
  <c r="A156" i="7"/>
  <c r="I155" i="7"/>
  <c r="H155" i="7"/>
  <c r="G155" i="7"/>
  <c r="E155" i="7"/>
  <c r="D155" i="7"/>
  <c r="A155" i="7"/>
  <c r="I154" i="7"/>
  <c r="H154" i="7"/>
  <c r="G154" i="7"/>
  <c r="E154" i="7"/>
  <c r="D154" i="7"/>
  <c r="A154" i="7"/>
  <c r="I153" i="7"/>
  <c r="H153" i="7"/>
  <c r="G153" i="7"/>
  <c r="E153" i="7"/>
  <c r="D153" i="7"/>
  <c r="A153" i="7"/>
  <c r="I152" i="7"/>
  <c r="H152" i="7"/>
  <c r="G152" i="7"/>
  <c r="E152" i="7"/>
  <c r="D152" i="7"/>
  <c r="A152" i="7"/>
  <c r="I151" i="7"/>
  <c r="H151" i="7"/>
  <c r="G151" i="7"/>
  <c r="E151" i="7"/>
  <c r="D151" i="7"/>
  <c r="A151" i="7"/>
  <c r="I150" i="7"/>
  <c r="H150" i="7"/>
  <c r="G150" i="7"/>
  <c r="E150" i="7"/>
  <c r="D150" i="7"/>
  <c r="A150" i="7"/>
  <c r="I149" i="7"/>
  <c r="H149" i="7"/>
  <c r="G149" i="7"/>
  <c r="E149" i="7"/>
  <c r="D149" i="7"/>
  <c r="A149" i="7"/>
  <c r="I148" i="7"/>
  <c r="H148" i="7"/>
  <c r="G148" i="7"/>
  <c r="E148" i="7"/>
  <c r="D148" i="7"/>
  <c r="A148" i="7"/>
  <c r="I147" i="7"/>
  <c r="H147" i="7"/>
  <c r="G147" i="7"/>
  <c r="E147" i="7"/>
  <c r="D147" i="7"/>
  <c r="A147" i="7"/>
  <c r="I146" i="7"/>
  <c r="H146" i="7"/>
  <c r="G146" i="7"/>
  <c r="E146" i="7"/>
  <c r="D146" i="7"/>
  <c r="A146" i="7"/>
  <c r="I145" i="7"/>
  <c r="H145" i="7"/>
  <c r="G145" i="7"/>
  <c r="E145" i="7"/>
  <c r="D145" i="7"/>
  <c r="A145" i="7"/>
  <c r="I144" i="7"/>
  <c r="H144" i="7"/>
  <c r="G144" i="7"/>
  <c r="E144" i="7"/>
  <c r="D144" i="7"/>
  <c r="A144" i="7"/>
  <c r="I143" i="7"/>
  <c r="H143" i="7"/>
  <c r="G143" i="7"/>
  <c r="E143" i="7"/>
  <c r="D143" i="7"/>
  <c r="A143" i="7"/>
  <c r="I142" i="7"/>
  <c r="H142" i="7"/>
  <c r="G142" i="7"/>
  <c r="E142" i="7"/>
  <c r="D142" i="7"/>
  <c r="A142" i="7"/>
  <c r="I141" i="7"/>
  <c r="H141" i="7"/>
  <c r="G141" i="7"/>
  <c r="E141" i="7"/>
  <c r="D141" i="7"/>
  <c r="A141" i="7"/>
  <c r="I140" i="7"/>
  <c r="H140" i="7"/>
  <c r="G140" i="7"/>
  <c r="E140" i="7"/>
  <c r="D140" i="7"/>
  <c r="A140" i="7"/>
  <c r="I139" i="7"/>
  <c r="H139" i="7"/>
  <c r="G139" i="7"/>
  <c r="E139" i="7"/>
  <c r="D139" i="7"/>
  <c r="A139" i="7"/>
  <c r="I138" i="7"/>
  <c r="H138" i="7"/>
  <c r="G138" i="7"/>
  <c r="E138" i="7"/>
  <c r="D138" i="7"/>
  <c r="A138" i="7"/>
  <c r="I137" i="7"/>
  <c r="H137" i="7"/>
  <c r="G137" i="7"/>
  <c r="E137" i="7"/>
  <c r="D137" i="7"/>
  <c r="A137" i="7"/>
  <c r="I136" i="7"/>
  <c r="H136" i="7"/>
  <c r="G136" i="7"/>
  <c r="E136" i="7"/>
  <c r="D136" i="7"/>
  <c r="A136" i="7"/>
  <c r="I135" i="7"/>
  <c r="H135" i="7"/>
  <c r="G135" i="7"/>
  <c r="E135" i="7"/>
  <c r="D135" i="7"/>
  <c r="A135" i="7"/>
  <c r="I134" i="7"/>
  <c r="H134" i="7"/>
  <c r="G134" i="7"/>
  <c r="E134" i="7"/>
  <c r="D134" i="7"/>
  <c r="A134" i="7"/>
  <c r="I133" i="7"/>
  <c r="H133" i="7"/>
  <c r="G133" i="7"/>
  <c r="E133" i="7"/>
  <c r="D133" i="7"/>
  <c r="A133" i="7"/>
  <c r="I132" i="7"/>
  <c r="H132" i="7"/>
  <c r="G132" i="7"/>
  <c r="E132" i="7"/>
  <c r="D132" i="7"/>
  <c r="A132" i="7"/>
  <c r="I131" i="7"/>
  <c r="H131" i="7"/>
  <c r="G131" i="7"/>
  <c r="E131" i="7"/>
  <c r="D131" i="7"/>
  <c r="A131" i="7"/>
  <c r="I130" i="7"/>
  <c r="H130" i="7"/>
  <c r="G130" i="7"/>
  <c r="E130" i="7"/>
  <c r="D130" i="7"/>
  <c r="A130" i="7"/>
  <c r="I129" i="7"/>
  <c r="H129" i="7"/>
  <c r="G129" i="7"/>
  <c r="E129" i="7"/>
  <c r="D129" i="7"/>
  <c r="A129" i="7"/>
  <c r="I128" i="7"/>
  <c r="H128" i="7"/>
  <c r="G128" i="7"/>
  <c r="E128" i="7"/>
  <c r="D128" i="7"/>
  <c r="A128" i="7"/>
  <c r="I127" i="7"/>
  <c r="H127" i="7"/>
  <c r="G127" i="7"/>
  <c r="E127" i="7"/>
  <c r="D127" i="7"/>
  <c r="A127" i="7"/>
  <c r="I126" i="7"/>
  <c r="H126" i="7"/>
  <c r="G126" i="7"/>
  <c r="E126" i="7"/>
  <c r="D126" i="7"/>
  <c r="A126" i="7"/>
  <c r="I125" i="7"/>
  <c r="H125" i="7"/>
  <c r="G125" i="7"/>
  <c r="E125" i="7"/>
  <c r="D125" i="7"/>
  <c r="A125" i="7"/>
  <c r="I124" i="7"/>
  <c r="H124" i="7"/>
  <c r="G124" i="7"/>
  <c r="E124" i="7"/>
  <c r="D124" i="7"/>
  <c r="A124" i="7"/>
  <c r="I123" i="7"/>
  <c r="H123" i="7"/>
  <c r="G123" i="7"/>
  <c r="E123" i="7"/>
  <c r="D123" i="7"/>
  <c r="A123" i="7"/>
  <c r="I122" i="7"/>
  <c r="H122" i="7"/>
  <c r="G122" i="7"/>
  <c r="E122" i="7"/>
  <c r="D122" i="7"/>
  <c r="A122" i="7"/>
  <c r="I121" i="7"/>
  <c r="H121" i="7"/>
  <c r="G121" i="7"/>
  <c r="E121" i="7"/>
  <c r="D121" i="7"/>
  <c r="A121" i="7"/>
  <c r="I120" i="7"/>
  <c r="H120" i="7"/>
  <c r="G120" i="7"/>
  <c r="E120" i="7"/>
  <c r="D120" i="7"/>
  <c r="A120" i="7"/>
  <c r="I119" i="7"/>
  <c r="H119" i="7"/>
  <c r="G119" i="7"/>
  <c r="E119" i="7"/>
  <c r="D119" i="7"/>
  <c r="A119" i="7"/>
  <c r="I118" i="7"/>
  <c r="H118" i="7"/>
  <c r="G118" i="7"/>
  <c r="E118" i="7"/>
  <c r="D118" i="7"/>
  <c r="A118" i="7"/>
  <c r="I117" i="7"/>
  <c r="H117" i="7"/>
  <c r="G117" i="7"/>
  <c r="E117" i="7"/>
  <c r="D117" i="7"/>
  <c r="A117" i="7"/>
  <c r="I116" i="7"/>
  <c r="H116" i="7"/>
  <c r="G116" i="7"/>
  <c r="E116" i="7"/>
  <c r="D116" i="7"/>
  <c r="A116" i="7"/>
  <c r="I115" i="7"/>
  <c r="H115" i="7"/>
  <c r="G115" i="7"/>
  <c r="E115" i="7"/>
  <c r="D115" i="7"/>
  <c r="A115" i="7"/>
  <c r="I114" i="7"/>
  <c r="H114" i="7"/>
  <c r="G114" i="7"/>
  <c r="E114" i="7"/>
  <c r="D114" i="7"/>
  <c r="A114" i="7"/>
  <c r="I113" i="7"/>
  <c r="H113" i="7"/>
  <c r="G113" i="7"/>
  <c r="E113" i="7"/>
  <c r="D113" i="7"/>
  <c r="A113" i="7"/>
  <c r="I112" i="7"/>
  <c r="H112" i="7"/>
  <c r="G112" i="7"/>
  <c r="E112" i="7"/>
  <c r="D112" i="7"/>
  <c r="A112" i="7"/>
  <c r="I111" i="7"/>
  <c r="H111" i="7"/>
  <c r="G111" i="7"/>
  <c r="E111" i="7"/>
  <c r="D111" i="7"/>
  <c r="A111" i="7"/>
  <c r="I110" i="7"/>
  <c r="H110" i="7"/>
  <c r="G110" i="7"/>
  <c r="E110" i="7"/>
  <c r="D110" i="7"/>
  <c r="A110" i="7"/>
  <c r="I109" i="7"/>
  <c r="H109" i="7"/>
  <c r="G109" i="7"/>
  <c r="E109" i="7"/>
  <c r="D109" i="7"/>
  <c r="A109" i="7"/>
  <c r="I108" i="7"/>
  <c r="H108" i="7"/>
  <c r="G108" i="7"/>
  <c r="E108" i="7"/>
  <c r="D108" i="7"/>
  <c r="A108" i="7"/>
  <c r="I107" i="7"/>
  <c r="H107" i="7"/>
  <c r="G107" i="7"/>
  <c r="E107" i="7"/>
  <c r="D107" i="7"/>
  <c r="A107" i="7"/>
  <c r="I106" i="7"/>
  <c r="H106" i="7"/>
  <c r="G106" i="7"/>
  <c r="E106" i="7"/>
  <c r="D106" i="7"/>
  <c r="A106" i="7"/>
  <c r="I105" i="7"/>
  <c r="H105" i="7"/>
  <c r="G105" i="7"/>
  <c r="E105" i="7"/>
  <c r="D105" i="7"/>
  <c r="A105" i="7"/>
  <c r="I104" i="7"/>
  <c r="H104" i="7"/>
  <c r="G104" i="7"/>
  <c r="E104" i="7"/>
  <c r="D104" i="7"/>
  <c r="A104" i="7"/>
  <c r="I103" i="7"/>
  <c r="H103" i="7"/>
  <c r="G103" i="7"/>
  <c r="E103" i="7"/>
  <c r="D103" i="7"/>
  <c r="A103" i="7"/>
  <c r="I102" i="7"/>
  <c r="H102" i="7"/>
  <c r="G102" i="7"/>
  <c r="E102" i="7"/>
  <c r="D102" i="7"/>
  <c r="A102" i="7"/>
  <c r="I101" i="7"/>
  <c r="H101" i="7"/>
  <c r="G101" i="7"/>
  <c r="E101" i="7"/>
  <c r="D101" i="7"/>
  <c r="A101" i="7"/>
  <c r="I100" i="7"/>
  <c r="H100" i="7"/>
  <c r="G100" i="7"/>
  <c r="E100" i="7"/>
  <c r="D100" i="7"/>
  <c r="A100" i="7"/>
  <c r="I99" i="7"/>
  <c r="H99" i="7"/>
  <c r="G99" i="7"/>
  <c r="E99" i="7"/>
  <c r="D99" i="7"/>
  <c r="A99" i="7"/>
  <c r="I98" i="7"/>
  <c r="H98" i="7"/>
  <c r="G98" i="7"/>
  <c r="E98" i="7"/>
  <c r="D98" i="7"/>
  <c r="A98" i="7"/>
  <c r="I97" i="7"/>
  <c r="H97" i="7"/>
  <c r="G97" i="7"/>
  <c r="E97" i="7"/>
  <c r="D97" i="7"/>
  <c r="A97" i="7"/>
  <c r="I96" i="7"/>
  <c r="H96" i="7"/>
  <c r="G96" i="7"/>
  <c r="E96" i="7"/>
  <c r="D96" i="7"/>
  <c r="A96" i="7"/>
  <c r="I95" i="7"/>
  <c r="H95" i="7"/>
  <c r="G95" i="7"/>
  <c r="E95" i="7"/>
  <c r="D95" i="7"/>
  <c r="A95" i="7"/>
  <c r="I94" i="7"/>
  <c r="H94" i="7"/>
  <c r="G94" i="7"/>
  <c r="E94" i="7"/>
  <c r="D94" i="7"/>
  <c r="A94" i="7"/>
  <c r="I93" i="7"/>
  <c r="H93" i="7"/>
  <c r="G93" i="7"/>
  <c r="E93" i="7"/>
  <c r="D93" i="7"/>
  <c r="A93" i="7"/>
  <c r="I92" i="7"/>
  <c r="H92" i="7"/>
  <c r="G92" i="7"/>
  <c r="E92" i="7"/>
  <c r="D92" i="7"/>
  <c r="A92" i="7"/>
  <c r="I91" i="7"/>
  <c r="H91" i="7"/>
  <c r="G91" i="7"/>
  <c r="E91" i="7"/>
  <c r="D91" i="7"/>
  <c r="A91" i="7"/>
  <c r="I90" i="7"/>
  <c r="H90" i="7"/>
  <c r="G90" i="7"/>
  <c r="E90" i="7"/>
  <c r="D90" i="7"/>
  <c r="A90" i="7"/>
  <c r="I89" i="7"/>
  <c r="H89" i="7"/>
  <c r="G89" i="7"/>
  <c r="E89" i="7"/>
  <c r="D89" i="7"/>
  <c r="A89" i="7"/>
  <c r="I88" i="7"/>
  <c r="H88" i="7"/>
  <c r="G88" i="7"/>
  <c r="E88" i="7"/>
  <c r="D88" i="7"/>
  <c r="A88" i="7"/>
  <c r="I87" i="7"/>
  <c r="H87" i="7"/>
  <c r="G87" i="7"/>
  <c r="E87" i="7"/>
  <c r="D87" i="7"/>
  <c r="A87" i="7"/>
  <c r="I86" i="7"/>
  <c r="H86" i="7"/>
  <c r="G86" i="7"/>
  <c r="E86" i="7"/>
  <c r="D86" i="7"/>
  <c r="A86" i="7"/>
  <c r="I85" i="7"/>
  <c r="H85" i="7"/>
  <c r="G85" i="7"/>
  <c r="E85" i="7"/>
  <c r="D85" i="7"/>
  <c r="A85" i="7"/>
  <c r="I84" i="7"/>
  <c r="H84" i="7"/>
  <c r="G84" i="7"/>
  <c r="E84" i="7"/>
  <c r="D84" i="7"/>
  <c r="A84" i="7"/>
  <c r="I83" i="7"/>
  <c r="H83" i="7"/>
  <c r="G83" i="7"/>
  <c r="E83" i="7"/>
  <c r="D83" i="7"/>
  <c r="A83" i="7"/>
  <c r="I82" i="7"/>
  <c r="H82" i="7"/>
  <c r="G82" i="7"/>
  <c r="E82" i="7"/>
  <c r="D82" i="7"/>
  <c r="A82" i="7"/>
  <c r="I81" i="7"/>
  <c r="H81" i="7"/>
  <c r="G81" i="7"/>
  <c r="E81" i="7"/>
  <c r="D81" i="7"/>
  <c r="A81" i="7"/>
  <c r="I80" i="7"/>
  <c r="H80" i="7"/>
  <c r="G80" i="7"/>
  <c r="E80" i="7"/>
  <c r="D80" i="7"/>
  <c r="A80" i="7"/>
  <c r="I79" i="7"/>
  <c r="H79" i="7"/>
  <c r="G79" i="7"/>
  <c r="E79" i="7"/>
  <c r="D79" i="7"/>
  <c r="A79" i="7"/>
  <c r="I78" i="7"/>
  <c r="H78" i="7"/>
  <c r="G78" i="7"/>
  <c r="E78" i="7"/>
  <c r="D78" i="7"/>
  <c r="A78" i="7"/>
  <c r="I77" i="7"/>
  <c r="H77" i="7"/>
  <c r="G77" i="7"/>
  <c r="E77" i="7"/>
  <c r="D77" i="7"/>
  <c r="A77" i="7"/>
  <c r="I76" i="7"/>
  <c r="H76" i="7"/>
  <c r="G76" i="7"/>
  <c r="E76" i="7"/>
  <c r="D76" i="7"/>
  <c r="A76" i="7"/>
  <c r="I75" i="7"/>
  <c r="H75" i="7"/>
  <c r="G75" i="7"/>
  <c r="E75" i="7"/>
  <c r="D75" i="7"/>
  <c r="A75" i="7"/>
  <c r="I74" i="7"/>
  <c r="H74" i="7"/>
  <c r="G74" i="7"/>
  <c r="E74" i="7"/>
  <c r="D74" i="7"/>
  <c r="A74" i="7"/>
  <c r="I73" i="7"/>
  <c r="H73" i="7"/>
  <c r="G73" i="7"/>
  <c r="E73" i="7"/>
  <c r="D73" i="7"/>
  <c r="A73" i="7"/>
  <c r="I72" i="7"/>
  <c r="H72" i="7"/>
  <c r="G72" i="7"/>
  <c r="E72" i="7"/>
  <c r="D72" i="7"/>
  <c r="A72" i="7"/>
  <c r="I71" i="7"/>
  <c r="H71" i="7"/>
  <c r="G71" i="7"/>
  <c r="E71" i="7"/>
  <c r="D71" i="7"/>
  <c r="A71" i="7"/>
  <c r="I70" i="7"/>
  <c r="H70" i="7"/>
  <c r="G70" i="7"/>
  <c r="E70" i="7"/>
  <c r="D70" i="7"/>
  <c r="A70" i="7"/>
  <c r="I69" i="7"/>
  <c r="H69" i="7"/>
  <c r="G69" i="7"/>
  <c r="E69" i="7"/>
  <c r="D69" i="7"/>
  <c r="A69" i="7"/>
  <c r="I68" i="7"/>
  <c r="H68" i="7"/>
  <c r="G68" i="7"/>
  <c r="E68" i="7"/>
  <c r="D68" i="7"/>
  <c r="A68" i="7"/>
  <c r="I67" i="7"/>
  <c r="H67" i="7"/>
  <c r="G67" i="7"/>
  <c r="E67" i="7"/>
  <c r="D67" i="7"/>
  <c r="A67" i="7"/>
  <c r="I66" i="7"/>
  <c r="H66" i="7"/>
  <c r="G66" i="7"/>
  <c r="E66" i="7"/>
  <c r="D66" i="7"/>
  <c r="A66" i="7"/>
  <c r="I65" i="7"/>
  <c r="H65" i="7"/>
  <c r="G65" i="7"/>
  <c r="E65" i="7"/>
  <c r="D65" i="7"/>
  <c r="A65" i="7"/>
  <c r="I64" i="7"/>
  <c r="H64" i="7"/>
  <c r="G64" i="7"/>
  <c r="E64" i="7"/>
  <c r="D64" i="7"/>
  <c r="A64" i="7"/>
  <c r="I63" i="7"/>
  <c r="H63" i="7"/>
  <c r="G63" i="7"/>
  <c r="E63" i="7"/>
  <c r="D63" i="7"/>
  <c r="A63" i="7"/>
  <c r="I62" i="7"/>
  <c r="H62" i="7"/>
  <c r="G62" i="7"/>
  <c r="E62" i="7"/>
  <c r="D62" i="7"/>
  <c r="A62" i="7"/>
  <c r="I61" i="7"/>
  <c r="H61" i="7"/>
  <c r="G61" i="7"/>
  <c r="E61" i="7"/>
  <c r="D61" i="7"/>
  <c r="A61" i="7"/>
  <c r="I60" i="7"/>
  <c r="H60" i="7"/>
  <c r="G60" i="7"/>
  <c r="E60" i="7"/>
  <c r="D60" i="7"/>
  <c r="A60" i="7"/>
  <c r="I59" i="7"/>
  <c r="H59" i="7"/>
  <c r="G59" i="7"/>
  <c r="E59" i="7"/>
  <c r="D59" i="7"/>
  <c r="A59" i="7"/>
  <c r="I58" i="7"/>
  <c r="H58" i="7"/>
  <c r="G58" i="7"/>
  <c r="E58" i="7"/>
  <c r="D58" i="7"/>
  <c r="A58" i="7"/>
  <c r="I57" i="7"/>
  <c r="H57" i="7"/>
  <c r="G57" i="7"/>
  <c r="E57" i="7"/>
  <c r="D57" i="7"/>
  <c r="A57" i="7"/>
  <c r="I56" i="7"/>
  <c r="H56" i="7"/>
  <c r="G56" i="7"/>
  <c r="E56" i="7"/>
  <c r="D56" i="7"/>
  <c r="A56" i="7"/>
  <c r="I55" i="7"/>
  <c r="H55" i="7"/>
  <c r="G55" i="7"/>
  <c r="E55" i="7"/>
  <c r="D55" i="7"/>
  <c r="A55" i="7"/>
  <c r="I54" i="7"/>
  <c r="H54" i="7"/>
  <c r="G54" i="7"/>
  <c r="E54" i="7"/>
  <c r="D54" i="7"/>
  <c r="A54" i="7"/>
  <c r="I53" i="7"/>
  <c r="H53" i="7"/>
  <c r="G53" i="7"/>
  <c r="E53" i="7"/>
  <c r="D53" i="7"/>
  <c r="A53" i="7"/>
  <c r="I52" i="7"/>
  <c r="H52" i="7"/>
  <c r="G52" i="7"/>
  <c r="E52" i="7"/>
  <c r="D52" i="7"/>
  <c r="A52" i="7"/>
  <c r="I51" i="7"/>
  <c r="H51" i="7"/>
  <c r="G51" i="7"/>
  <c r="E51" i="7"/>
  <c r="D51" i="7"/>
  <c r="A51" i="7"/>
  <c r="I50" i="7"/>
  <c r="H50" i="7"/>
  <c r="G50" i="7"/>
  <c r="E50" i="7"/>
  <c r="D50" i="7"/>
  <c r="A50" i="7"/>
  <c r="I49" i="7"/>
  <c r="H49" i="7"/>
  <c r="G49" i="7"/>
  <c r="E49" i="7"/>
  <c r="D49" i="7"/>
  <c r="A49" i="7"/>
  <c r="I48" i="7"/>
  <c r="H48" i="7"/>
  <c r="G48" i="7"/>
  <c r="E48" i="7"/>
  <c r="D48" i="7"/>
  <c r="A48" i="7"/>
  <c r="I47" i="7"/>
  <c r="H47" i="7"/>
  <c r="G47" i="7"/>
  <c r="E47" i="7"/>
  <c r="D47" i="7"/>
  <c r="A47" i="7"/>
  <c r="I46" i="7"/>
  <c r="H46" i="7"/>
  <c r="G46" i="7"/>
  <c r="E46" i="7"/>
  <c r="D46" i="7"/>
  <c r="A46" i="7"/>
  <c r="I45" i="7"/>
  <c r="H45" i="7"/>
  <c r="G45" i="7"/>
  <c r="E45" i="7"/>
  <c r="D45" i="7"/>
  <c r="A45" i="7"/>
  <c r="I44" i="7"/>
  <c r="H44" i="7"/>
  <c r="G44" i="7"/>
  <c r="E44" i="7"/>
  <c r="D44" i="7"/>
  <c r="A44" i="7"/>
  <c r="I43" i="7"/>
  <c r="H43" i="7"/>
  <c r="G43" i="7"/>
  <c r="E43" i="7"/>
  <c r="D43" i="7"/>
  <c r="A43" i="7"/>
  <c r="I42" i="7"/>
  <c r="H42" i="7"/>
  <c r="G42" i="7"/>
  <c r="E42" i="7"/>
  <c r="D42" i="7"/>
  <c r="A42" i="7"/>
  <c r="I41" i="7"/>
  <c r="H41" i="7"/>
  <c r="G41" i="7"/>
  <c r="E41" i="7"/>
  <c r="D41" i="7"/>
  <c r="A41" i="7"/>
  <c r="I40" i="7"/>
  <c r="H40" i="7"/>
  <c r="G40" i="7"/>
  <c r="E40" i="7"/>
  <c r="D40" i="7"/>
  <c r="A40" i="7"/>
  <c r="I39" i="7"/>
  <c r="H39" i="7"/>
  <c r="G39" i="7"/>
  <c r="E39" i="7"/>
  <c r="D39" i="7"/>
  <c r="A39" i="7"/>
  <c r="I38" i="7"/>
  <c r="H38" i="7"/>
  <c r="G38" i="7"/>
  <c r="E38" i="7"/>
  <c r="D38" i="7"/>
  <c r="A38" i="7"/>
  <c r="I37" i="7"/>
  <c r="H37" i="7"/>
  <c r="G37" i="7"/>
  <c r="E37" i="7"/>
  <c r="D37" i="7"/>
  <c r="A37" i="7"/>
  <c r="I36" i="7"/>
  <c r="H36" i="7"/>
  <c r="G36" i="7"/>
  <c r="E36" i="7"/>
  <c r="D36" i="7"/>
  <c r="A36" i="7"/>
  <c r="I35" i="7"/>
  <c r="H35" i="7"/>
  <c r="G35" i="7"/>
  <c r="E35" i="7"/>
  <c r="D35" i="7"/>
  <c r="A35" i="7"/>
  <c r="I34" i="7"/>
  <c r="H34" i="7"/>
  <c r="G34" i="7"/>
  <c r="E34" i="7"/>
  <c r="D34" i="7"/>
  <c r="A34" i="7"/>
  <c r="I33" i="7"/>
  <c r="H33" i="7"/>
  <c r="G33" i="7"/>
  <c r="E33" i="7"/>
  <c r="D33" i="7"/>
  <c r="A33" i="7"/>
  <c r="I32" i="7"/>
  <c r="H32" i="7"/>
  <c r="G32" i="7"/>
  <c r="E32" i="7"/>
  <c r="D32" i="7"/>
  <c r="A32" i="7"/>
  <c r="I31" i="7"/>
  <c r="H31" i="7"/>
  <c r="G31" i="7"/>
  <c r="E31" i="7"/>
  <c r="D31" i="7"/>
  <c r="A31" i="7"/>
  <c r="I30" i="7"/>
  <c r="H30" i="7"/>
  <c r="G30" i="7"/>
  <c r="E30" i="7"/>
  <c r="D30" i="7"/>
  <c r="A30" i="7"/>
  <c r="I29" i="7"/>
  <c r="H29" i="7"/>
  <c r="G29" i="7"/>
  <c r="E29" i="7"/>
  <c r="D29" i="7"/>
  <c r="A29" i="7"/>
  <c r="I28" i="7"/>
  <c r="H28" i="7"/>
  <c r="G28" i="7"/>
  <c r="E28" i="7"/>
  <c r="D28" i="7"/>
  <c r="A28" i="7"/>
  <c r="I27" i="7"/>
  <c r="H27" i="7"/>
  <c r="G27" i="7"/>
  <c r="E27" i="7"/>
  <c r="D27" i="7"/>
  <c r="A27" i="7"/>
  <c r="I26" i="7"/>
  <c r="H26" i="7"/>
  <c r="G26" i="7"/>
  <c r="E26" i="7"/>
  <c r="D26" i="7"/>
  <c r="A26" i="7"/>
  <c r="I25" i="7"/>
  <c r="H25" i="7"/>
  <c r="G25" i="7"/>
  <c r="E25" i="7"/>
  <c r="D25" i="7"/>
  <c r="A25" i="7"/>
  <c r="I24" i="7"/>
  <c r="H24" i="7"/>
  <c r="G24" i="7"/>
  <c r="E24" i="7"/>
  <c r="D24" i="7"/>
  <c r="A24" i="7"/>
  <c r="I23" i="7"/>
  <c r="H23" i="7"/>
  <c r="G23" i="7"/>
  <c r="E23" i="7"/>
  <c r="D23" i="7"/>
  <c r="A23" i="7"/>
  <c r="I22" i="7"/>
  <c r="H22" i="7"/>
  <c r="G22" i="7"/>
  <c r="E22" i="7"/>
  <c r="D22" i="7"/>
  <c r="A22" i="7"/>
  <c r="I21" i="7"/>
  <c r="H21" i="7"/>
  <c r="G21" i="7"/>
  <c r="E21" i="7"/>
  <c r="D21" i="7"/>
  <c r="A21" i="7"/>
  <c r="I20" i="7"/>
  <c r="H20" i="7"/>
  <c r="G20" i="7"/>
  <c r="E20" i="7"/>
  <c r="D20" i="7"/>
  <c r="A20" i="7"/>
  <c r="I19" i="7"/>
  <c r="H19" i="7"/>
  <c r="G19" i="7"/>
  <c r="E19" i="7"/>
  <c r="D19" i="7"/>
  <c r="A19" i="7"/>
  <c r="I18" i="7"/>
  <c r="H18" i="7"/>
  <c r="G18" i="7"/>
  <c r="E18" i="7"/>
  <c r="D18" i="7"/>
  <c r="A18" i="7"/>
  <c r="I17" i="7"/>
  <c r="H17" i="7"/>
  <c r="G17" i="7"/>
  <c r="E17" i="7"/>
  <c r="D17" i="7"/>
  <c r="A17" i="7"/>
  <c r="I16" i="7"/>
  <c r="H16" i="7"/>
  <c r="G16" i="7"/>
  <c r="E16" i="7"/>
  <c r="D16" i="7"/>
  <c r="A16" i="7"/>
  <c r="I15" i="7"/>
  <c r="H15" i="7"/>
  <c r="G15" i="7"/>
  <c r="E15" i="7"/>
  <c r="D15" i="7"/>
  <c r="A15" i="7"/>
  <c r="I14" i="7"/>
  <c r="H14" i="7"/>
  <c r="G14" i="7"/>
  <c r="E14" i="7"/>
  <c r="D14" i="7"/>
  <c r="A14" i="7"/>
  <c r="I13" i="7"/>
  <c r="H13" i="7"/>
  <c r="G13" i="7"/>
  <c r="E13" i="7"/>
  <c r="D13" i="7"/>
  <c r="A13" i="7"/>
  <c r="I12" i="7"/>
  <c r="H12" i="7"/>
  <c r="G12" i="7"/>
  <c r="E12" i="7"/>
  <c r="D12" i="7"/>
  <c r="A12" i="7"/>
  <c r="I11" i="7"/>
  <c r="H11" i="7"/>
  <c r="G11" i="7"/>
  <c r="E11" i="7"/>
  <c r="D11" i="7"/>
  <c r="A11" i="7"/>
  <c r="I10" i="7"/>
  <c r="H10" i="7"/>
  <c r="G10" i="7"/>
  <c r="E10" i="7"/>
  <c r="D10" i="7"/>
  <c r="A10" i="7"/>
  <c r="I9" i="7"/>
  <c r="H9" i="7"/>
  <c r="G9" i="7"/>
  <c r="E9" i="7"/>
  <c r="D9" i="7"/>
  <c r="A9" i="7"/>
  <c r="I8" i="7"/>
  <c r="H8" i="7"/>
  <c r="G8" i="7"/>
  <c r="E8" i="7"/>
  <c r="D8" i="7"/>
  <c r="A8" i="7"/>
  <c r="I7" i="7"/>
  <c r="H7" i="7"/>
  <c r="G7" i="7"/>
  <c r="E7" i="7"/>
  <c r="D7" i="7"/>
  <c r="A7" i="7"/>
  <c r="I6" i="7"/>
  <c r="H6" i="7"/>
  <c r="G6" i="7"/>
  <c r="E6" i="7"/>
  <c r="D6" i="7"/>
  <c r="A6" i="7"/>
  <c r="I5" i="7"/>
  <c r="H5" i="7"/>
  <c r="G5" i="7"/>
  <c r="E5" i="7"/>
  <c r="D5" i="7"/>
  <c r="A5" i="7"/>
  <c r="I404" i="6"/>
  <c r="E404" i="6"/>
  <c r="D404" i="6"/>
  <c r="A404" i="6"/>
  <c r="I403" i="6"/>
  <c r="E403" i="6"/>
  <c r="D403" i="6"/>
  <c r="A403" i="6"/>
  <c r="I402" i="6"/>
  <c r="E402" i="6"/>
  <c r="D402" i="6"/>
  <c r="A402" i="6"/>
  <c r="I401" i="6"/>
  <c r="E401" i="6"/>
  <c r="D401" i="6"/>
  <c r="A401" i="6"/>
  <c r="I400" i="6"/>
  <c r="E400" i="6"/>
  <c r="D400" i="6"/>
  <c r="A400" i="6"/>
  <c r="I399" i="6"/>
  <c r="E399" i="6"/>
  <c r="D399" i="6"/>
  <c r="A399" i="6"/>
  <c r="I398" i="6"/>
  <c r="E398" i="6"/>
  <c r="D398" i="6"/>
  <c r="A398" i="6"/>
  <c r="I397" i="6"/>
  <c r="E397" i="6"/>
  <c r="D397" i="6"/>
  <c r="A397" i="6"/>
  <c r="I396" i="6"/>
  <c r="E396" i="6"/>
  <c r="D396" i="6"/>
  <c r="A396" i="6"/>
  <c r="I395" i="6"/>
  <c r="E395" i="6"/>
  <c r="D395" i="6"/>
  <c r="A395" i="6"/>
  <c r="I394" i="6"/>
  <c r="E394" i="6"/>
  <c r="D394" i="6"/>
  <c r="A394" i="6"/>
  <c r="I393" i="6"/>
  <c r="E393" i="6"/>
  <c r="D393" i="6"/>
  <c r="A393" i="6"/>
  <c r="I392" i="6"/>
  <c r="E392" i="6"/>
  <c r="D392" i="6"/>
  <c r="A392" i="6"/>
  <c r="I391" i="6"/>
  <c r="E391" i="6"/>
  <c r="D391" i="6"/>
  <c r="A391" i="6"/>
  <c r="I390" i="6"/>
  <c r="E390" i="6"/>
  <c r="D390" i="6"/>
  <c r="A390" i="6"/>
  <c r="I389" i="6"/>
  <c r="E389" i="6"/>
  <c r="D389" i="6"/>
  <c r="A389" i="6"/>
  <c r="I388" i="6"/>
  <c r="E388" i="6"/>
  <c r="D388" i="6"/>
  <c r="A388" i="6"/>
  <c r="I387" i="6"/>
  <c r="E387" i="6"/>
  <c r="D387" i="6"/>
  <c r="A387" i="6"/>
  <c r="I386" i="6"/>
  <c r="E386" i="6"/>
  <c r="D386" i="6"/>
  <c r="A386" i="6"/>
  <c r="I385" i="6"/>
  <c r="E385" i="6"/>
  <c r="D385" i="6"/>
  <c r="A385" i="6"/>
  <c r="I384" i="6"/>
  <c r="E384" i="6"/>
  <c r="D384" i="6"/>
  <c r="A384" i="6"/>
  <c r="I383" i="6"/>
  <c r="E383" i="6"/>
  <c r="D383" i="6"/>
  <c r="A383" i="6"/>
  <c r="I382" i="6"/>
  <c r="E382" i="6"/>
  <c r="D382" i="6"/>
  <c r="A382" i="6"/>
  <c r="I381" i="6"/>
  <c r="E381" i="6"/>
  <c r="D381" i="6"/>
  <c r="A381" i="6"/>
  <c r="I380" i="6"/>
  <c r="E380" i="6"/>
  <c r="D380" i="6"/>
  <c r="A380" i="6"/>
  <c r="I379" i="6"/>
  <c r="E379" i="6"/>
  <c r="D379" i="6"/>
  <c r="A379" i="6"/>
  <c r="I378" i="6"/>
  <c r="E378" i="6"/>
  <c r="D378" i="6"/>
  <c r="A378" i="6"/>
  <c r="I377" i="6"/>
  <c r="E377" i="6"/>
  <c r="D377" i="6"/>
  <c r="A377" i="6"/>
  <c r="I376" i="6"/>
  <c r="E376" i="6"/>
  <c r="D376" i="6"/>
  <c r="A376" i="6"/>
  <c r="I375" i="6"/>
  <c r="E375" i="6"/>
  <c r="D375" i="6"/>
  <c r="A375" i="6"/>
  <c r="I374" i="6"/>
  <c r="E374" i="6"/>
  <c r="D374" i="6"/>
  <c r="A374" i="6"/>
  <c r="I373" i="6"/>
  <c r="E373" i="6"/>
  <c r="D373" i="6"/>
  <c r="A373" i="6"/>
  <c r="I372" i="6"/>
  <c r="E372" i="6"/>
  <c r="D372" i="6"/>
  <c r="A372" i="6"/>
  <c r="I371" i="6"/>
  <c r="E371" i="6"/>
  <c r="D371" i="6"/>
  <c r="A371" i="6"/>
  <c r="I370" i="6"/>
  <c r="E370" i="6"/>
  <c r="D370" i="6"/>
  <c r="A370" i="6"/>
  <c r="I369" i="6"/>
  <c r="E369" i="6"/>
  <c r="D369" i="6"/>
  <c r="A369" i="6"/>
  <c r="I368" i="6"/>
  <c r="E368" i="6"/>
  <c r="D368" i="6"/>
  <c r="A368" i="6"/>
  <c r="I367" i="6"/>
  <c r="E367" i="6"/>
  <c r="D367" i="6"/>
  <c r="A367" i="6"/>
  <c r="I366" i="6"/>
  <c r="E366" i="6"/>
  <c r="D366" i="6"/>
  <c r="A366" i="6"/>
  <c r="I365" i="6"/>
  <c r="E365" i="6"/>
  <c r="D365" i="6"/>
  <c r="A365" i="6"/>
  <c r="I364" i="6"/>
  <c r="E364" i="6"/>
  <c r="D364" i="6"/>
  <c r="A364" i="6"/>
  <c r="I363" i="6"/>
  <c r="E363" i="6"/>
  <c r="D363" i="6"/>
  <c r="A363" i="6"/>
  <c r="I362" i="6"/>
  <c r="E362" i="6"/>
  <c r="D362" i="6"/>
  <c r="A362" i="6"/>
  <c r="I361" i="6"/>
  <c r="E361" i="6"/>
  <c r="D361" i="6"/>
  <c r="A361" i="6"/>
  <c r="I360" i="6"/>
  <c r="E360" i="6"/>
  <c r="D360" i="6"/>
  <c r="A360" i="6"/>
  <c r="I359" i="6"/>
  <c r="E359" i="6"/>
  <c r="D359" i="6"/>
  <c r="A359" i="6"/>
  <c r="I358" i="6"/>
  <c r="E358" i="6"/>
  <c r="D358" i="6"/>
  <c r="A358" i="6"/>
  <c r="I357" i="6"/>
  <c r="E357" i="6"/>
  <c r="D357" i="6"/>
  <c r="A357" i="6"/>
  <c r="I356" i="6"/>
  <c r="E356" i="6"/>
  <c r="D356" i="6"/>
  <c r="A356" i="6"/>
  <c r="I355" i="6"/>
  <c r="E355" i="6"/>
  <c r="D355" i="6"/>
  <c r="A355" i="6"/>
  <c r="I354" i="6"/>
  <c r="E354" i="6"/>
  <c r="D354" i="6"/>
  <c r="A354" i="6"/>
  <c r="I353" i="6"/>
  <c r="E353" i="6"/>
  <c r="D353" i="6"/>
  <c r="A353" i="6"/>
  <c r="I352" i="6"/>
  <c r="E352" i="6"/>
  <c r="D352" i="6"/>
  <c r="A352" i="6"/>
  <c r="I351" i="6"/>
  <c r="E351" i="6"/>
  <c r="D351" i="6"/>
  <c r="A351" i="6"/>
  <c r="I350" i="6"/>
  <c r="E350" i="6"/>
  <c r="D350" i="6"/>
  <c r="A350" i="6"/>
  <c r="I349" i="6"/>
  <c r="E349" i="6"/>
  <c r="D349" i="6"/>
  <c r="A349" i="6"/>
  <c r="I348" i="6"/>
  <c r="E348" i="6"/>
  <c r="D348" i="6"/>
  <c r="A348" i="6"/>
  <c r="I347" i="6"/>
  <c r="E347" i="6"/>
  <c r="D347" i="6"/>
  <c r="A347" i="6"/>
  <c r="I346" i="6"/>
  <c r="E346" i="6"/>
  <c r="D346" i="6"/>
  <c r="A346" i="6"/>
  <c r="I345" i="6"/>
  <c r="E345" i="6"/>
  <c r="D345" i="6"/>
  <c r="A345" i="6"/>
  <c r="I344" i="6"/>
  <c r="E344" i="6"/>
  <c r="D344" i="6"/>
  <c r="A344" i="6"/>
  <c r="I343" i="6"/>
  <c r="E343" i="6"/>
  <c r="D343" i="6"/>
  <c r="A343" i="6"/>
  <c r="I342" i="6"/>
  <c r="E342" i="6"/>
  <c r="D342" i="6"/>
  <c r="A342" i="6"/>
  <c r="I341" i="6"/>
  <c r="E341" i="6"/>
  <c r="D341" i="6"/>
  <c r="A341" i="6"/>
  <c r="I340" i="6"/>
  <c r="E340" i="6"/>
  <c r="D340" i="6"/>
  <c r="A340" i="6"/>
  <c r="I339" i="6"/>
  <c r="E339" i="6"/>
  <c r="D339" i="6"/>
  <c r="A339" i="6"/>
  <c r="I338" i="6"/>
  <c r="E338" i="6"/>
  <c r="D338" i="6"/>
  <c r="A338" i="6"/>
  <c r="I337" i="6"/>
  <c r="E337" i="6"/>
  <c r="D337" i="6"/>
  <c r="A337" i="6"/>
  <c r="I336" i="6"/>
  <c r="E336" i="6"/>
  <c r="D336" i="6"/>
  <c r="A336" i="6"/>
  <c r="I335" i="6"/>
  <c r="E335" i="6"/>
  <c r="D335" i="6"/>
  <c r="A335" i="6"/>
  <c r="I334" i="6"/>
  <c r="E334" i="6"/>
  <c r="D334" i="6"/>
  <c r="A334" i="6"/>
  <c r="I333" i="6"/>
  <c r="E333" i="6"/>
  <c r="D333" i="6"/>
  <c r="A333" i="6"/>
  <c r="I332" i="6"/>
  <c r="E332" i="6"/>
  <c r="D332" i="6"/>
  <c r="A332" i="6"/>
  <c r="I331" i="6"/>
  <c r="E331" i="6"/>
  <c r="D331" i="6"/>
  <c r="A331" i="6"/>
  <c r="I330" i="6"/>
  <c r="E330" i="6"/>
  <c r="D330" i="6"/>
  <c r="A330" i="6"/>
  <c r="I329" i="6"/>
  <c r="E329" i="6"/>
  <c r="D329" i="6"/>
  <c r="A329" i="6"/>
  <c r="I328" i="6"/>
  <c r="E328" i="6"/>
  <c r="D328" i="6"/>
  <c r="A328" i="6"/>
  <c r="I327" i="6"/>
  <c r="E327" i="6"/>
  <c r="D327" i="6"/>
  <c r="A327" i="6"/>
  <c r="I326" i="6"/>
  <c r="E326" i="6"/>
  <c r="D326" i="6"/>
  <c r="A326" i="6"/>
  <c r="I325" i="6"/>
  <c r="E325" i="6"/>
  <c r="D325" i="6"/>
  <c r="A325" i="6"/>
  <c r="I324" i="6"/>
  <c r="E324" i="6"/>
  <c r="D324" i="6"/>
  <c r="A324" i="6"/>
  <c r="I323" i="6"/>
  <c r="E323" i="6"/>
  <c r="D323" i="6"/>
  <c r="A323" i="6"/>
  <c r="I322" i="6"/>
  <c r="E322" i="6"/>
  <c r="D322" i="6"/>
  <c r="A322" i="6"/>
  <c r="I321" i="6"/>
  <c r="E321" i="6"/>
  <c r="D321" i="6"/>
  <c r="A321" i="6"/>
  <c r="I320" i="6"/>
  <c r="E320" i="6"/>
  <c r="D320" i="6"/>
  <c r="A320" i="6"/>
  <c r="I319" i="6"/>
  <c r="E319" i="6"/>
  <c r="D319" i="6"/>
  <c r="A319" i="6"/>
  <c r="I318" i="6"/>
  <c r="E318" i="6"/>
  <c r="D318" i="6"/>
  <c r="A318" i="6"/>
  <c r="I317" i="6"/>
  <c r="E317" i="6"/>
  <c r="D317" i="6"/>
  <c r="A317" i="6"/>
  <c r="I316" i="6"/>
  <c r="E316" i="6"/>
  <c r="D316" i="6"/>
  <c r="A316" i="6"/>
  <c r="I315" i="6"/>
  <c r="E315" i="6"/>
  <c r="D315" i="6"/>
  <c r="A315" i="6"/>
  <c r="I314" i="6"/>
  <c r="E314" i="6"/>
  <c r="D314" i="6"/>
  <c r="A314" i="6"/>
  <c r="I313" i="6"/>
  <c r="E313" i="6"/>
  <c r="D313" i="6"/>
  <c r="A313" i="6"/>
  <c r="I312" i="6"/>
  <c r="E312" i="6"/>
  <c r="D312" i="6"/>
  <c r="A312" i="6"/>
  <c r="I311" i="6"/>
  <c r="E311" i="6"/>
  <c r="D311" i="6"/>
  <c r="A311" i="6"/>
  <c r="I310" i="6"/>
  <c r="E310" i="6"/>
  <c r="D310" i="6"/>
  <c r="A310" i="6"/>
  <c r="I309" i="6"/>
  <c r="E309" i="6"/>
  <c r="D309" i="6"/>
  <c r="A309" i="6"/>
  <c r="I308" i="6"/>
  <c r="E308" i="6"/>
  <c r="D308" i="6"/>
  <c r="A308" i="6"/>
  <c r="I307" i="6"/>
  <c r="E307" i="6"/>
  <c r="D307" i="6"/>
  <c r="A307" i="6"/>
  <c r="I306" i="6"/>
  <c r="E306" i="6"/>
  <c r="D306" i="6"/>
  <c r="A306" i="6"/>
  <c r="I305" i="6"/>
  <c r="E305" i="6"/>
  <c r="D305" i="6"/>
  <c r="A305" i="6"/>
  <c r="I304" i="6"/>
  <c r="E304" i="6"/>
  <c r="D304" i="6"/>
  <c r="A304" i="6"/>
  <c r="I303" i="6"/>
  <c r="E303" i="6"/>
  <c r="D303" i="6"/>
  <c r="A303" i="6"/>
  <c r="I302" i="6"/>
  <c r="E302" i="6"/>
  <c r="D302" i="6"/>
  <c r="A302" i="6"/>
  <c r="I301" i="6"/>
  <c r="E301" i="6"/>
  <c r="D301" i="6"/>
  <c r="A301" i="6"/>
  <c r="I300" i="6"/>
  <c r="E300" i="6"/>
  <c r="D300" i="6"/>
  <c r="A300" i="6"/>
  <c r="I299" i="6"/>
  <c r="E299" i="6"/>
  <c r="D299" i="6"/>
  <c r="A299" i="6"/>
  <c r="I298" i="6"/>
  <c r="E298" i="6"/>
  <c r="D298" i="6"/>
  <c r="A298" i="6"/>
  <c r="I297" i="6"/>
  <c r="E297" i="6"/>
  <c r="D297" i="6"/>
  <c r="A297" i="6"/>
  <c r="I296" i="6"/>
  <c r="E296" i="6"/>
  <c r="D296" i="6"/>
  <c r="A296" i="6"/>
  <c r="I295" i="6"/>
  <c r="E295" i="6"/>
  <c r="D295" i="6"/>
  <c r="A295" i="6"/>
  <c r="I294" i="6"/>
  <c r="E294" i="6"/>
  <c r="D294" i="6"/>
  <c r="A294" i="6"/>
  <c r="I293" i="6"/>
  <c r="E293" i="6"/>
  <c r="D293" i="6"/>
  <c r="A293" i="6"/>
  <c r="I292" i="6"/>
  <c r="E292" i="6"/>
  <c r="D292" i="6"/>
  <c r="A292" i="6"/>
  <c r="I291" i="6"/>
  <c r="E291" i="6"/>
  <c r="D291" i="6"/>
  <c r="A291" i="6"/>
  <c r="I290" i="6"/>
  <c r="E290" i="6"/>
  <c r="D290" i="6"/>
  <c r="A290" i="6"/>
  <c r="I289" i="6"/>
  <c r="E289" i="6"/>
  <c r="D289" i="6"/>
  <c r="A289" i="6"/>
  <c r="I288" i="6"/>
  <c r="E288" i="6"/>
  <c r="D288" i="6"/>
  <c r="A288" i="6"/>
  <c r="I287" i="6"/>
  <c r="E287" i="6"/>
  <c r="D287" i="6"/>
  <c r="A287" i="6"/>
  <c r="I286" i="6"/>
  <c r="E286" i="6"/>
  <c r="D286" i="6"/>
  <c r="A286" i="6"/>
  <c r="I285" i="6"/>
  <c r="E285" i="6"/>
  <c r="D285" i="6"/>
  <c r="A285" i="6"/>
  <c r="I284" i="6"/>
  <c r="E284" i="6"/>
  <c r="D284" i="6"/>
  <c r="A284" i="6"/>
  <c r="I283" i="6"/>
  <c r="E283" i="6"/>
  <c r="D283" i="6"/>
  <c r="A283" i="6"/>
  <c r="I282" i="6"/>
  <c r="E282" i="6"/>
  <c r="D282" i="6"/>
  <c r="A282" i="6"/>
  <c r="I281" i="6"/>
  <c r="E281" i="6"/>
  <c r="D281" i="6"/>
  <c r="A281" i="6"/>
  <c r="I280" i="6"/>
  <c r="E280" i="6"/>
  <c r="D280" i="6"/>
  <c r="A280" i="6"/>
  <c r="I279" i="6"/>
  <c r="E279" i="6"/>
  <c r="D279" i="6"/>
  <c r="A279" i="6"/>
  <c r="I278" i="6"/>
  <c r="E278" i="6"/>
  <c r="D278" i="6"/>
  <c r="A278" i="6"/>
  <c r="I277" i="6"/>
  <c r="E277" i="6"/>
  <c r="D277" i="6"/>
  <c r="A277" i="6"/>
  <c r="I276" i="6"/>
  <c r="E276" i="6"/>
  <c r="D276" i="6"/>
  <c r="A276" i="6"/>
  <c r="I275" i="6"/>
  <c r="E275" i="6"/>
  <c r="D275" i="6"/>
  <c r="A275" i="6"/>
  <c r="I274" i="6"/>
  <c r="E274" i="6"/>
  <c r="D274" i="6"/>
  <c r="A274" i="6"/>
  <c r="I273" i="6"/>
  <c r="E273" i="6"/>
  <c r="D273" i="6"/>
  <c r="A273" i="6"/>
  <c r="I272" i="6"/>
  <c r="E272" i="6"/>
  <c r="D272" i="6"/>
  <c r="A272" i="6"/>
  <c r="I271" i="6"/>
  <c r="E271" i="6"/>
  <c r="D271" i="6"/>
  <c r="A271" i="6"/>
  <c r="I270" i="6"/>
  <c r="E270" i="6"/>
  <c r="D270" i="6"/>
  <c r="A270" i="6"/>
  <c r="I269" i="6"/>
  <c r="E269" i="6"/>
  <c r="D269" i="6"/>
  <c r="A269" i="6"/>
  <c r="I268" i="6"/>
  <c r="E268" i="6"/>
  <c r="D268" i="6"/>
  <c r="A268" i="6"/>
  <c r="I267" i="6"/>
  <c r="E267" i="6"/>
  <c r="D267" i="6"/>
  <c r="A267" i="6"/>
  <c r="I266" i="6"/>
  <c r="E266" i="6"/>
  <c r="D266" i="6"/>
  <c r="A266" i="6"/>
  <c r="I265" i="6"/>
  <c r="E265" i="6"/>
  <c r="D265" i="6"/>
  <c r="A265" i="6"/>
  <c r="I264" i="6"/>
  <c r="E264" i="6"/>
  <c r="D264" i="6"/>
  <c r="A264" i="6"/>
  <c r="I263" i="6"/>
  <c r="E263" i="6"/>
  <c r="D263" i="6"/>
  <c r="A263" i="6"/>
  <c r="I262" i="6"/>
  <c r="E262" i="6"/>
  <c r="D262" i="6"/>
  <c r="A262" i="6"/>
  <c r="I261" i="6"/>
  <c r="E261" i="6"/>
  <c r="D261" i="6"/>
  <c r="A261" i="6"/>
  <c r="I260" i="6"/>
  <c r="E260" i="6"/>
  <c r="D260" i="6"/>
  <c r="A260" i="6"/>
  <c r="I259" i="6"/>
  <c r="E259" i="6"/>
  <c r="D259" i="6"/>
  <c r="A259" i="6"/>
  <c r="I258" i="6"/>
  <c r="E258" i="6"/>
  <c r="D258" i="6"/>
  <c r="A258" i="6"/>
  <c r="I257" i="6"/>
  <c r="E257" i="6"/>
  <c r="D257" i="6"/>
  <c r="A257" i="6"/>
  <c r="I256" i="6"/>
  <c r="E256" i="6"/>
  <c r="D256" i="6"/>
  <c r="A256" i="6"/>
  <c r="I255" i="6"/>
  <c r="E255" i="6"/>
  <c r="D255" i="6"/>
  <c r="A255" i="6"/>
  <c r="I254" i="6"/>
  <c r="E254" i="6"/>
  <c r="D254" i="6"/>
  <c r="A254" i="6"/>
  <c r="I253" i="6"/>
  <c r="E253" i="6"/>
  <c r="D253" i="6"/>
  <c r="A253" i="6"/>
  <c r="I252" i="6"/>
  <c r="E252" i="6"/>
  <c r="D252" i="6"/>
  <c r="A252" i="6"/>
  <c r="I251" i="6"/>
  <c r="E251" i="6"/>
  <c r="D251" i="6"/>
  <c r="A251" i="6"/>
  <c r="I250" i="6"/>
  <c r="E250" i="6"/>
  <c r="D250" i="6"/>
  <c r="A250" i="6"/>
  <c r="I249" i="6"/>
  <c r="E249" i="6"/>
  <c r="D249" i="6"/>
  <c r="A249" i="6"/>
  <c r="I248" i="6"/>
  <c r="E248" i="6"/>
  <c r="D248" i="6"/>
  <c r="A248" i="6"/>
  <c r="I247" i="6"/>
  <c r="E247" i="6"/>
  <c r="D247" i="6"/>
  <c r="A247" i="6"/>
  <c r="I246" i="6"/>
  <c r="E246" i="6"/>
  <c r="D246" i="6"/>
  <c r="A246" i="6"/>
  <c r="I245" i="6"/>
  <c r="E245" i="6"/>
  <c r="D245" i="6"/>
  <c r="A245" i="6"/>
  <c r="I244" i="6"/>
  <c r="E244" i="6"/>
  <c r="D244" i="6"/>
  <c r="A244" i="6"/>
  <c r="I243" i="6"/>
  <c r="E243" i="6"/>
  <c r="D243" i="6"/>
  <c r="A243" i="6"/>
  <c r="I242" i="6"/>
  <c r="E242" i="6"/>
  <c r="D242" i="6"/>
  <c r="A242" i="6"/>
  <c r="I241" i="6"/>
  <c r="E241" i="6"/>
  <c r="D241" i="6"/>
  <c r="A241" i="6"/>
  <c r="I240" i="6"/>
  <c r="E240" i="6"/>
  <c r="D240" i="6"/>
  <c r="A240" i="6"/>
  <c r="I239" i="6"/>
  <c r="E239" i="6"/>
  <c r="D239" i="6"/>
  <c r="A239" i="6"/>
  <c r="I238" i="6"/>
  <c r="E238" i="6"/>
  <c r="D238" i="6"/>
  <c r="A238" i="6"/>
  <c r="I237" i="6"/>
  <c r="E237" i="6"/>
  <c r="D237" i="6"/>
  <c r="A237" i="6"/>
  <c r="I236" i="6"/>
  <c r="E236" i="6"/>
  <c r="D236" i="6"/>
  <c r="A236" i="6"/>
  <c r="I235" i="6"/>
  <c r="E235" i="6"/>
  <c r="D235" i="6"/>
  <c r="A235" i="6"/>
  <c r="I234" i="6"/>
  <c r="E234" i="6"/>
  <c r="D234" i="6"/>
  <c r="A234" i="6"/>
  <c r="I233" i="6"/>
  <c r="E233" i="6"/>
  <c r="D233" i="6"/>
  <c r="A233" i="6"/>
  <c r="I232" i="6"/>
  <c r="E232" i="6"/>
  <c r="D232" i="6"/>
  <c r="A232" i="6"/>
  <c r="I231" i="6"/>
  <c r="E231" i="6"/>
  <c r="D231" i="6"/>
  <c r="A231" i="6"/>
  <c r="I230" i="6"/>
  <c r="E230" i="6"/>
  <c r="D230" i="6"/>
  <c r="A230" i="6"/>
  <c r="I229" i="6"/>
  <c r="E229" i="6"/>
  <c r="D229" i="6"/>
  <c r="A229" i="6"/>
  <c r="I228" i="6"/>
  <c r="E228" i="6"/>
  <c r="D228" i="6"/>
  <c r="A228" i="6"/>
  <c r="I227" i="6"/>
  <c r="E227" i="6"/>
  <c r="D227" i="6"/>
  <c r="A227" i="6"/>
  <c r="I226" i="6"/>
  <c r="E226" i="6"/>
  <c r="D226" i="6"/>
  <c r="A226" i="6"/>
  <c r="I225" i="6"/>
  <c r="E225" i="6"/>
  <c r="D225" i="6"/>
  <c r="A225" i="6"/>
  <c r="I224" i="6"/>
  <c r="E224" i="6"/>
  <c r="D224" i="6"/>
  <c r="A224" i="6"/>
  <c r="I223" i="6"/>
  <c r="E223" i="6"/>
  <c r="D223" i="6"/>
  <c r="A223" i="6"/>
  <c r="I222" i="6"/>
  <c r="E222" i="6"/>
  <c r="D222" i="6"/>
  <c r="A222" i="6"/>
  <c r="I221" i="6"/>
  <c r="E221" i="6"/>
  <c r="D221" i="6"/>
  <c r="A221" i="6"/>
  <c r="I220" i="6"/>
  <c r="E220" i="6"/>
  <c r="D220" i="6"/>
  <c r="A220" i="6"/>
  <c r="I219" i="6"/>
  <c r="E219" i="6"/>
  <c r="D219" i="6"/>
  <c r="A219" i="6"/>
  <c r="I218" i="6"/>
  <c r="E218" i="6"/>
  <c r="D218" i="6"/>
  <c r="A218" i="6"/>
  <c r="I217" i="6"/>
  <c r="E217" i="6"/>
  <c r="D217" i="6"/>
  <c r="A217" i="6"/>
  <c r="I216" i="6"/>
  <c r="E216" i="6"/>
  <c r="D216" i="6"/>
  <c r="A216" i="6"/>
  <c r="I215" i="6"/>
  <c r="E215" i="6"/>
  <c r="D215" i="6"/>
  <c r="A215" i="6"/>
  <c r="I214" i="6"/>
  <c r="E214" i="6"/>
  <c r="D214" i="6"/>
  <c r="A214" i="6"/>
  <c r="I213" i="6"/>
  <c r="E213" i="6"/>
  <c r="D213" i="6"/>
  <c r="A213" i="6"/>
  <c r="I212" i="6"/>
  <c r="E212" i="6"/>
  <c r="D212" i="6"/>
  <c r="A212" i="6"/>
  <c r="I211" i="6"/>
  <c r="E211" i="6"/>
  <c r="D211" i="6"/>
  <c r="A211" i="6"/>
  <c r="I210" i="6"/>
  <c r="E210" i="6"/>
  <c r="D210" i="6"/>
  <c r="A210" i="6"/>
  <c r="I209" i="6"/>
  <c r="E209" i="6"/>
  <c r="D209" i="6"/>
  <c r="A209" i="6"/>
  <c r="I208" i="6"/>
  <c r="E208" i="6"/>
  <c r="D208" i="6"/>
  <c r="A208" i="6"/>
  <c r="I207" i="6"/>
  <c r="E207" i="6"/>
  <c r="D207" i="6"/>
  <c r="A207" i="6"/>
  <c r="I206" i="6"/>
  <c r="E206" i="6"/>
  <c r="D206" i="6"/>
  <c r="A206" i="6"/>
  <c r="I205" i="6"/>
  <c r="E205" i="6"/>
  <c r="D205" i="6"/>
  <c r="A205" i="6"/>
  <c r="I204" i="6"/>
  <c r="E204" i="6"/>
  <c r="D204" i="6"/>
  <c r="A204" i="6"/>
  <c r="I203" i="6"/>
  <c r="E203" i="6"/>
  <c r="D203" i="6"/>
  <c r="A203" i="6"/>
  <c r="I202" i="6"/>
  <c r="E202" i="6"/>
  <c r="D202" i="6"/>
  <c r="A202" i="6"/>
  <c r="I201" i="6"/>
  <c r="E201" i="6"/>
  <c r="D201" i="6"/>
  <c r="A201" i="6"/>
  <c r="I200" i="6"/>
  <c r="E200" i="6"/>
  <c r="D200" i="6"/>
  <c r="A200" i="6"/>
  <c r="I199" i="6"/>
  <c r="E199" i="6"/>
  <c r="D199" i="6"/>
  <c r="A199" i="6"/>
  <c r="I198" i="6"/>
  <c r="E198" i="6"/>
  <c r="D198" i="6"/>
  <c r="A198" i="6"/>
  <c r="I197" i="6"/>
  <c r="E197" i="6"/>
  <c r="D197" i="6"/>
  <c r="A197" i="6"/>
  <c r="I196" i="6"/>
  <c r="E196" i="6"/>
  <c r="D196" i="6"/>
  <c r="A196" i="6"/>
  <c r="I195" i="6"/>
  <c r="E195" i="6"/>
  <c r="D195" i="6"/>
  <c r="A195" i="6"/>
  <c r="I194" i="6"/>
  <c r="E194" i="6"/>
  <c r="D194" i="6"/>
  <c r="A194" i="6"/>
  <c r="I193" i="6"/>
  <c r="E193" i="6"/>
  <c r="D193" i="6"/>
  <c r="A193" i="6"/>
  <c r="I192" i="6"/>
  <c r="E192" i="6"/>
  <c r="D192" i="6"/>
  <c r="A192" i="6"/>
  <c r="I191" i="6"/>
  <c r="E191" i="6"/>
  <c r="D191" i="6"/>
  <c r="A191" i="6"/>
  <c r="I190" i="6"/>
  <c r="E190" i="6"/>
  <c r="D190" i="6"/>
  <c r="A190" i="6"/>
  <c r="I189" i="6"/>
  <c r="E189" i="6"/>
  <c r="D189" i="6"/>
  <c r="A189" i="6"/>
  <c r="I188" i="6"/>
  <c r="E188" i="6"/>
  <c r="D188" i="6"/>
  <c r="A188" i="6"/>
  <c r="I187" i="6"/>
  <c r="E187" i="6"/>
  <c r="D187" i="6"/>
  <c r="A187" i="6"/>
  <c r="I186" i="6"/>
  <c r="E186" i="6"/>
  <c r="D186" i="6"/>
  <c r="A186" i="6"/>
  <c r="I185" i="6"/>
  <c r="E185" i="6"/>
  <c r="D185" i="6"/>
  <c r="A185" i="6"/>
  <c r="I184" i="6"/>
  <c r="E184" i="6"/>
  <c r="D184" i="6"/>
  <c r="A184" i="6"/>
  <c r="I183" i="6"/>
  <c r="E183" i="6"/>
  <c r="D183" i="6"/>
  <c r="A183" i="6"/>
  <c r="I182" i="6"/>
  <c r="E182" i="6"/>
  <c r="D182" i="6"/>
  <c r="A182" i="6"/>
  <c r="I181" i="6"/>
  <c r="E181" i="6"/>
  <c r="D181" i="6"/>
  <c r="A181" i="6"/>
  <c r="I180" i="6"/>
  <c r="E180" i="6"/>
  <c r="D180" i="6"/>
  <c r="A180" i="6"/>
  <c r="I179" i="6"/>
  <c r="E179" i="6"/>
  <c r="D179" i="6"/>
  <c r="A179" i="6"/>
  <c r="I178" i="6"/>
  <c r="E178" i="6"/>
  <c r="D178" i="6"/>
  <c r="A178" i="6"/>
  <c r="I177" i="6"/>
  <c r="E177" i="6"/>
  <c r="D177" i="6"/>
  <c r="A177" i="6"/>
  <c r="I176" i="6"/>
  <c r="E176" i="6"/>
  <c r="D176" i="6"/>
  <c r="A176" i="6"/>
  <c r="I175" i="6"/>
  <c r="E175" i="6"/>
  <c r="D175" i="6"/>
  <c r="A175" i="6"/>
  <c r="I174" i="6"/>
  <c r="E174" i="6"/>
  <c r="D174" i="6"/>
  <c r="A174" i="6"/>
  <c r="I173" i="6"/>
  <c r="E173" i="6"/>
  <c r="D173" i="6"/>
  <c r="A173" i="6"/>
  <c r="I172" i="6"/>
  <c r="E172" i="6"/>
  <c r="D172" i="6"/>
  <c r="A172" i="6"/>
  <c r="I171" i="6"/>
  <c r="E171" i="6"/>
  <c r="D171" i="6"/>
  <c r="A171" i="6"/>
  <c r="I170" i="6"/>
  <c r="E170" i="6"/>
  <c r="D170" i="6"/>
  <c r="A170" i="6"/>
  <c r="I169" i="6"/>
  <c r="E169" i="6"/>
  <c r="D169" i="6"/>
  <c r="A169" i="6"/>
  <c r="I168" i="6"/>
  <c r="E168" i="6"/>
  <c r="D168" i="6"/>
  <c r="A168" i="6"/>
  <c r="I167" i="6"/>
  <c r="E167" i="6"/>
  <c r="D167" i="6"/>
  <c r="A167" i="6"/>
  <c r="I166" i="6"/>
  <c r="E166" i="6"/>
  <c r="D166" i="6"/>
  <c r="A166" i="6"/>
  <c r="I165" i="6"/>
  <c r="E165" i="6"/>
  <c r="D165" i="6"/>
  <c r="A165" i="6"/>
  <c r="I164" i="6"/>
  <c r="E164" i="6"/>
  <c r="D164" i="6"/>
  <c r="A164" i="6"/>
  <c r="I163" i="6"/>
  <c r="E163" i="6"/>
  <c r="D163" i="6"/>
  <c r="A163" i="6"/>
  <c r="I162" i="6"/>
  <c r="E162" i="6"/>
  <c r="D162" i="6"/>
  <c r="A162" i="6"/>
  <c r="I161" i="6"/>
  <c r="E161" i="6"/>
  <c r="D161" i="6"/>
  <c r="A161" i="6"/>
  <c r="I160" i="6"/>
  <c r="E160" i="6"/>
  <c r="D160" i="6"/>
  <c r="A160" i="6"/>
  <c r="I159" i="6"/>
  <c r="E159" i="6"/>
  <c r="D159" i="6"/>
  <c r="A159" i="6"/>
  <c r="I158" i="6"/>
  <c r="E158" i="6"/>
  <c r="D158" i="6"/>
  <c r="A158" i="6"/>
  <c r="I157" i="6"/>
  <c r="E157" i="6"/>
  <c r="D157" i="6"/>
  <c r="A157" i="6"/>
  <c r="I156" i="6"/>
  <c r="E156" i="6"/>
  <c r="D156" i="6"/>
  <c r="A156" i="6"/>
  <c r="I155" i="6"/>
  <c r="E155" i="6"/>
  <c r="D155" i="6"/>
  <c r="A155" i="6"/>
  <c r="I154" i="6"/>
  <c r="E154" i="6"/>
  <c r="D154" i="6"/>
  <c r="A154" i="6"/>
  <c r="I153" i="6"/>
  <c r="E153" i="6"/>
  <c r="D153" i="6"/>
  <c r="A153" i="6"/>
  <c r="I152" i="6"/>
  <c r="E152" i="6"/>
  <c r="D152" i="6"/>
  <c r="A152" i="6"/>
  <c r="I151" i="6"/>
  <c r="E151" i="6"/>
  <c r="D151" i="6"/>
  <c r="A151" i="6"/>
  <c r="I150" i="6"/>
  <c r="E150" i="6"/>
  <c r="D150" i="6"/>
  <c r="A150" i="6"/>
  <c r="I149" i="6"/>
  <c r="E149" i="6"/>
  <c r="D149" i="6"/>
  <c r="A149" i="6"/>
  <c r="I148" i="6"/>
  <c r="E148" i="6"/>
  <c r="D148" i="6"/>
  <c r="A148" i="6"/>
  <c r="I147" i="6"/>
  <c r="E147" i="6"/>
  <c r="D147" i="6"/>
  <c r="A147" i="6"/>
  <c r="I146" i="6"/>
  <c r="E146" i="6"/>
  <c r="D146" i="6"/>
  <c r="A146" i="6"/>
  <c r="I145" i="6"/>
  <c r="E145" i="6"/>
  <c r="D145" i="6"/>
  <c r="A145" i="6"/>
  <c r="I144" i="6"/>
  <c r="E144" i="6"/>
  <c r="D144" i="6"/>
  <c r="A144" i="6"/>
  <c r="I143" i="6"/>
  <c r="E143" i="6"/>
  <c r="D143" i="6"/>
  <c r="A143" i="6"/>
  <c r="I142" i="6"/>
  <c r="E142" i="6"/>
  <c r="D142" i="6"/>
  <c r="A142" i="6"/>
  <c r="I141" i="6"/>
  <c r="E141" i="6"/>
  <c r="D141" i="6"/>
  <c r="A141" i="6"/>
  <c r="I140" i="6"/>
  <c r="E140" i="6"/>
  <c r="D140" i="6"/>
  <c r="A140" i="6"/>
  <c r="I139" i="6"/>
  <c r="E139" i="6"/>
  <c r="D139" i="6"/>
  <c r="A139" i="6"/>
  <c r="I138" i="6"/>
  <c r="E138" i="6"/>
  <c r="D138" i="6"/>
  <c r="A138" i="6"/>
  <c r="I137" i="6"/>
  <c r="E137" i="6"/>
  <c r="D137" i="6"/>
  <c r="A137" i="6"/>
  <c r="I136" i="6"/>
  <c r="E136" i="6"/>
  <c r="D136" i="6"/>
  <c r="A136" i="6"/>
  <c r="I135" i="6"/>
  <c r="E135" i="6"/>
  <c r="D135" i="6"/>
  <c r="A135" i="6"/>
  <c r="I134" i="6"/>
  <c r="E134" i="6"/>
  <c r="D134" i="6"/>
  <c r="A134" i="6"/>
  <c r="I133" i="6"/>
  <c r="E133" i="6"/>
  <c r="D133" i="6"/>
  <c r="A133" i="6"/>
  <c r="I132" i="6"/>
  <c r="E132" i="6"/>
  <c r="D132" i="6"/>
  <c r="A132" i="6"/>
  <c r="I131" i="6"/>
  <c r="E131" i="6"/>
  <c r="D131" i="6"/>
  <c r="A131" i="6"/>
  <c r="I130" i="6"/>
  <c r="E130" i="6"/>
  <c r="D130" i="6"/>
  <c r="A130" i="6"/>
  <c r="I129" i="6"/>
  <c r="E129" i="6"/>
  <c r="D129" i="6"/>
  <c r="A129" i="6"/>
  <c r="I128" i="6"/>
  <c r="E128" i="6"/>
  <c r="D128" i="6"/>
  <c r="A128" i="6"/>
  <c r="I127" i="6"/>
  <c r="E127" i="6"/>
  <c r="D127" i="6"/>
  <c r="A127" i="6"/>
  <c r="I126" i="6"/>
  <c r="E126" i="6"/>
  <c r="D126" i="6"/>
  <c r="A126" i="6"/>
  <c r="I125" i="6"/>
  <c r="E125" i="6"/>
  <c r="D125" i="6"/>
  <c r="A125" i="6"/>
  <c r="I124" i="6"/>
  <c r="E124" i="6"/>
  <c r="D124" i="6"/>
  <c r="A124" i="6"/>
  <c r="I123" i="6"/>
  <c r="E123" i="6"/>
  <c r="D123" i="6"/>
  <c r="A123" i="6"/>
  <c r="I122" i="6"/>
  <c r="E122" i="6"/>
  <c r="D122" i="6"/>
  <c r="A122" i="6"/>
  <c r="I121" i="6"/>
  <c r="E121" i="6"/>
  <c r="D121" i="6"/>
  <c r="A121" i="6"/>
  <c r="I120" i="6"/>
  <c r="E120" i="6"/>
  <c r="D120" i="6"/>
  <c r="A120" i="6"/>
  <c r="I119" i="6"/>
  <c r="E119" i="6"/>
  <c r="D119" i="6"/>
  <c r="A119" i="6"/>
  <c r="I118" i="6"/>
  <c r="E118" i="6"/>
  <c r="D118" i="6"/>
  <c r="A118" i="6"/>
  <c r="I117" i="6"/>
  <c r="E117" i="6"/>
  <c r="D117" i="6"/>
  <c r="A117" i="6"/>
  <c r="I116" i="6"/>
  <c r="E116" i="6"/>
  <c r="D116" i="6"/>
  <c r="A116" i="6"/>
  <c r="I115" i="6"/>
  <c r="E115" i="6"/>
  <c r="D115" i="6"/>
  <c r="A115" i="6"/>
  <c r="I114" i="6"/>
  <c r="E114" i="6"/>
  <c r="D114" i="6"/>
  <c r="A114" i="6"/>
  <c r="I113" i="6"/>
  <c r="E113" i="6"/>
  <c r="D113" i="6"/>
  <c r="A113" i="6"/>
  <c r="I112" i="6"/>
  <c r="E112" i="6"/>
  <c r="D112" i="6"/>
  <c r="A112" i="6"/>
  <c r="I111" i="6"/>
  <c r="E111" i="6"/>
  <c r="D111" i="6"/>
  <c r="A111" i="6"/>
  <c r="I110" i="6"/>
  <c r="E110" i="6"/>
  <c r="D110" i="6"/>
  <c r="A110" i="6"/>
  <c r="I109" i="6"/>
  <c r="E109" i="6"/>
  <c r="D109" i="6"/>
  <c r="A109" i="6"/>
  <c r="I108" i="6"/>
  <c r="E108" i="6"/>
  <c r="D108" i="6"/>
  <c r="A108" i="6"/>
  <c r="I107" i="6"/>
  <c r="E107" i="6"/>
  <c r="D107" i="6"/>
  <c r="A107" i="6"/>
  <c r="I106" i="6"/>
  <c r="E106" i="6"/>
  <c r="D106" i="6"/>
  <c r="A106" i="6"/>
  <c r="I105" i="6"/>
  <c r="E105" i="6"/>
  <c r="D105" i="6"/>
  <c r="A105" i="6"/>
  <c r="I104" i="6"/>
  <c r="E104" i="6"/>
  <c r="D104" i="6"/>
  <c r="A104" i="6"/>
  <c r="I103" i="6"/>
  <c r="E103" i="6"/>
  <c r="D103" i="6"/>
  <c r="A103" i="6"/>
  <c r="I102" i="6"/>
  <c r="E102" i="6"/>
  <c r="D102" i="6"/>
  <c r="A102" i="6"/>
  <c r="I101" i="6"/>
  <c r="E101" i="6"/>
  <c r="D101" i="6"/>
  <c r="A101" i="6"/>
  <c r="I100" i="6"/>
  <c r="E100" i="6"/>
  <c r="D100" i="6"/>
  <c r="A100" i="6"/>
  <c r="I99" i="6"/>
  <c r="E99" i="6"/>
  <c r="D99" i="6"/>
  <c r="A99" i="6"/>
  <c r="I98" i="6"/>
  <c r="E98" i="6"/>
  <c r="D98" i="6"/>
  <c r="A98" i="6"/>
  <c r="I97" i="6"/>
  <c r="E97" i="6"/>
  <c r="D97" i="6"/>
  <c r="A97" i="6"/>
  <c r="I96" i="6"/>
  <c r="E96" i="6"/>
  <c r="D96" i="6"/>
  <c r="A96" i="6"/>
  <c r="I95" i="6"/>
  <c r="E95" i="6"/>
  <c r="D95" i="6"/>
  <c r="A95" i="6"/>
  <c r="I94" i="6"/>
  <c r="E94" i="6"/>
  <c r="D94" i="6"/>
  <c r="A94" i="6"/>
  <c r="I93" i="6"/>
  <c r="E93" i="6"/>
  <c r="D93" i="6"/>
  <c r="A93" i="6"/>
  <c r="I92" i="6"/>
  <c r="E92" i="6"/>
  <c r="D92" i="6"/>
  <c r="A92" i="6"/>
  <c r="I91" i="6"/>
  <c r="E91" i="6"/>
  <c r="D91" i="6"/>
  <c r="A91" i="6"/>
  <c r="I90" i="6"/>
  <c r="E90" i="6"/>
  <c r="D90" i="6"/>
  <c r="A90" i="6"/>
  <c r="I89" i="6"/>
  <c r="E89" i="6"/>
  <c r="D89" i="6"/>
  <c r="A89" i="6"/>
  <c r="I88" i="6"/>
  <c r="E88" i="6"/>
  <c r="D88" i="6"/>
  <c r="A88" i="6"/>
  <c r="I87" i="6"/>
  <c r="E87" i="6"/>
  <c r="D87" i="6"/>
  <c r="A87" i="6"/>
  <c r="I86" i="6"/>
  <c r="E86" i="6"/>
  <c r="D86" i="6"/>
  <c r="A86" i="6"/>
  <c r="I85" i="6"/>
  <c r="E85" i="6"/>
  <c r="D85" i="6"/>
  <c r="A85" i="6"/>
  <c r="I84" i="6"/>
  <c r="E84" i="6"/>
  <c r="D84" i="6"/>
  <c r="A84" i="6"/>
  <c r="I83" i="6"/>
  <c r="E83" i="6"/>
  <c r="D83" i="6"/>
  <c r="A83" i="6"/>
  <c r="I82" i="6"/>
  <c r="E82" i="6"/>
  <c r="D82" i="6"/>
  <c r="A82" i="6"/>
  <c r="I81" i="6"/>
  <c r="E81" i="6"/>
  <c r="D81" i="6"/>
  <c r="A81" i="6"/>
  <c r="I80" i="6"/>
  <c r="E80" i="6"/>
  <c r="D80" i="6"/>
  <c r="A80" i="6"/>
  <c r="I79" i="6"/>
  <c r="E79" i="6"/>
  <c r="D79" i="6"/>
  <c r="A79" i="6"/>
  <c r="I78" i="6"/>
  <c r="E78" i="6"/>
  <c r="D78" i="6"/>
  <c r="A78" i="6"/>
  <c r="I77" i="6"/>
  <c r="E77" i="6"/>
  <c r="D77" i="6"/>
  <c r="A77" i="6"/>
  <c r="I76" i="6"/>
  <c r="E76" i="6"/>
  <c r="D76" i="6"/>
  <c r="A76" i="6"/>
  <c r="I75" i="6"/>
  <c r="E75" i="6"/>
  <c r="D75" i="6"/>
  <c r="A75" i="6"/>
  <c r="I74" i="6"/>
  <c r="E74" i="6"/>
  <c r="D74" i="6"/>
  <c r="A74" i="6"/>
  <c r="I73" i="6"/>
  <c r="E73" i="6"/>
  <c r="D73" i="6"/>
  <c r="A73" i="6"/>
  <c r="I72" i="6"/>
  <c r="E72" i="6"/>
  <c r="D72" i="6"/>
  <c r="A72" i="6"/>
  <c r="I71" i="6"/>
  <c r="E71" i="6"/>
  <c r="D71" i="6"/>
  <c r="A71" i="6"/>
  <c r="I70" i="6"/>
  <c r="E70" i="6"/>
  <c r="D70" i="6"/>
  <c r="A70" i="6"/>
  <c r="I69" i="6"/>
  <c r="E69" i="6"/>
  <c r="D69" i="6"/>
  <c r="A69" i="6"/>
  <c r="I68" i="6"/>
  <c r="E68" i="6"/>
  <c r="D68" i="6"/>
  <c r="A68" i="6"/>
  <c r="I67" i="6"/>
  <c r="E67" i="6"/>
  <c r="D67" i="6"/>
  <c r="A67" i="6"/>
  <c r="I66" i="6"/>
  <c r="E66" i="6"/>
  <c r="D66" i="6"/>
  <c r="A66" i="6"/>
  <c r="I65" i="6"/>
  <c r="E65" i="6"/>
  <c r="D65" i="6"/>
  <c r="A65" i="6"/>
  <c r="I64" i="6"/>
  <c r="E64" i="6"/>
  <c r="D64" i="6"/>
  <c r="A64" i="6"/>
  <c r="I63" i="6"/>
  <c r="E63" i="6"/>
  <c r="D63" i="6"/>
  <c r="A63" i="6"/>
  <c r="I62" i="6"/>
  <c r="E62" i="6"/>
  <c r="D62" i="6"/>
  <c r="A62" i="6"/>
  <c r="I61" i="6"/>
  <c r="E61" i="6"/>
  <c r="D61" i="6"/>
  <c r="A61" i="6"/>
  <c r="I60" i="6"/>
  <c r="E60" i="6"/>
  <c r="D60" i="6"/>
  <c r="A60" i="6"/>
  <c r="I59" i="6"/>
  <c r="E59" i="6"/>
  <c r="D59" i="6"/>
  <c r="A59" i="6"/>
  <c r="I58" i="6"/>
  <c r="E58" i="6"/>
  <c r="D58" i="6"/>
  <c r="A58" i="6"/>
  <c r="I57" i="6"/>
  <c r="E57" i="6"/>
  <c r="D57" i="6"/>
  <c r="A57" i="6"/>
  <c r="I56" i="6"/>
  <c r="E56" i="6"/>
  <c r="D56" i="6"/>
  <c r="A56" i="6"/>
  <c r="I55" i="6"/>
  <c r="E55" i="6"/>
  <c r="D55" i="6"/>
  <c r="A55" i="6"/>
  <c r="I54" i="6"/>
  <c r="E54" i="6"/>
  <c r="D54" i="6"/>
  <c r="A54" i="6"/>
  <c r="I53" i="6"/>
  <c r="E53" i="6"/>
  <c r="D53" i="6"/>
  <c r="A53" i="6"/>
  <c r="I52" i="6"/>
  <c r="E52" i="6"/>
  <c r="D52" i="6"/>
  <c r="A52" i="6"/>
  <c r="I51" i="6"/>
  <c r="E51" i="6"/>
  <c r="D51" i="6"/>
  <c r="A51" i="6"/>
  <c r="I50" i="6"/>
  <c r="E50" i="6"/>
  <c r="D50" i="6"/>
  <c r="A50" i="6"/>
  <c r="I49" i="6"/>
  <c r="E49" i="6"/>
  <c r="D49" i="6"/>
  <c r="A49" i="6"/>
  <c r="I48" i="6"/>
  <c r="E48" i="6"/>
  <c r="D48" i="6"/>
  <c r="A48" i="6"/>
  <c r="I47" i="6"/>
  <c r="E47" i="6"/>
  <c r="D47" i="6"/>
  <c r="A47" i="6"/>
  <c r="I46" i="6"/>
  <c r="E46" i="6"/>
  <c r="D46" i="6"/>
  <c r="A46" i="6"/>
  <c r="I45" i="6"/>
  <c r="E45" i="6"/>
  <c r="D45" i="6"/>
  <c r="A45" i="6"/>
  <c r="I44" i="6"/>
  <c r="E44" i="6"/>
  <c r="D44" i="6"/>
  <c r="A44" i="6"/>
  <c r="I43" i="6"/>
  <c r="E43" i="6"/>
  <c r="D43" i="6"/>
  <c r="A43" i="6"/>
  <c r="I42" i="6"/>
  <c r="E42" i="6"/>
  <c r="D42" i="6"/>
  <c r="A42" i="6"/>
  <c r="I41" i="6"/>
  <c r="E41" i="6"/>
  <c r="D41" i="6"/>
  <c r="A41" i="6"/>
  <c r="I40" i="6"/>
  <c r="E40" i="6"/>
  <c r="D40" i="6"/>
  <c r="A40" i="6"/>
  <c r="I39" i="6"/>
  <c r="E39" i="6"/>
  <c r="D39" i="6"/>
  <c r="A39" i="6"/>
  <c r="I38" i="6"/>
  <c r="E38" i="6"/>
  <c r="D38" i="6"/>
  <c r="A38" i="6"/>
  <c r="I37" i="6"/>
  <c r="E37" i="6"/>
  <c r="D37" i="6"/>
  <c r="A37" i="6"/>
  <c r="I36" i="6"/>
  <c r="E36" i="6"/>
  <c r="D36" i="6"/>
  <c r="A36" i="6"/>
  <c r="I35" i="6"/>
  <c r="E35" i="6"/>
  <c r="D35" i="6"/>
  <c r="A35" i="6"/>
  <c r="I34" i="6"/>
  <c r="E34" i="6"/>
  <c r="D34" i="6"/>
  <c r="A34" i="6"/>
  <c r="I33" i="6"/>
  <c r="E33" i="6"/>
  <c r="D33" i="6"/>
  <c r="A33" i="6"/>
  <c r="I32" i="6"/>
  <c r="E32" i="6"/>
  <c r="D32" i="6"/>
  <c r="A32" i="6"/>
  <c r="I31" i="6"/>
  <c r="E31" i="6"/>
  <c r="D31" i="6"/>
  <c r="A31" i="6"/>
  <c r="I30" i="6"/>
  <c r="E30" i="6"/>
  <c r="D30" i="6"/>
  <c r="A30" i="6"/>
  <c r="I29" i="6"/>
  <c r="E29" i="6"/>
  <c r="D29" i="6"/>
  <c r="A29" i="6"/>
  <c r="I28" i="6"/>
  <c r="E28" i="6"/>
  <c r="D28" i="6"/>
  <c r="A28" i="6"/>
  <c r="I27" i="6"/>
  <c r="E27" i="6"/>
  <c r="D27" i="6"/>
  <c r="A27" i="6"/>
  <c r="I26" i="6"/>
  <c r="E26" i="6"/>
  <c r="D26" i="6"/>
  <c r="A26" i="6"/>
  <c r="I25" i="6"/>
  <c r="E25" i="6"/>
  <c r="D25" i="6"/>
  <c r="A25" i="6"/>
  <c r="I24" i="6"/>
  <c r="E24" i="6"/>
  <c r="D24" i="6"/>
  <c r="A24" i="6"/>
  <c r="I23" i="6"/>
  <c r="E23" i="6"/>
  <c r="D23" i="6"/>
  <c r="A23" i="6"/>
  <c r="I22" i="6"/>
  <c r="E22" i="6"/>
  <c r="D22" i="6"/>
  <c r="A22" i="6"/>
  <c r="I21" i="6"/>
  <c r="E21" i="6"/>
  <c r="D21" i="6"/>
  <c r="A21" i="6"/>
  <c r="I20" i="6"/>
  <c r="E20" i="6"/>
  <c r="D20" i="6"/>
  <c r="A20" i="6"/>
  <c r="I19" i="6"/>
  <c r="E19" i="6"/>
  <c r="D19" i="6"/>
  <c r="A19" i="6"/>
  <c r="I18" i="6"/>
  <c r="E18" i="6"/>
  <c r="D18" i="6"/>
  <c r="A18" i="6"/>
  <c r="I17" i="6"/>
  <c r="E17" i="6"/>
  <c r="D17" i="6"/>
  <c r="A17" i="6"/>
  <c r="I16" i="6"/>
  <c r="E16" i="6"/>
  <c r="D16" i="6"/>
  <c r="A16" i="6"/>
  <c r="I15" i="6"/>
  <c r="E15" i="6"/>
  <c r="D15" i="6"/>
  <c r="A15" i="6"/>
  <c r="I14" i="6"/>
  <c r="E14" i="6"/>
  <c r="D14" i="6"/>
  <c r="A14" i="6"/>
  <c r="I13" i="6"/>
  <c r="E13" i="6"/>
  <c r="D13" i="6"/>
  <c r="A13" i="6"/>
  <c r="I12" i="6"/>
  <c r="E12" i="6"/>
  <c r="D12" i="6"/>
  <c r="A12" i="6"/>
  <c r="I11" i="6"/>
  <c r="E11" i="6"/>
  <c r="D11" i="6"/>
  <c r="A11" i="6"/>
  <c r="I10" i="6"/>
  <c r="E10" i="6"/>
  <c r="D10" i="6"/>
  <c r="A10" i="6"/>
  <c r="I9" i="6"/>
  <c r="E9" i="6"/>
  <c r="D9" i="6"/>
  <c r="A9" i="6"/>
  <c r="I8" i="6"/>
  <c r="E8" i="6"/>
  <c r="D8" i="6"/>
  <c r="A8" i="6"/>
  <c r="I7" i="6"/>
  <c r="E7" i="6"/>
  <c r="D7" i="6"/>
  <c r="A7" i="6"/>
  <c r="I6" i="6"/>
  <c r="E6" i="6"/>
  <c r="D6" i="6"/>
  <c r="A6" i="6"/>
  <c r="I5" i="6"/>
  <c r="E5" i="6"/>
  <c r="D5" i="6"/>
  <c r="A5" i="6"/>
  <c r="H1004" i="5"/>
  <c r="I1004" i="5" s="1"/>
  <c r="F1004" i="5"/>
  <c r="E1004" i="5"/>
  <c r="D1004" i="5"/>
  <c r="A1004" i="5"/>
  <c r="H1003" i="5"/>
  <c r="I1003" i="5" s="1"/>
  <c r="F1003" i="5"/>
  <c r="E1003" i="5"/>
  <c r="D1003" i="5"/>
  <c r="A1003" i="5"/>
  <c r="H1002" i="5"/>
  <c r="I1002" i="5" s="1"/>
  <c r="F1002" i="5"/>
  <c r="E1002" i="5"/>
  <c r="D1002" i="5"/>
  <c r="A1002" i="5"/>
  <c r="H1001" i="5"/>
  <c r="I1001" i="5" s="1"/>
  <c r="F1001" i="5"/>
  <c r="E1001" i="5"/>
  <c r="D1001" i="5"/>
  <c r="A1001" i="5"/>
  <c r="H1000" i="5"/>
  <c r="I1000" i="5" s="1"/>
  <c r="F1000" i="5"/>
  <c r="E1000" i="5"/>
  <c r="D1000" i="5"/>
  <c r="A1000" i="5"/>
  <c r="H999" i="5"/>
  <c r="I999" i="5" s="1"/>
  <c r="F999" i="5"/>
  <c r="E999" i="5"/>
  <c r="D999" i="5"/>
  <c r="A999" i="5"/>
  <c r="H998" i="5"/>
  <c r="I998" i="5" s="1"/>
  <c r="F998" i="5"/>
  <c r="E998" i="5"/>
  <c r="D998" i="5"/>
  <c r="A998" i="5"/>
  <c r="H997" i="5"/>
  <c r="I997" i="5" s="1"/>
  <c r="F997" i="5"/>
  <c r="E997" i="5"/>
  <c r="D997" i="5"/>
  <c r="A997" i="5"/>
  <c r="H996" i="5"/>
  <c r="I996" i="5" s="1"/>
  <c r="F996" i="5"/>
  <c r="E996" i="5"/>
  <c r="D996" i="5"/>
  <c r="A996" i="5"/>
  <c r="H995" i="5"/>
  <c r="I995" i="5" s="1"/>
  <c r="F995" i="5"/>
  <c r="E995" i="5"/>
  <c r="D995" i="5"/>
  <c r="A995" i="5"/>
  <c r="H994" i="5"/>
  <c r="I994" i="5" s="1"/>
  <c r="F994" i="5"/>
  <c r="E994" i="5"/>
  <c r="D994" i="5"/>
  <c r="A994" i="5"/>
  <c r="H993" i="5"/>
  <c r="I993" i="5" s="1"/>
  <c r="F993" i="5"/>
  <c r="E993" i="5"/>
  <c r="D993" i="5"/>
  <c r="A993" i="5"/>
  <c r="H992" i="5"/>
  <c r="I992" i="5" s="1"/>
  <c r="F992" i="5"/>
  <c r="E992" i="5"/>
  <c r="D992" i="5"/>
  <c r="A992" i="5"/>
  <c r="H991" i="5"/>
  <c r="I991" i="5" s="1"/>
  <c r="F991" i="5"/>
  <c r="E991" i="5"/>
  <c r="D991" i="5"/>
  <c r="A991" i="5"/>
  <c r="H990" i="5"/>
  <c r="I990" i="5" s="1"/>
  <c r="F990" i="5"/>
  <c r="E990" i="5"/>
  <c r="D990" i="5"/>
  <c r="A990" i="5"/>
  <c r="H989" i="5"/>
  <c r="I989" i="5" s="1"/>
  <c r="F989" i="5"/>
  <c r="E989" i="5"/>
  <c r="D989" i="5"/>
  <c r="A989" i="5"/>
  <c r="H988" i="5"/>
  <c r="I988" i="5" s="1"/>
  <c r="F988" i="5"/>
  <c r="E988" i="5"/>
  <c r="D988" i="5"/>
  <c r="A988" i="5"/>
  <c r="H987" i="5"/>
  <c r="I987" i="5" s="1"/>
  <c r="F987" i="5"/>
  <c r="E987" i="5"/>
  <c r="D987" i="5"/>
  <c r="A987" i="5"/>
  <c r="H986" i="5"/>
  <c r="I986" i="5" s="1"/>
  <c r="F986" i="5"/>
  <c r="E986" i="5"/>
  <c r="D986" i="5"/>
  <c r="A986" i="5"/>
  <c r="H985" i="5"/>
  <c r="I985" i="5" s="1"/>
  <c r="F985" i="5"/>
  <c r="E985" i="5"/>
  <c r="D985" i="5"/>
  <c r="A985" i="5"/>
  <c r="H984" i="5"/>
  <c r="I984" i="5" s="1"/>
  <c r="F984" i="5"/>
  <c r="E984" i="5"/>
  <c r="D984" i="5"/>
  <c r="A984" i="5"/>
  <c r="H983" i="5"/>
  <c r="I983" i="5" s="1"/>
  <c r="F983" i="5"/>
  <c r="E983" i="5"/>
  <c r="D983" i="5"/>
  <c r="A983" i="5"/>
  <c r="H982" i="5"/>
  <c r="I982" i="5" s="1"/>
  <c r="F982" i="5"/>
  <c r="E982" i="5"/>
  <c r="D982" i="5"/>
  <c r="A982" i="5"/>
  <c r="H981" i="5"/>
  <c r="I981" i="5" s="1"/>
  <c r="F981" i="5"/>
  <c r="E981" i="5"/>
  <c r="D981" i="5"/>
  <c r="A981" i="5"/>
  <c r="H980" i="5"/>
  <c r="I980" i="5" s="1"/>
  <c r="F980" i="5"/>
  <c r="E980" i="5"/>
  <c r="D980" i="5"/>
  <c r="A980" i="5"/>
  <c r="H979" i="5"/>
  <c r="I979" i="5" s="1"/>
  <c r="F979" i="5"/>
  <c r="E979" i="5"/>
  <c r="D979" i="5"/>
  <c r="A979" i="5"/>
  <c r="H978" i="5"/>
  <c r="I978" i="5" s="1"/>
  <c r="F978" i="5"/>
  <c r="E978" i="5"/>
  <c r="D978" i="5"/>
  <c r="A978" i="5"/>
  <c r="H977" i="5"/>
  <c r="I977" i="5" s="1"/>
  <c r="F977" i="5"/>
  <c r="E977" i="5"/>
  <c r="D977" i="5"/>
  <c r="A977" i="5"/>
  <c r="H976" i="5"/>
  <c r="I976" i="5" s="1"/>
  <c r="F976" i="5"/>
  <c r="E976" i="5"/>
  <c r="D976" i="5"/>
  <c r="A976" i="5"/>
  <c r="H975" i="5"/>
  <c r="I975" i="5" s="1"/>
  <c r="F975" i="5"/>
  <c r="E975" i="5"/>
  <c r="D975" i="5"/>
  <c r="A975" i="5"/>
  <c r="H974" i="5"/>
  <c r="I974" i="5" s="1"/>
  <c r="F974" i="5"/>
  <c r="E974" i="5"/>
  <c r="D974" i="5"/>
  <c r="A974" i="5"/>
  <c r="H973" i="5"/>
  <c r="I973" i="5" s="1"/>
  <c r="F973" i="5"/>
  <c r="E973" i="5"/>
  <c r="D973" i="5"/>
  <c r="A973" i="5"/>
  <c r="H972" i="5"/>
  <c r="I972" i="5" s="1"/>
  <c r="F972" i="5"/>
  <c r="E972" i="5"/>
  <c r="D972" i="5"/>
  <c r="A972" i="5"/>
  <c r="H971" i="5"/>
  <c r="I971" i="5" s="1"/>
  <c r="F971" i="5"/>
  <c r="E971" i="5"/>
  <c r="D971" i="5"/>
  <c r="A971" i="5"/>
  <c r="H970" i="5"/>
  <c r="I970" i="5" s="1"/>
  <c r="F970" i="5"/>
  <c r="E970" i="5"/>
  <c r="D970" i="5"/>
  <c r="A970" i="5"/>
  <c r="H969" i="5"/>
  <c r="I969" i="5" s="1"/>
  <c r="F969" i="5"/>
  <c r="E969" i="5"/>
  <c r="D969" i="5"/>
  <c r="A969" i="5"/>
  <c r="H968" i="5"/>
  <c r="I968" i="5" s="1"/>
  <c r="F968" i="5"/>
  <c r="E968" i="5"/>
  <c r="D968" i="5"/>
  <c r="A968" i="5"/>
  <c r="H967" i="5"/>
  <c r="I967" i="5" s="1"/>
  <c r="F967" i="5"/>
  <c r="E967" i="5"/>
  <c r="D967" i="5"/>
  <c r="A967" i="5"/>
  <c r="H966" i="5"/>
  <c r="I966" i="5" s="1"/>
  <c r="F966" i="5"/>
  <c r="E966" i="5"/>
  <c r="D966" i="5"/>
  <c r="A966" i="5"/>
  <c r="H965" i="5"/>
  <c r="I965" i="5" s="1"/>
  <c r="F965" i="5"/>
  <c r="E965" i="5"/>
  <c r="D965" i="5"/>
  <c r="A965" i="5"/>
  <c r="H964" i="5"/>
  <c r="I964" i="5" s="1"/>
  <c r="F964" i="5"/>
  <c r="E964" i="5"/>
  <c r="D964" i="5"/>
  <c r="A964" i="5"/>
  <c r="H963" i="5"/>
  <c r="I963" i="5" s="1"/>
  <c r="F963" i="5"/>
  <c r="E963" i="5"/>
  <c r="D963" i="5"/>
  <c r="A963" i="5"/>
  <c r="H962" i="5"/>
  <c r="I962" i="5" s="1"/>
  <c r="F962" i="5"/>
  <c r="E962" i="5"/>
  <c r="D962" i="5"/>
  <c r="A962" i="5"/>
  <c r="H961" i="5"/>
  <c r="I961" i="5" s="1"/>
  <c r="F961" i="5"/>
  <c r="E961" i="5"/>
  <c r="D961" i="5"/>
  <c r="A961" i="5"/>
  <c r="H960" i="5"/>
  <c r="I960" i="5" s="1"/>
  <c r="F960" i="5"/>
  <c r="E960" i="5"/>
  <c r="D960" i="5"/>
  <c r="A960" i="5"/>
  <c r="H959" i="5"/>
  <c r="I959" i="5" s="1"/>
  <c r="F959" i="5"/>
  <c r="E959" i="5"/>
  <c r="D959" i="5"/>
  <c r="A959" i="5"/>
  <c r="H958" i="5"/>
  <c r="I958" i="5" s="1"/>
  <c r="F958" i="5"/>
  <c r="E958" i="5"/>
  <c r="D958" i="5"/>
  <c r="A958" i="5"/>
  <c r="H957" i="5"/>
  <c r="I957" i="5" s="1"/>
  <c r="F957" i="5"/>
  <c r="E957" i="5"/>
  <c r="D957" i="5"/>
  <c r="A957" i="5"/>
  <c r="H956" i="5"/>
  <c r="I956" i="5" s="1"/>
  <c r="F956" i="5"/>
  <c r="E956" i="5"/>
  <c r="D956" i="5"/>
  <c r="A956" i="5"/>
  <c r="H955" i="5"/>
  <c r="I955" i="5" s="1"/>
  <c r="F955" i="5"/>
  <c r="E955" i="5"/>
  <c r="D955" i="5"/>
  <c r="A955" i="5"/>
  <c r="H954" i="5"/>
  <c r="I954" i="5" s="1"/>
  <c r="F954" i="5"/>
  <c r="E954" i="5"/>
  <c r="D954" i="5"/>
  <c r="A954" i="5"/>
  <c r="H953" i="5"/>
  <c r="I953" i="5" s="1"/>
  <c r="F953" i="5"/>
  <c r="E953" i="5"/>
  <c r="D953" i="5"/>
  <c r="A953" i="5"/>
  <c r="H952" i="5"/>
  <c r="I952" i="5" s="1"/>
  <c r="F952" i="5"/>
  <c r="E952" i="5"/>
  <c r="D952" i="5"/>
  <c r="A952" i="5"/>
  <c r="H951" i="5"/>
  <c r="I951" i="5" s="1"/>
  <c r="F951" i="5"/>
  <c r="E951" i="5"/>
  <c r="D951" i="5"/>
  <c r="A951" i="5"/>
  <c r="H950" i="5"/>
  <c r="I950" i="5" s="1"/>
  <c r="F950" i="5"/>
  <c r="E950" i="5"/>
  <c r="D950" i="5"/>
  <c r="A950" i="5"/>
  <c r="H949" i="5"/>
  <c r="I949" i="5" s="1"/>
  <c r="F949" i="5"/>
  <c r="E949" i="5"/>
  <c r="D949" i="5"/>
  <c r="A949" i="5"/>
  <c r="H948" i="5"/>
  <c r="I948" i="5" s="1"/>
  <c r="F948" i="5"/>
  <c r="E948" i="5"/>
  <c r="D948" i="5"/>
  <c r="A948" i="5"/>
  <c r="H947" i="5"/>
  <c r="I947" i="5" s="1"/>
  <c r="F947" i="5"/>
  <c r="E947" i="5"/>
  <c r="D947" i="5"/>
  <c r="A947" i="5"/>
  <c r="H946" i="5"/>
  <c r="I946" i="5" s="1"/>
  <c r="F946" i="5"/>
  <c r="E946" i="5"/>
  <c r="D946" i="5"/>
  <c r="A946" i="5"/>
  <c r="H945" i="5"/>
  <c r="I945" i="5" s="1"/>
  <c r="F945" i="5"/>
  <c r="E945" i="5"/>
  <c r="D945" i="5"/>
  <c r="A945" i="5"/>
  <c r="H944" i="5"/>
  <c r="I944" i="5" s="1"/>
  <c r="F944" i="5"/>
  <c r="E944" i="5"/>
  <c r="D944" i="5"/>
  <c r="A944" i="5"/>
  <c r="H943" i="5"/>
  <c r="I943" i="5" s="1"/>
  <c r="F943" i="5"/>
  <c r="E943" i="5"/>
  <c r="D943" i="5"/>
  <c r="A943" i="5"/>
  <c r="H942" i="5"/>
  <c r="I942" i="5" s="1"/>
  <c r="F942" i="5"/>
  <c r="E942" i="5"/>
  <c r="D942" i="5"/>
  <c r="A942" i="5"/>
  <c r="H941" i="5"/>
  <c r="I941" i="5" s="1"/>
  <c r="F941" i="5"/>
  <c r="E941" i="5"/>
  <c r="D941" i="5"/>
  <c r="A941" i="5"/>
  <c r="H940" i="5"/>
  <c r="I940" i="5" s="1"/>
  <c r="F940" i="5"/>
  <c r="E940" i="5"/>
  <c r="D940" i="5"/>
  <c r="A940" i="5"/>
  <c r="H939" i="5"/>
  <c r="I939" i="5" s="1"/>
  <c r="F939" i="5"/>
  <c r="E939" i="5"/>
  <c r="D939" i="5"/>
  <c r="A939" i="5"/>
  <c r="H938" i="5"/>
  <c r="I938" i="5" s="1"/>
  <c r="F938" i="5"/>
  <c r="E938" i="5"/>
  <c r="D938" i="5"/>
  <c r="A938" i="5"/>
  <c r="H937" i="5"/>
  <c r="I937" i="5" s="1"/>
  <c r="F937" i="5"/>
  <c r="E937" i="5"/>
  <c r="D937" i="5"/>
  <c r="A937" i="5"/>
  <c r="H936" i="5"/>
  <c r="I936" i="5" s="1"/>
  <c r="F936" i="5"/>
  <c r="E936" i="5"/>
  <c r="D936" i="5"/>
  <c r="A936" i="5"/>
  <c r="H935" i="5"/>
  <c r="I935" i="5" s="1"/>
  <c r="F935" i="5"/>
  <c r="E935" i="5"/>
  <c r="D935" i="5"/>
  <c r="A935" i="5"/>
  <c r="H934" i="5"/>
  <c r="I934" i="5" s="1"/>
  <c r="F934" i="5"/>
  <c r="E934" i="5"/>
  <c r="D934" i="5"/>
  <c r="A934" i="5"/>
  <c r="H933" i="5"/>
  <c r="I933" i="5" s="1"/>
  <c r="F933" i="5"/>
  <c r="E933" i="5"/>
  <c r="D933" i="5"/>
  <c r="A933" i="5"/>
  <c r="H932" i="5"/>
  <c r="I932" i="5" s="1"/>
  <c r="F932" i="5"/>
  <c r="E932" i="5"/>
  <c r="D932" i="5"/>
  <c r="A932" i="5"/>
  <c r="H931" i="5"/>
  <c r="I931" i="5" s="1"/>
  <c r="F931" i="5"/>
  <c r="E931" i="5"/>
  <c r="D931" i="5"/>
  <c r="A931" i="5"/>
  <c r="H930" i="5"/>
  <c r="I930" i="5" s="1"/>
  <c r="F930" i="5"/>
  <c r="E930" i="5"/>
  <c r="D930" i="5"/>
  <c r="A930" i="5"/>
  <c r="H929" i="5"/>
  <c r="I929" i="5" s="1"/>
  <c r="F929" i="5"/>
  <c r="E929" i="5"/>
  <c r="D929" i="5"/>
  <c r="A929" i="5"/>
  <c r="H928" i="5"/>
  <c r="I928" i="5" s="1"/>
  <c r="F928" i="5"/>
  <c r="E928" i="5"/>
  <c r="D928" i="5"/>
  <c r="A928" i="5"/>
  <c r="H927" i="5"/>
  <c r="I927" i="5" s="1"/>
  <c r="F927" i="5"/>
  <c r="E927" i="5"/>
  <c r="D927" i="5"/>
  <c r="A927" i="5"/>
  <c r="H926" i="5"/>
  <c r="I926" i="5" s="1"/>
  <c r="F926" i="5"/>
  <c r="E926" i="5"/>
  <c r="D926" i="5"/>
  <c r="A926" i="5"/>
  <c r="H925" i="5"/>
  <c r="I925" i="5" s="1"/>
  <c r="F925" i="5"/>
  <c r="E925" i="5"/>
  <c r="D925" i="5"/>
  <c r="A925" i="5"/>
  <c r="H924" i="5"/>
  <c r="I924" i="5" s="1"/>
  <c r="F924" i="5"/>
  <c r="E924" i="5"/>
  <c r="D924" i="5"/>
  <c r="A924" i="5"/>
  <c r="H923" i="5"/>
  <c r="I923" i="5" s="1"/>
  <c r="F923" i="5"/>
  <c r="E923" i="5"/>
  <c r="D923" i="5"/>
  <c r="A923" i="5"/>
  <c r="H922" i="5"/>
  <c r="I922" i="5" s="1"/>
  <c r="F922" i="5"/>
  <c r="E922" i="5"/>
  <c r="D922" i="5"/>
  <c r="A922" i="5"/>
  <c r="H921" i="5"/>
  <c r="I921" i="5" s="1"/>
  <c r="F921" i="5"/>
  <c r="E921" i="5"/>
  <c r="D921" i="5"/>
  <c r="A921" i="5"/>
  <c r="H920" i="5"/>
  <c r="I920" i="5" s="1"/>
  <c r="F920" i="5"/>
  <c r="E920" i="5"/>
  <c r="D920" i="5"/>
  <c r="A920" i="5"/>
  <c r="H919" i="5"/>
  <c r="I919" i="5" s="1"/>
  <c r="F919" i="5"/>
  <c r="E919" i="5"/>
  <c r="D919" i="5"/>
  <c r="A919" i="5"/>
  <c r="H918" i="5"/>
  <c r="I918" i="5" s="1"/>
  <c r="F918" i="5"/>
  <c r="E918" i="5"/>
  <c r="D918" i="5"/>
  <c r="A918" i="5"/>
  <c r="H917" i="5"/>
  <c r="I917" i="5" s="1"/>
  <c r="F917" i="5"/>
  <c r="E917" i="5"/>
  <c r="D917" i="5"/>
  <c r="A917" i="5"/>
  <c r="H916" i="5"/>
  <c r="I916" i="5" s="1"/>
  <c r="F916" i="5"/>
  <c r="E916" i="5"/>
  <c r="D916" i="5"/>
  <c r="A916" i="5"/>
  <c r="H915" i="5"/>
  <c r="I915" i="5" s="1"/>
  <c r="F915" i="5"/>
  <c r="E915" i="5"/>
  <c r="D915" i="5"/>
  <c r="A915" i="5"/>
  <c r="H914" i="5"/>
  <c r="I914" i="5" s="1"/>
  <c r="F914" i="5"/>
  <c r="E914" i="5"/>
  <c r="D914" i="5"/>
  <c r="A914" i="5"/>
  <c r="H913" i="5"/>
  <c r="I913" i="5" s="1"/>
  <c r="F913" i="5"/>
  <c r="E913" i="5"/>
  <c r="D913" i="5"/>
  <c r="A913" i="5"/>
  <c r="H912" i="5"/>
  <c r="I912" i="5" s="1"/>
  <c r="F912" i="5"/>
  <c r="E912" i="5"/>
  <c r="D912" i="5"/>
  <c r="A912" i="5"/>
  <c r="H911" i="5"/>
  <c r="I911" i="5" s="1"/>
  <c r="F911" i="5"/>
  <c r="E911" i="5"/>
  <c r="D911" i="5"/>
  <c r="A911" i="5"/>
  <c r="H910" i="5"/>
  <c r="I910" i="5" s="1"/>
  <c r="F910" i="5"/>
  <c r="E910" i="5"/>
  <c r="D910" i="5"/>
  <c r="A910" i="5"/>
  <c r="H909" i="5"/>
  <c r="I909" i="5" s="1"/>
  <c r="F909" i="5"/>
  <c r="E909" i="5"/>
  <c r="D909" i="5"/>
  <c r="A909" i="5"/>
  <c r="H908" i="5"/>
  <c r="I908" i="5" s="1"/>
  <c r="F908" i="5"/>
  <c r="E908" i="5"/>
  <c r="D908" i="5"/>
  <c r="A908" i="5"/>
  <c r="H907" i="5"/>
  <c r="I907" i="5" s="1"/>
  <c r="F907" i="5"/>
  <c r="E907" i="5"/>
  <c r="D907" i="5"/>
  <c r="A907" i="5"/>
  <c r="H906" i="5"/>
  <c r="I906" i="5" s="1"/>
  <c r="F906" i="5"/>
  <c r="E906" i="5"/>
  <c r="D906" i="5"/>
  <c r="A906" i="5"/>
  <c r="H905" i="5"/>
  <c r="I905" i="5" s="1"/>
  <c r="F905" i="5"/>
  <c r="E905" i="5"/>
  <c r="D905" i="5"/>
  <c r="A905" i="5"/>
  <c r="H904" i="5"/>
  <c r="I904" i="5" s="1"/>
  <c r="F904" i="5"/>
  <c r="E904" i="5"/>
  <c r="D904" i="5"/>
  <c r="A904" i="5"/>
  <c r="H903" i="5"/>
  <c r="I903" i="5" s="1"/>
  <c r="F903" i="5"/>
  <c r="E903" i="5"/>
  <c r="D903" i="5"/>
  <c r="A903" i="5"/>
  <c r="H902" i="5"/>
  <c r="I902" i="5" s="1"/>
  <c r="F902" i="5"/>
  <c r="E902" i="5"/>
  <c r="D902" i="5"/>
  <c r="A902" i="5"/>
  <c r="H901" i="5"/>
  <c r="I901" i="5" s="1"/>
  <c r="F901" i="5"/>
  <c r="E901" i="5"/>
  <c r="D901" i="5"/>
  <c r="A901" i="5"/>
  <c r="H900" i="5"/>
  <c r="I900" i="5" s="1"/>
  <c r="F900" i="5"/>
  <c r="E900" i="5"/>
  <c r="D900" i="5"/>
  <c r="A900" i="5"/>
  <c r="H899" i="5"/>
  <c r="I899" i="5" s="1"/>
  <c r="F899" i="5"/>
  <c r="E899" i="5"/>
  <c r="D899" i="5"/>
  <c r="A899" i="5"/>
  <c r="H898" i="5"/>
  <c r="I898" i="5" s="1"/>
  <c r="F898" i="5"/>
  <c r="E898" i="5"/>
  <c r="D898" i="5"/>
  <c r="A898" i="5"/>
  <c r="H897" i="5"/>
  <c r="I897" i="5" s="1"/>
  <c r="F897" i="5"/>
  <c r="E897" i="5"/>
  <c r="D897" i="5"/>
  <c r="A897" i="5"/>
  <c r="H896" i="5"/>
  <c r="I896" i="5" s="1"/>
  <c r="F896" i="5"/>
  <c r="E896" i="5"/>
  <c r="D896" i="5"/>
  <c r="A896" i="5"/>
  <c r="H895" i="5"/>
  <c r="I895" i="5" s="1"/>
  <c r="F895" i="5"/>
  <c r="E895" i="5"/>
  <c r="D895" i="5"/>
  <c r="A895" i="5"/>
  <c r="H894" i="5"/>
  <c r="I894" i="5" s="1"/>
  <c r="F894" i="5"/>
  <c r="E894" i="5"/>
  <c r="D894" i="5"/>
  <c r="A894" i="5"/>
  <c r="H893" i="5"/>
  <c r="I893" i="5" s="1"/>
  <c r="F893" i="5"/>
  <c r="E893" i="5"/>
  <c r="D893" i="5"/>
  <c r="A893" i="5"/>
  <c r="H892" i="5"/>
  <c r="I892" i="5" s="1"/>
  <c r="F892" i="5"/>
  <c r="E892" i="5"/>
  <c r="D892" i="5"/>
  <c r="A892" i="5"/>
  <c r="H891" i="5"/>
  <c r="I891" i="5" s="1"/>
  <c r="F891" i="5"/>
  <c r="E891" i="5"/>
  <c r="D891" i="5"/>
  <c r="A891" i="5"/>
  <c r="H890" i="5"/>
  <c r="I890" i="5" s="1"/>
  <c r="F890" i="5"/>
  <c r="E890" i="5"/>
  <c r="D890" i="5"/>
  <c r="A890" i="5"/>
  <c r="H889" i="5"/>
  <c r="I889" i="5" s="1"/>
  <c r="F889" i="5"/>
  <c r="E889" i="5"/>
  <c r="D889" i="5"/>
  <c r="A889" i="5"/>
  <c r="H888" i="5"/>
  <c r="I888" i="5" s="1"/>
  <c r="F888" i="5"/>
  <c r="E888" i="5"/>
  <c r="D888" i="5"/>
  <c r="A888" i="5"/>
  <c r="H887" i="5"/>
  <c r="I887" i="5" s="1"/>
  <c r="F887" i="5"/>
  <c r="E887" i="5"/>
  <c r="D887" i="5"/>
  <c r="A887" i="5"/>
  <c r="H886" i="5"/>
  <c r="I886" i="5" s="1"/>
  <c r="F886" i="5"/>
  <c r="E886" i="5"/>
  <c r="D886" i="5"/>
  <c r="A886" i="5"/>
  <c r="H885" i="5"/>
  <c r="I885" i="5" s="1"/>
  <c r="F885" i="5"/>
  <c r="E885" i="5"/>
  <c r="D885" i="5"/>
  <c r="A885" i="5"/>
  <c r="H884" i="5"/>
  <c r="I884" i="5" s="1"/>
  <c r="F884" i="5"/>
  <c r="E884" i="5"/>
  <c r="D884" i="5"/>
  <c r="A884" i="5"/>
  <c r="H883" i="5"/>
  <c r="I883" i="5" s="1"/>
  <c r="F883" i="5"/>
  <c r="E883" i="5"/>
  <c r="D883" i="5"/>
  <c r="A883" i="5"/>
  <c r="H882" i="5"/>
  <c r="I882" i="5" s="1"/>
  <c r="F882" i="5"/>
  <c r="E882" i="5"/>
  <c r="D882" i="5"/>
  <c r="A882" i="5"/>
  <c r="H881" i="5"/>
  <c r="I881" i="5" s="1"/>
  <c r="F881" i="5"/>
  <c r="E881" i="5"/>
  <c r="D881" i="5"/>
  <c r="A881" i="5"/>
  <c r="H880" i="5"/>
  <c r="I880" i="5" s="1"/>
  <c r="F880" i="5"/>
  <c r="E880" i="5"/>
  <c r="D880" i="5"/>
  <c r="A880" i="5"/>
  <c r="H879" i="5"/>
  <c r="I879" i="5" s="1"/>
  <c r="F879" i="5"/>
  <c r="E879" i="5"/>
  <c r="D879" i="5"/>
  <c r="A879" i="5"/>
  <c r="H878" i="5"/>
  <c r="I878" i="5" s="1"/>
  <c r="F878" i="5"/>
  <c r="E878" i="5"/>
  <c r="D878" i="5"/>
  <c r="A878" i="5"/>
  <c r="H877" i="5"/>
  <c r="I877" i="5" s="1"/>
  <c r="F877" i="5"/>
  <c r="E877" i="5"/>
  <c r="D877" i="5"/>
  <c r="A877" i="5"/>
  <c r="H876" i="5"/>
  <c r="I876" i="5" s="1"/>
  <c r="F876" i="5"/>
  <c r="E876" i="5"/>
  <c r="D876" i="5"/>
  <c r="A876" i="5"/>
  <c r="H875" i="5"/>
  <c r="I875" i="5" s="1"/>
  <c r="F875" i="5"/>
  <c r="E875" i="5"/>
  <c r="D875" i="5"/>
  <c r="A875" i="5"/>
  <c r="H874" i="5"/>
  <c r="I874" i="5" s="1"/>
  <c r="F874" i="5"/>
  <c r="E874" i="5"/>
  <c r="D874" i="5"/>
  <c r="A874" i="5"/>
  <c r="H873" i="5"/>
  <c r="I873" i="5" s="1"/>
  <c r="F873" i="5"/>
  <c r="E873" i="5"/>
  <c r="D873" i="5"/>
  <c r="A873" i="5"/>
  <c r="H872" i="5"/>
  <c r="I872" i="5" s="1"/>
  <c r="F872" i="5"/>
  <c r="E872" i="5"/>
  <c r="D872" i="5"/>
  <c r="A872" i="5"/>
  <c r="H871" i="5"/>
  <c r="I871" i="5" s="1"/>
  <c r="F871" i="5"/>
  <c r="E871" i="5"/>
  <c r="D871" i="5"/>
  <c r="A871" i="5"/>
  <c r="H870" i="5"/>
  <c r="I870" i="5" s="1"/>
  <c r="F870" i="5"/>
  <c r="E870" i="5"/>
  <c r="D870" i="5"/>
  <c r="A870" i="5"/>
  <c r="H869" i="5"/>
  <c r="I869" i="5" s="1"/>
  <c r="F869" i="5"/>
  <c r="E869" i="5"/>
  <c r="D869" i="5"/>
  <c r="A869" i="5"/>
  <c r="H868" i="5"/>
  <c r="I868" i="5" s="1"/>
  <c r="F868" i="5"/>
  <c r="E868" i="5"/>
  <c r="D868" i="5"/>
  <c r="A868" i="5"/>
  <c r="H867" i="5"/>
  <c r="I867" i="5" s="1"/>
  <c r="F867" i="5"/>
  <c r="E867" i="5"/>
  <c r="D867" i="5"/>
  <c r="A867" i="5"/>
  <c r="H866" i="5"/>
  <c r="I866" i="5" s="1"/>
  <c r="F866" i="5"/>
  <c r="E866" i="5"/>
  <c r="D866" i="5"/>
  <c r="A866" i="5"/>
  <c r="H865" i="5"/>
  <c r="I865" i="5" s="1"/>
  <c r="F865" i="5"/>
  <c r="E865" i="5"/>
  <c r="D865" i="5"/>
  <c r="A865" i="5"/>
  <c r="H864" i="5"/>
  <c r="I864" i="5" s="1"/>
  <c r="F864" i="5"/>
  <c r="E864" i="5"/>
  <c r="D864" i="5"/>
  <c r="A864" i="5"/>
  <c r="H863" i="5"/>
  <c r="I863" i="5" s="1"/>
  <c r="F863" i="5"/>
  <c r="E863" i="5"/>
  <c r="D863" i="5"/>
  <c r="A863" i="5"/>
  <c r="H862" i="5"/>
  <c r="I862" i="5" s="1"/>
  <c r="F862" i="5"/>
  <c r="E862" i="5"/>
  <c r="D862" i="5"/>
  <c r="A862" i="5"/>
  <c r="H861" i="5"/>
  <c r="I861" i="5" s="1"/>
  <c r="F861" i="5"/>
  <c r="E861" i="5"/>
  <c r="D861" i="5"/>
  <c r="A861" i="5"/>
  <c r="H860" i="5"/>
  <c r="I860" i="5" s="1"/>
  <c r="F860" i="5"/>
  <c r="E860" i="5"/>
  <c r="D860" i="5"/>
  <c r="A860" i="5"/>
  <c r="H859" i="5"/>
  <c r="I859" i="5" s="1"/>
  <c r="F859" i="5"/>
  <c r="E859" i="5"/>
  <c r="D859" i="5"/>
  <c r="A859" i="5"/>
  <c r="H858" i="5"/>
  <c r="I858" i="5" s="1"/>
  <c r="F858" i="5"/>
  <c r="E858" i="5"/>
  <c r="D858" i="5"/>
  <c r="A858" i="5"/>
  <c r="H857" i="5"/>
  <c r="I857" i="5" s="1"/>
  <c r="F857" i="5"/>
  <c r="E857" i="5"/>
  <c r="D857" i="5"/>
  <c r="A857" i="5"/>
  <c r="H856" i="5"/>
  <c r="I856" i="5" s="1"/>
  <c r="F856" i="5"/>
  <c r="E856" i="5"/>
  <c r="D856" i="5"/>
  <c r="A856" i="5"/>
  <c r="H855" i="5"/>
  <c r="I855" i="5" s="1"/>
  <c r="F855" i="5"/>
  <c r="E855" i="5"/>
  <c r="D855" i="5"/>
  <c r="A855" i="5"/>
  <c r="H854" i="5"/>
  <c r="I854" i="5" s="1"/>
  <c r="F854" i="5"/>
  <c r="E854" i="5"/>
  <c r="D854" i="5"/>
  <c r="A854" i="5"/>
  <c r="H853" i="5"/>
  <c r="I853" i="5" s="1"/>
  <c r="F853" i="5"/>
  <c r="E853" i="5"/>
  <c r="D853" i="5"/>
  <c r="A853" i="5"/>
  <c r="H852" i="5"/>
  <c r="I852" i="5" s="1"/>
  <c r="F852" i="5"/>
  <c r="E852" i="5"/>
  <c r="D852" i="5"/>
  <c r="A852" i="5"/>
  <c r="H851" i="5"/>
  <c r="I851" i="5" s="1"/>
  <c r="F851" i="5"/>
  <c r="E851" i="5"/>
  <c r="D851" i="5"/>
  <c r="A851" i="5"/>
  <c r="H850" i="5"/>
  <c r="I850" i="5" s="1"/>
  <c r="F850" i="5"/>
  <c r="E850" i="5"/>
  <c r="D850" i="5"/>
  <c r="A850" i="5"/>
  <c r="H849" i="5"/>
  <c r="I849" i="5" s="1"/>
  <c r="F849" i="5"/>
  <c r="E849" i="5"/>
  <c r="D849" i="5"/>
  <c r="A849" i="5"/>
  <c r="H848" i="5"/>
  <c r="I848" i="5" s="1"/>
  <c r="F848" i="5"/>
  <c r="E848" i="5"/>
  <c r="D848" i="5"/>
  <c r="A848" i="5"/>
  <c r="H847" i="5"/>
  <c r="I847" i="5" s="1"/>
  <c r="F847" i="5"/>
  <c r="E847" i="5"/>
  <c r="D847" i="5"/>
  <c r="A847" i="5"/>
  <c r="H846" i="5"/>
  <c r="I846" i="5" s="1"/>
  <c r="F846" i="5"/>
  <c r="E846" i="5"/>
  <c r="D846" i="5"/>
  <c r="A846" i="5"/>
  <c r="H845" i="5"/>
  <c r="I845" i="5" s="1"/>
  <c r="F845" i="5"/>
  <c r="E845" i="5"/>
  <c r="D845" i="5"/>
  <c r="A845" i="5"/>
  <c r="H844" i="5"/>
  <c r="I844" i="5" s="1"/>
  <c r="F844" i="5"/>
  <c r="E844" i="5"/>
  <c r="D844" i="5"/>
  <c r="A844" i="5"/>
  <c r="H843" i="5"/>
  <c r="I843" i="5" s="1"/>
  <c r="F843" i="5"/>
  <c r="E843" i="5"/>
  <c r="D843" i="5"/>
  <c r="A843" i="5"/>
  <c r="H842" i="5"/>
  <c r="I842" i="5" s="1"/>
  <c r="F842" i="5"/>
  <c r="E842" i="5"/>
  <c r="D842" i="5"/>
  <c r="A842" i="5"/>
  <c r="H841" i="5"/>
  <c r="I841" i="5" s="1"/>
  <c r="F841" i="5"/>
  <c r="E841" i="5"/>
  <c r="D841" i="5"/>
  <c r="A841" i="5"/>
  <c r="H840" i="5"/>
  <c r="I840" i="5" s="1"/>
  <c r="F840" i="5"/>
  <c r="E840" i="5"/>
  <c r="D840" i="5"/>
  <c r="A840" i="5"/>
  <c r="H839" i="5"/>
  <c r="I839" i="5" s="1"/>
  <c r="F839" i="5"/>
  <c r="E839" i="5"/>
  <c r="D839" i="5"/>
  <c r="A839" i="5"/>
  <c r="H838" i="5"/>
  <c r="I838" i="5" s="1"/>
  <c r="F838" i="5"/>
  <c r="E838" i="5"/>
  <c r="D838" i="5"/>
  <c r="A838" i="5"/>
  <c r="H837" i="5"/>
  <c r="I837" i="5" s="1"/>
  <c r="F837" i="5"/>
  <c r="E837" i="5"/>
  <c r="D837" i="5"/>
  <c r="A837" i="5"/>
  <c r="H836" i="5"/>
  <c r="I836" i="5" s="1"/>
  <c r="F836" i="5"/>
  <c r="E836" i="5"/>
  <c r="D836" i="5"/>
  <c r="A836" i="5"/>
  <c r="H835" i="5"/>
  <c r="I835" i="5" s="1"/>
  <c r="F835" i="5"/>
  <c r="E835" i="5"/>
  <c r="D835" i="5"/>
  <c r="A835" i="5"/>
  <c r="H834" i="5"/>
  <c r="I834" i="5" s="1"/>
  <c r="F834" i="5"/>
  <c r="E834" i="5"/>
  <c r="D834" i="5"/>
  <c r="A834" i="5"/>
  <c r="H833" i="5"/>
  <c r="I833" i="5" s="1"/>
  <c r="F833" i="5"/>
  <c r="E833" i="5"/>
  <c r="D833" i="5"/>
  <c r="A833" i="5"/>
  <c r="H832" i="5"/>
  <c r="I832" i="5" s="1"/>
  <c r="F832" i="5"/>
  <c r="E832" i="5"/>
  <c r="D832" i="5"/>
  <c r="A832" i="5"/>
  <c r="H831" i="5"/>
  <c r="I831" i="5" s="1"/>
  <c r="F831" i="5"/>
  <c r="E831" i="5"/>
  <c r="D831" i="5"/>
  <c r="A831" i="5"/>
  <c r="H830" i="5"/>
  <c r="I830" i="5" s="1"/>
  <c r="F830" i="5"/>
  <c r="E830" i="5"/>
  <c r="D830" i="5"/>
  <c r="A830" i="5"/>
  <c r="H829" i="5"/>
  <c r="I829" i="5" s="1"/>
  <c r="F829" i="5"/>
  <c r="E829" i="5"/>
  <c r="D829" i="5"/>
  <c r="A829" i="5"/>
  <c r="H828" i="5"/>
  <c r="I828" i="5" s="1"/>
  <c r="F828" i="5"/>
  <c r="E828" i="5"/>
  <c r="D828" i="5"/>
  <c r="A828" i="5"/>
  <c r="H827" i="5"/>
  <c r="I827" i="5" s="1"/>
  <c r="F827" i="5"/>
  <c r="E827" i="5"/>
  <c r="D827" i="5"/>
  <c r="A827" i="5"/>
  <c r="H826" i="5"/>
  <c r="I826" i="5" s="1"/>
  <c r="F826" i="5"/>
  <c r="E826" i="5"/>
  <c r="D826" i="5"/>
  <c r="A826" i="5"/>
  <c r="H825" i="5"/>
  <c r="I825" i="5" s="1"/>
  <c r="F825" i="5"/>
  <c r="E825" i="5"/>
  <c r="D825" i="5"/>
  <c r="A825" i="5"/>
  <c r="H824" i="5"/>
  <c r="I824" i="5" s="1"/>
  <c r="F824" i="5"/>
  <c r="E824" i="5"/>
  <c r="D824" i="5"/>
  <c r="A824" i="5"/>
  <c r="H823" i="5"/>
  <c r="I823" i="5" s="1"/>
  <c r="F823" i="5"/>
  <c r="E823" i="5"/>
  <c r="D823" i="5"/>
  <c r="A823" i="5"/>
  <c r="H822" i="5"/>
  <c r="I822" i="5" s="1"/>
  <c r="F822" i="5"/>
  <c r="E822" i="5"/>
  <c r="D822" i="5"/>
  <c r="A822" i="5"/>
  <c r="H821" i="5"/>
  <c r="I821" i="5" s="1"/>
  <c r="F821" i="5"/>
  <c r="E821" i="5"/>
  <c r="D821" i="5"/>
  <c r="A821" i="5"/>
  <c r="H820" i="5"/>
  <c r="I820" i="5" s="1"/>
  <c r="F820" i="5"/>
  <c r="E820" i="5"/>
  <c r="D820" i="5"/>
  <c r="A820" i="5"/>
  <c r="H819" i="5"/>
  <c r="I819" i="5" s="1"/>
  <c r="F819" i="5"/>
  <c r="E819" i="5"/>
  <c r="D819" i="5"/>
  <c r="A819" i="5"/>
  <c r="H818" i="5"/>
  <c r="I818" i="5" s="1"/>
  <c r="F818" i="5"/>
  <c r="E818" i="5"/>
  <c r="D818" i="5"/>
  <c r="A818" i="5"/>
  <c r="H817" i="5"/>
  <c r="I817" i="5" s="1"/>
  <c r="F817" i="5"/>
  <c r="E817" i="5"/>
  <c r="D817" i="5"/>
  <c r="A817" i="5"/>
  <c r="H816" i="5"/>
  <c r="I816" i="5" s="1"/>
  <c r="F816" i="5"/>
  <c r="E816" i="5"/>
  <c r="D816" i="5"/>
  <c r="A816" i="5"/>
  <c r="H815" i="5"/>
  <c r="I815" i="5" s="1"/>
  <c r="F815" i="5"/>
  <c r="E815" i="5"/>
  <c r="D815" i="5"/>
  <c r="A815" i="5"/>
  <c r="H814" i="5"/>
  <c r="I814" i="5" s="1"/>
  <c r="F814" i="5"/>
  <c r="E814" i="5"/>
  <c r="D814" i="5"/>
  <c r="A814" i="5"/>
  <c r="H813" i="5"/>
  <c r="I813" i="5" s="1"/>
  <c r="F813" i="5"/>
  <c r="E813" i="5"/>
  <c r="D813" i="5"/>
  <c r="A813" i="5"/>
  <c r="H812" i="5"/>
  <c r="I812" i="5" s="1"/>
  <c r="F812" i="5"/>
  <c r="E812" i="5"/>
  <c r="D812" i="5"/>
  <c r="A812" i="5"/>
  <c r="H811" i="5"/>
  <c r="I811" i="5" s="1"/>
  <c r="F811" i="5"/>
  <c r="E811" i="5"/>
  <c r="D811" i="5"/>
  <c r="A811" i="5"/>
  <c r="H810" i="5"/>
  <c r="I810" i="5" s="1"/>
  <c r="F810" i="5"/>
  <c r="E810" i="5"/>
  <c r="D810" i="5"/>
  <c r="A810" i="5"/>
  <c r="H809" i="5"/>
  <c r="I809" i="5" s="1"/>
  <c r="F809" i="5"/>
  <c r="E809" i="5"/>
  <c r="D809" i="5"/>
  <c r="A809" i="5"/>
  <c r="H808" i="5"/>
  <c r="I808" i="5" s="1"/>
  <c r="F808" i="5"/>
  <c r="E808" i="5"/>
  <c r="D808" i="5"/>
  <c r="A808" i="5"/>
  <c r="H807" i="5"/>
  <c r="I807" i="5" s="1"/>
  <c r="F807" i="5"/>
  <c r="E807" i="5"/>
  <c r="D807" i="5"/>
  <c r="A807" i="5"/>
  <c r="H806" i="5"/>
  <c r="I806" i="5" s="1"/>
  <c r="F806" i="5"/>
  <c r="E806" i="5"/>
  <c r="D806" i="5"/>
  <c r="A806" i="5"/>
  <c r="H805" i="5"/>
  <c r="I805" i="5" s="1"/>
  <c r="F805" i="5"/>
  <c r="E805" i="5"/>
  <c r="D805" i="5"/>
  <c r="A805" i="5"/>
  <c r="H804" i="5"/>
  <c r="I804" i="5" s="1"/>
  <c r="F804" i="5"/>
  <c r="E804" i="5"/>
  <c r="D804" i="5"/>
  <c r="A804" i="5"/>
  <c r="H803" i="5"/>
  <c r="I803" i="5" s="1"/>
  <c r="F803" i="5"/>
  <c r="E803" i="5"/>
  <c r="D803" i="5"/>
  <c r="A803" i="5"/>
  <c r="H802" i="5"/>
  <c r="I802" i="5" s="1"/>
  <c r="F802" i="5"/>
  <c r="E802" i="5"/>
  <c r="D802" i="5"/>
  <c r="A802" i="5"/>
  <c r="H801" i="5"/>
  <c r="I801" i="5" s="1"/>
  <c r="F801" i="5"/>
  <c r="E801" i="5"/>
  <c r="D801" i="5"/>
  <c r="A801" i="5"/>
  <c r="H800" i="5"/>
  <c r="I800" i="5" s="1"/>
  <c r="F800" i="5"/>
  <c r="E800" i="5"/>
  <c r="D800" i="5"/>
  <c r="A800" i="5"/>
  <c r="H799" i="5"/>
  <c r="I799" i="5" s="1"/>
  <c r="F799" i="5"/>
  <c r="E799" i="5"/>
  <c r="D799" i="5"/>
  <c r="A799" i="5"/>
  <c r="H798" i="5"/>
  <c r="I798" i="5" s="1"/>
  <c r="F798" i="5"/>
  <c r="E798" i="5"/>
  <c r="D798" i="5"/>
  <c r="A798" i="5"/>
  <c r="H797" i="5"/>
  <c r="I797" i="5" s="1"/>
  <c r="F797" i="5"/>
  <c r="E797" i="5"/>
  <c r="D797" i="5"/>
  <c r="A797" i="5"/>
  <c r="H796" i="5"/>
  <c r="I796" i="5" s="1"/>
  <c r="F796" i="5"/>
  <c r="E796" i="5"/>
  <c r="D796" i="5"/>
  <c r="A796" i="5"/>
  <c r="H795" i="5"/>
  <c r="I795" i="5" s="1"/>
  <c r="F795" i="5"/>
  <c r="E795" i="5"/>
  <c r="D795" i="5"/>
  <c r="A795" i="5"/>
  <c r="H794" i="5"/>
  <c r="I794" i="5" s="1"/>
  <c r="F794" i="5"/>
  <c r="E794" i="5"/>
  <c r="D794" i="5"/>
  <c r="A794" i="5"/>
  <c r="H793" i="5"/>
  <c r="I793" i="5" s="1"/>
  <c r="F793" i="5"/>
  <c r="E793" i="5"/>
  <c r="D793" i="5"/>
  <c r="A793" i="5"/>
  <c r="H792" i="5"/>
  <c r="I792" i="5" s="1"/>
  <c r="F792" i="5"/>
  <c r="E792" i="5"/>
  <c r="D792" i="5"/>
  <c r="A792" i="5"/>
  <c r="H791" i="5"/>
  <c r="I791" i="5" s="1"/>
  <c r="F791" i="5"/>
  <c r="E791" i="5"/>
  <c r="D791" i="5"/>
  <c r="A791" i="5"/>
  <c r="H790" i="5"/>
  <c r="I790" i="5" s="1"/>
  <c r="F790" i="5"/>
  <c r="E790" i="5"/>
  <c r="D790" i="5"/>
  <c r="A790" i="5"/>
  <c r="H789" i="5"/>
  <c r="I789" i="5" s="1"/>
  <c r="F789" i="5"/>
  <c r="E789" i="5"/>
  <c r="D789" i="5"/>
  <c r="A789" i="5"/>
  <c r="H788" i="5"/>
  <c r="I788" i="5" s="1"/>
  <c r="F788" i="5"/>
  <c r="E788" i="5"/>
  <c r="D788" i="5"/>
  <c r="A788" i="5"/>
  <c r="H787" i="5"/>
  <c r="I787" i="5" s="1"/>
  <c r="F787" i="5"/>
  <c r="E787" i="5"/>
  <c r="D787" i="5"/>
  <c r="A787" i="5"/>
  <c r="H786" i="5"/>
  <c r="I786" i="5" s="1"/>
  <c r="F786" i="5"/>
  <c r="E786" i="5"/>
  <c r="D786" i="5"/>
  <c r="A786" i="5"/>
  <c r="H785" i="5"/>
  <c r="I785" i="5" s="1"/>
  <c r="F785" i="5"/>
  <c r="E785" i="5"/>
  <c r="D785" i="5"/>
  <c r="A785" i="5"/>
  <c r="H784" i="5"/>
  <c r="I784" i="5" s="1"/>
  <c r="F784" i="5"/>
  <c r="E784" i="5"/>
  <c r="D784" i="5"/>
  <c r="A784" i="5"/>
  <c r="H783" i="5"/>
  <c r="I783" i="5" s="1"/>
  <c r="F783" i="5"/>
  <c r="E783" i="5"/>
  <c r="D783" i="5"/>
  <c r="A783" i="5"/>
  <c r="H782" i="5"/>
  <c r="I782" i="5" s="1"/>
  <c r="F782" i="5"/>
  <c r="E782" i="5"/>
  <c r="D782" i="5"/>
  <c r="A782" i="5"/>
  <c r="H781" i="5"/>
  <c r="I781" i="5" s="1"/>
  <c r="F781" i="5"/>
  <c r="E781" i="5"/>
  <c r="D781" i="5"/>
  <c r="A781" i="5"/>
  <c r="H780" i="5"/>
  <c r="I780" i="5" s="1"/>
  <c r="F780" i="5"/>
  <c r="E780" i="5"/>
  <c r="D780" i="5"/>
  <c r="A780" i="5"/>
  <c r="H779" i="5"/>
  <c r="I779" i="5" s="1"/>
  <c r="F779" i="5"/>
  <c r="E779" i="5"/>
  <c r="D779" i="5"/>
  <c r="A779" i="5"/>
  <c r="H778" i="5"/>
  <c r="I778" i="5" s="1"/>
  <c r="F778" i="5"/>
  <c r="E778" i="5"/>
  <c r="D778" i="5"/>
  <c r="A778" i="5"/>
  <c r="H777" i="5"/>
  <c r="I777" i="5" s="1"/>
  <c r="F777" i="5"/>
  <c r="E777" i="5"/>
  <c r="D777" i="5"/>
  <c r="A777" i="5"/>
  <c r="H776" i="5"/>
  <c r="I776" i="5" s="1"/>
  <c r="F776" i="5"/>
  <c r="E776" i="5"/>
  <c r="D776" i="5"/>
  <c r="A776" i="5"/>
  <c r="H775" i="5"/>
  <c r="I775" i="5" s="1"/>
  <c r="F775" i="5"/>
  <c r="E775" i="5"/>
  <c r="D775" i="5"/>
  <c r="A775" i="5"/>
  <c r="H774" i="5"/>
  <c r="I774" i="5" s="1"/>
  <c r="F774" i="5"/>
  <c r="E774" i="5"/>
  <c r="D774" i="5"/>
  <c r="A774" i="5"/>
  <c r="H773" i="5"/>
  <c r="I773" i="5" s="1"/>
  <c r="F773" i="5"/>
  <c r="E773" i="5"/>
  <c r="D773" i="5"/>
  <c r="A773" i="5"/>
  <c r="H772" i="5"/>
  <c r="I772" i="5" s="1"/>
  <c r="F772" i="5"/>
  <c r="E772" i="5"/>
  <c r="D772" i="5"/>
  <c r="A772" i="5"/>
  <c r="H771" i="5"/>
  <c r="I771" i="5" s="1"/>
  <c r="F771" i="5"/>
  <c r="E771" i="5"/>
  <c r="D771" i="5"/>
  <c r="A771" i="5"/>
  <c r="H770" i="5"/>
  <c r="I770" i="5" s="1"/>
  <c r="F770" i="5"/>
  <c r="E770" i="5"/>
  <c r="D770" i="5"/>
  <c r="A770" i="5"/>
  <c r="H769" i="5"/>
  <c r="I769" i="5" s="1"/>
  <c r="F769" i="5"/>
  <c r="E769" i="5"/>
  <c r="D769" i="5"/>
  <c r="A769" i="5"/>
  <c r="H768" i="5"/>
  <c r="I768" i="5" s="1"/>
  <c r="F768" i="5"/>
  <c r="E768" i="5"/>
  <c r="D768" i="5"/>
  <c r="A768" i="5"/>
  <c r="H767" i="5"/>
  <c r="I767" i="5" s="1"/>
  <c r="F767" i="5"/>
  <c r="E767" i="5"/>
  <c r="D767" i="5"/>
  <c r="A767" i="5"/>
  <c r="H766" i="5"/>
  <c r="I766" i="5" s="1"/>
  <c r="F766" i="5"/>
  <c r="E766" i="5"/>
  <c r="D766" i="5"/>
  <c r="A766" i="5"/>
  <c r="H765" i="5"/>
  <c r="I765" i="5" s="1"/>
  <c r="F765" i="5"/>
  <c r="E765" i="5"/>
  <c r="D765" i="5"/>
  <c r="A765" i="5"/>
  <c r="H764" i="5"/>
  <c r="I764" i="5" s="1"/>
  <c r="F764" i="5"/>
  <c r="E764" i="5"/>
  <c r="D764" i="5"/>
  <c r="A764" i="5"/>
  <c r="H763" i="5"/>
  <c r="I763" i="5" s="1"/>
  <c r="F763" i="5"/>
  <c r="E763" i="5"/>
  <c r="D763" i="5"/>
  <c r="A763" i="5"/>
  <c r="H762" i="5"/>
  <c r="I762" i="5" s="1"/>
  <c r="F762" i="5"/>
  <c r="E762" i="5"/>
  <c r="D762" i="5"/>
  <c r="A762" i="5"/>
  <c r="H761" i="5"/>
  <c r="I761" i="5" s="1"/>
  <c r="F761" i="5"/>
  <c r="E761" i="5"/>
  <c r="D761" i="5"/>
  <c r="A761" i="5"/>
  <c r="H760" i="5"/>
  <c r="I760" i="5" s="1"/>
  <c r="F760" i="5"/>
  <c r="E760" i="5"/>
  <c r="D760" i="5"/>
  <c r="A760" i="5"/>
  <c r="H759" i="5"/>
  <c r="I759" i="5" s="1"/>
  <c r="F759" i="5"/>
  <c r="E759" i="5"/>
  <c r="D759" i="5"/>
  <c r="A759" i="5"/>
  <c r="H758" i="5"/>
  <c r="I758" i="5" s="1"/>
  <c r="F758" i="5"/>
  <c r="E758" i="5"/>
  <c r="D758" i="5"/>
  <c r="A758" i="5"/>
  <c r="H757" i="5"/>
  <c r="I757" i="5" s="1"/>
  <c r="F757" i="5"/>
  <c r="E757" i="5"/>
  <c r="D757" i="5"/>
  <c r="A757" i="5"/>
  <c r="H756" i="5"/>
  <c r="I756" i="5" s="1"/>
  <c r="F756" i="5"/>
  <c r="E756" i="5"/>
  <c r="D756" i="5"/>
  <c r="A756" i="5"/>
  <c r="H755" i="5"/>
  <c r="I755" i="5" s="1"/>
  <c r="F755" i="5"/>
  <c r="E755" i="5"/>
  <c r="D755" i="5"/>
  <c r="A755" i="5"/>
  <c r="H754" i="5"/>
  <c r="I754" i="5" s="1"/>
  <c r="F754" i="5"/>
  <c r="E754" i="5"/>
  <c r="D754" i="5"/>
  <c r="A754" i="5"/>
  <c r="H753" i="5"/>
  <c r="I753" i="5" s="1"/>
  <c r="F753" i="5"/>
  <c r="E753" i="5"/>
  <c r="D753" i="5"/>
  <c r="A753" i="5"/>
  <c r="H752" i="5"/>
  <c r="I752" i="5" s="1"/>
  <c r="F752" i="5"/>
  <c r="E752" i="5"/>
  <c r="D752" i="5"/>
  <c r="A752" i="5"/>
  <c r="H751" i="5"/>
  <c r="I751" i="5" s="1"/>
  <c r="F751" i="5"/>
  <c r="E751" i="5"/>
  <c r="D751" i="5"/>
  <c r="A751" i="5"/>
  <c r="H750" i="5"/>
  <c r="I750" i="5" s="1"/>
  <c r="F750" i="5"/>
  <c r="E750" i="5"/>
  <c r="D750" i="5"/>
  <c r="A750" i="5"/>
  <c r="H749" i="5"/>
  <c r="I749" i="5" s="1"/>
  <c r="F749" i="5"/>
  <c r="E749" i="5"/>
  <c r="D749" i="5"/>
  <c r="A749" i="5"/>
  <c r="H748" i="5"/>
  <c r="I748" i="5" s="1"/>
  <c r="F748" i="5"/>
  <c r="E748" i="5"/>
  <c r="D748" i="5"/>
  <c r="A748" i="5"/>
  <c r="H747" i="5"/>
  <c r="I747" i="5" s="1"/>
  <c r="F747" i="5"/>
  <c r="E747" i="5"/>
  <c r="D747" i="5"/>
  <c r="A747" i="5"/>
  <c r="H746" i="5"/>
  <c r="I746" i="5" s="1"/>
  <c r="F746" i="5"/>
  <c r="E746" i="5"/>
  <c r="D746" i="5"/>
  <c r="A746" i="5"/>
  <c r="H745" i="5"/>
  <c r="I745" i="5" s="1"/>
  <c r="F745" i="5"/>
  <c r="E745" i="5"/>
  <c r="D745" i="5"/>
  <c r="A745" i="5"/>
  <c r="H744" i="5"/>
  <c r="I744" i="5" s="1"/>
  <c r="F744" i="5"/>
  <c r="E744" i="5"/>
  <c r="D744" i="5"/>
  <c r="A744" i="5"/>
  <c r="H743" i="5"/>
  <c r="I743" i="5" s="1"/>
  <c r="F743" i="5"/>
  <c r="E743" i="5"/>
  <c r="D743" i="5"/>
  <c r="A743" i="5"/>
  <c r="H742" i="5"/>
  <c r="I742" i="5" s="1"/>
  <c r="F742" i="5"/>
  <c r="E742" i="5"/>
  <c r="D742" i="5"/>
  <c r="A742" i="5"/>
  <c r="H741" i="5"/>
  <c r="I741" i="5" s="1"/>
  <c r="F741" i="5"/>
  <c r="E741" i="5"/>
  <c r="D741" i="5"/>
  <c r="A741" i="5"/>
  <c r="H740" i="5"/>
  <c r="I740" i="5" s="1"/>
  <c r="F740" i="5"/>
  <c r="E740" i="5"/>
  <c r="D740" i="5"/>
  <c r="A740" i="5"/>
  <c r="H739" i="5"/>
  <c r="I739" i="5" s="1"/>
  <c r="F739" i="5"/>
  <c r="E739" i="5"/>
  <c r="D739" i="5"/>
  <c r="A739" i="5"/>
  <c r="H738" i="5"/>
  <c r="I738" i="5" s="1"/>
  <c r="F738" i="5"/>
  <c r="E738" i="5"/>
  <c r="D738" i="5"/>
  <c r="A738" i="5"/>
  <c r="H737" i="5"/>
  <c r="I737" i="5" s="1"/>
  <c r="F737" i="5"/>
  <c r="E737" i="5"/>
  <c r="D737" i="5"/>
  <c r="A737" i="5"/>
  <c r="H736" i="5"/>
  <c r="I736" i="5" s="1"/>
  <c r="F736" i="5"/>
  <c r="E736" i="5"/>
  <c r="D736" i="5"/>
  <c r="A736" i="5"/>
  <c r="H735" i="5"/>
  <c r="I735" i="5" s="1"/>
  <c r="F735" i="5"/>
  <c r="E735" i="5"/>
  <c r="D735" i="5"/>
  <c r="A735" i="5"/>
  <c r="H734" i="5"/>
  <c r="I734" i="5" s="1"/>
  <c r="F734" i="5"/>
  <c r="E734" i="5"/>
  <c r="D734" i="5"/>
  <c r="A734" i="5"/>
  <c r="H733" i="5"/>
  <c r="I733" i="5" s="1"/>
  <c r="F733" i="5"/>
  <c r="E733" i="5"/>
  <c r="D733" i="5"/>
  <c r="A733" i="5"/>
  <c r="H732" i="5"/>
  <c r="I732" i="5" s="1"/>
  <c r="F732" i="5"/>
  <c r="E732" i="5"/>
  <c r="D732" i="5"/>
  <c r="A732" i="5"/>
  <c r="H731" i="5"/>
  <c r="I731" i="5" s="1"/>
  <c r="F731" i="5"/>
  <c r="E731" i="5"/>
  <c r="D731" i="5"/>
  <c r="A731" i="5"/>
  <c r="H730" i="5"/>
  <c r="I730" i="5" s="1"/>
  <c r="F730" i="5"/>
  <c r="E730" i="5"/>
  <c r="D730" i="5"/>
  <c r="A730" i="5"/>
  <c r="H729" i="5"/>
  <c r="I729" i="5" s="1"/>
  <c r="F729" i="5"/>
  <c r="E729" i="5"/>
  <c r="D729" i="5"/>
  <c r="A729" i="5"/>
  <c r="H728" i="5"/>
  <c r="I728" i="5" s="1"/>
  <c r="F728" i="5"/>
  <c r="E728" i="5"/>
  <c r="D728" i="5"/>
  <c r="A728" i="5"/>
  <c r="H727" i="5"/>
  <c r="I727" i="5" s="1"/>
  <c r="F727" i="5"/>
  <c r="E727" i="5"/>
  <c r="D727" i="5"/>
  <c r="A727" i="5"/>
  <c r="H726" i="5"/>
  <c r="I726" i="5" s="1"/>
  <c r="F726" i="5"/>
  <c r="E726" i="5"/>
  <c r="D726" i="5"/>
  <c r="A726" i="5"/>
  <c r="H725" i="5"/>
  <c r="I725" i="5" s="1"/>
  <c r="F725" i="5"/>
  <c r="E725" i="5"/>
  <c r="D725" i="5"/>
  <c r="A725" i="5"/>
  <c r="H724" i="5"/>
  <c r="I724" i="5" s="1"/>
  <c r="F724" i="5"/>
  <c r="E724" i="5"/>
  <c r="D724" i="5"/>
  <c r="A724" i="5"/>
  <c r="H723" i="5"/>
  <c r="I723" i="5" s="1"/>
  <c r="F723" i="5"/>
  <c r="E723" i="5"/>
  <c r="D723" i="5"/>
  <c r="A723" i="5"/>
  <c r="H722" i="5"/>
  <c r="I722" i="5" s="1"/>
  <c r="F722" i="5"/>
  <c r="E722" i="5"/>
  <c r="D722" i="5"/>
  <c r="A722" i="5"/>
  <c r="H721" i="5"/>
  <c r="I721" i="5" s="1"/>
  <c r="F721" i="5"/>
  <c r="E721" i="5"/>
  <c r="D721" i="5"/>
  <c r="A721" i="5"/>
  <c r="H720" i="5"/>
  <c r="I720" i="5" s="1"/>
  <c r="F720" i="5"/>
  <c r="E720" i="5"/>
  <c r="D720" i="5"/>
  <c r="A720" i="5"/>
  <c r="H719" i="5"/>
  <c r="I719" i="5" s="1"/>
  <c r="F719" i="5"/>
  <c r="E719" i="5"/>
  <c r="D719" i="5"/>
  <c r="A719" i="5"/>
  <c r="H718" i="5"/>
  <c r="I718" i="5" s="1"/>
  <c r="F718" i="5"/>
  <c r="E718" i="5"/>
  <c r="D718" i="5"/>
  <c r="A718" i="5"/>
  <c r="H717" i="5"/>
  <c r="I717" i="5" s="1"/>
  <c r="F717" i="5"/>
  <c r="E717" i="5"/>
  <c r="D717" i="5"/>
  <c r="A717" i="5"/>
  <c r="H716" i="5"/>
  <c r="I716" i="5" s="1"/>
  <c r="F716" i="5"/>
  <c r="E716" i="5"/>
  <c r="D716" i="5"/>
  <c r="A716" i="5"/>
  <c r="H715" i="5"/>
  <c r="I715" i="5" s="1"/>
  <c r="F715" i="5"/>
  <c r="E715" i="5"/>
  <c r="D715" i="5"/>
  <c r="A715" i="5"/>
  <c r="H714" i="5"/>
  <c r="I714" i="5" s="1"/>
  <c r="F714" i="5"/>
  <c r="E714" i="5"/>
  <c r="D714" i="5"/>
  <c r="A714" i="5"/>
  <c r="H713" i="5"/>
  <c r="I713" i="5" s="1"/>
  <c r="F713" i="5"/>
  <c r="E713" i="5"/>
  <c r="D713" i="5"/>
  <c r="A713" i="5"/>
  <c r="H712" i="5"/>
  <c r="I712" i="5" s="1"/>
  <c r="F712" i="5"/>
  <c r="E712" i="5"/>
  <c r="D712" i="5"/>
  <c r="A712" i="5"/>
  <c r="H711" i="5"/>
  <c r="I711" i="5" s="1"/>
  <c r="F711" i="5"/>
  <c r="E711" i="5"/>
  <c r="D711" i="5"/>
  <c r="A711" i="5"/>
  <c r="H710" i="5"/>
  <c r="I710" i="5" s="1"/>
  <c r="F710" i="5"/>
  <c r="E710" i="5"/>
  <c r="D710" i="5"/>
  <c r="A710" i="5"/>
  <c r="H709" i="5"/>
  <c r="I709" i="5" s="1"/>
  <c r="F709" i="5"/>
  <c r="E709" i="5"/>
  <c r="D709" i="5"/>
  <c r="A709" i="5"/>
  <c r="H708" i="5"/>
  <c r="I708" i="5" s="1"/>
  <c r="F708" i="5"/>
  <c r="E708" i="5"/>
  <c r="D708" i="5"/>
  <c r="A708" i="5"/>
  <c r="H707" i="5"/>
  <c r="I707" i="5" s="1"/>
  <c r="F707" i="5"/>
  <c r="E707" i="5"/>
  <c r="D707" i="5"/>
  <c r="A707" i="5"/>
  <c r="H706" i="5"/>
  <c r="I706" i="5" s="1"/>
  <c r="F706" i="5"/>
  <c r="E706" i="5"/>
  <c r="D706" i="5"/>
  <c r="A706" i="5"/>
  <c r="H705" i="5"/>
  <c r="I705" i="5" s="1"/>
  <c r="F705" i="5"/>
  <c r="E705" i="5"/>
  <c r="D705" i="5"/>
  <c r="A705" i="5"/>
  <c r="H704" i="5"/>
  <c r="I704" i="5" s="1"/>
  <c r="F704" i="5"/>
  <c r="E704" i="5"/>
  <c r="D704" i="5"/>
  <c r="A704" i="5"/>
  <c r="H703" i="5"/>
  <c r="I703" i="5" s="1"/>
  <c r="F703" i="5"/>
  <c r="E703" i="5"/>
  <c r="D703" i="5"/>
  <c r="A703" i="5"/>
  <c r="H702" i="5"/>
  <c r="I702" i="5" s="1"/>
  <c r="F702" i="5"/>
  <c r="E702" i="5"/>
  <c r="D702" i="5"/>
  <c r="A702" i="5"/>
  <c r="H701" i="5"/>
  <c r="I701" i="5" s="1"/>
  <c r="F701" i="5"/>
  <c r="E701" i="5"/>
  <c r="D701" i="5"/>
  <c r="A701" i="5"/>
  <c r="H700" i="5"/>
  <c r="I700" i="5" s="1"/>
  <c r="F700" i="5"/>
  <c r="E700" i="5"/>
  <c r="D700" i="5"/>
  <c r="A700" i="5"/>
  <c r="H699" i="5"/>
  <c r="I699" i="5" s="1"/>
  <c r="F699" i="5"/>
  <c r="E699" i="5"/>
  <c r="D699" i="5"/>
  <c r="A699" i="5"/>
  <c r="H698" i="5"/>
  <c r="I698" i="5" s="1"/>
  <c r="F698" i="5"/>
  <c r="E698" i="5"/>
  <c r="D698" i="5"/>
  <c r="A698" i="5"/>
  <c r="H697" i="5"/>
  <c r="I697" i="5" s="1"/>
  <c r="F697" i="5"/>
  <c r="E697" i="5"/>
  <c r="D697" i="5"/>
  <c r="A697" i="5"/>
  <c r="H696" i="5"/>
  <c r="I696" i="5" s="1"/>
  <c r="F696" i="5"/>
  <c r="E696" i="5"/>
  <c r="D696" i="5"/>
  <c r="A696" i="5"/>
  <c r="H695" i="5"/>
  <c r="I695" i="5" s="1"/>
  <c r="F695" i="5"/>
  <c r="E695" i="5"/>
  <c r="D695" i="5"/>
  <c r="A695" i="5"/>
  <c r="H694" i="5"/>
  <c r="I694" i="5" s="1"/>
  <c r="F694" i="5"/>
  <c r="E694" i="5"/>
  <c r="D694" i="5"/>
  <c r="A694" i="5"/>
  <c r="H693" i="5"/>
  <c r="I693" i="5" s="1"/>
  <c r="F693" i="5"/>
  <c r="E693" i="5"/>
  <c r="D693" i="5"/>
  <c r="A693" i="5"/>
  <c r="H692" i="5"/>
  <c r="I692" i="5" s="1"/>
  <c r="F692" i="5"/>
  <c r="E692" i="5"/>
  <c r="D692" i="5"/>
  <c r="A692" i="5"/>
  <c r="H691" i="5"/>
  <c r="I691" i="5" s="1"/>
  <c r="F691" i="5"/>
  <c r="E691" i="5"/>
  <c r="D691" i="5"/>
  <c r="A691" i="5"/>
  <c r="H690" i="5"/>
  <c r="I690" i="5" s="1"/>
  <c r="F690" i="5"/>
  <c r="E690" i="5"/>
  <c r="D690" i="5"/>
  <c r="A690" i="5"/>
  <c r="H689" i="5"/>
  <c r="I689" i="5" s="1"/>
  <c r="F689" i="5"/>
  <c r="E689" i="5"/>
  <c r="D689" i="5"/>
  <c r="A689" i="5"/>
  <c r="H688" i="5"/>
  <c r="I688" i="5" s="1"/>
  <c r="F688" i="5"/>
  <c r="E688" i="5"/>
  <c r="D688" i="5"/>
  <c r="A688" i="5"/>
  <c r="H687" i="5"/>
  <c r="I687" i="5" s="1"/>
  <c r="F687" i="5"/>
  <c r="E687" i="5"/>
  <c r="D687" i="5"/>
  <c r="A687" i="5"/>
  <c r="H686" i="5"/>
  <c r="I686" i="5" s="1"/>
  <c r="F686" i="5"/>
  <c r="E686" i="5"/>
  <c r="D686" i="5"/>
  <c r="A686" i="5"/>
  <c r="H685" i="5"/>
  <c r="I685" i="5" s="1"/>
  <c r="F685" i="5"/>
  <c r="E685" i="5"/>
  <c r="D685" i="5"/>
  <c r="A685" i="5"/>
  <c r="H684" i="5"/>
  <c r="I684" i="5" s="1"/>
  <c r="F684" i="5"/>
  <c r="E684" i="5"/>
  <c r="D684" i="5"/>
  <c r="A684" i="5"/>
  <c r="H683" i="5"/>
  <c r="I683" i="5" s="1"/>
  <c r="F683" i="5"/>
  <c r="E683" i="5"/>
  <c r="D683" i="5"/>
  <c r="A683" i="5"/>
  <c r="H682" i="5"/>
  <c r="I682" i="5" s="1"/>
  <c r="F682" i="5"/>
  <c r="E682" i="5"/>
  <c r="D682" i="5"/>
  <c r="A682" i="5"/>
  <c r="H681" i="5"/>
  <c r="I681" i="5" s="1"/>
  <c r="F681" i="5"/>
  <c r="E681" i="5"/>
  <c r="D681" i="5"/>
  <c r="A681" i="5"/>
  <c r="H680" i="5"/>
  <c r="I680" i="5" s="1"/>
  <c r="F680" i="5"/>
  <c r="E680" i="5"/>
  <c r="D680" i="5"/>
  <c r="A680" i="5"/>
  <c r="H679" i="5"/>
  <c r="I679" i="5" s="1"/>
  <c r="F679" i="5"/>
  <c r="E679" i="5"/>
  <c r="D679" i="5"/>
  <c r="A679" i="5"/>
  <c r="H678" i="5"/>
  <c r="I678" i="5" s="1"/>
  <c r="F678" i="5"/>
  <c r="E678" i="5"/>
  <c r="D678" i="5"/>
  <c r="A678" i="5"/>
  <c r="H677" i="5"/>
  <c r="I677" i="5" s="1"/>
  <c r="F677" i="5"/>
  <c r="E677" i="5"/>
  <c r="D677" i="5"/>
  <c r="A677" i="5"/>
  <c r="H676" i="5"/>
  <c r="I676" i="5" s="1"/>
  <c r="F676" i="5"/>
  <c r="E676" i="5"/>
  <c r="D676" i="5"/>
  <c r="A676" i="5"/>
  <c r="H675" i="5"/>
  <c r="I675" i="5" s="1"/>
  <c r="F675" i="5"/>
  <c r="E675" i="5"/>
  <c r="D675" i="5"/>
  <c r="A675" i="5"/>
  <c r="H674" i="5"/>
  <c r="I674" i="5" s="1"/>
  <c r="F674" i="5"/>
  <c r="E674" i="5"/>
  <c r="D674" i="5"/>
  <c r="A674" i="5"/>
  <c r="H673" i="5"/>
  <c r="I673" i="5" s="1"/>
  <c r="F673" i="5"/>
  <c r="E673" i="5"/>
  <c r="D673" i="5"/>
  <c r="A673" i="5"/>
  <c r="H672" i="5"/>
  <c r="I672" i="5" s="1"/>
  <c r="F672" i="5"/>
  <c r="E672" i="5"/>
  <c r="D672" i="5"/>
  <c r="A672" i="5"/>
  <c r="H671" i="5"/>
  <c r="I671" i="5" s="1"/>
  <c r="F671" i="5"/>
  <c r="E671" i="5"/>
  <c r="D671" i="5"/>
  <c r="A671" i="5"/>
  <c r="H670" i="5"/>
  <c r="I670" i="5" s="1"/>
  <c r="F670" i="5"/>
  <c r="E670" i="5"/>
  <c r="D670" i="5"/>
  <c r="A670" i="5"/>
  <c r="H669" i="5"/>
  <c r="I669" i="5" s="1"/>
  <c r="F669" i="5"/>
  <c r="E669" i="5"/>
  <c r="D669" i="5"/>
  <c r="A669" i="5"/>
  <c r="H668" i="5"/>
  <c r="I668" i="5" s="1"/>
  <c r="F668" i="5"/>
  <c r="E668" i="5"/>
  <c r="D668" i="5"/>
  <c r="A668" i="5"/>
  <c r="H667" i="5"/>
  <c r="I667" i="5" s="1"/>
  <c r="F667" i="5"/>
  <c r="E667" i="5"/>
  <c r="D667" i="5"/>
  <c r="A667" i="5"/>
  <c r="H666" i="5"/>
  <c r="I666" i="5" s="1"/>
  <c r="F666" i="5"/>
  <c r="E666" i="5"/>
  <c r="D666" i="5"/>
  <c r="A666" i="5"/>
  <c r="H665" i="5"/>
  <c r="I665" i="5" s="1"/>
  <c r="F665" i="5"/>
  <c r="E665" i="5"/>
  <c r="D665" i="5"/>
  <c r="A665" i="5"/>
  <c r="H664" i="5"/>
  <c r="I664" i="5" s="1"/>
  <c r="F664" i="5"/>
  <c r="E664" i="5"/>
  <c r="D664" i="5"/>
  <c r="A664" i="5"/>
  <c r="H663" i="5"/>
  <c r="I663" i="5" s="1"/>
  <c r="F663" i="5"/>
  <c r="E663" i="5"/>
  <c r="D663" i="5"/>
  <c r="A663" i="5"/>
  <c r="H662" i="5"/>
  <c r="I662" i="5" s="1"/>
  <c r="F662" i="5"/>
  <c r="E662" i="5"/>
  <c r="D662" i="5"/>
  <c r="A662" i="5"/>
  <c r="H661" i="5"/>
  <c r="I661" i="5" s="1"/>
  <c r="F661" i="5"/>
  <c r="E661" i="5"/>
  <c r="D661" i="5"/>
  <c r="A661" i="5"/>
  <c r="H660" i="5"/>
  <c r="I660" i="5" s="1"/>
  <c r="F660" i="5"/>
  <c r="E660" i="5"/>
  <c r="D660" i="5"/>
  <c r="A660" i="5"/>
  <c r="H659" i="5"/>
  <c r="I659" i="5" s="1"/>
  <c r="F659" i="5"/>
  <c r="E659" i="5"/>
  <c r="D659" i="5"/>
  <c r="A659" i="5"/>
  <c r="H658" i="5"/>
  <c r="I658" i="5" s="1"/>
  <c r="F658" i="5"/>
  <c r="E658" i="5"/>
  <c r="D658" i="5"/>
  <c r="A658" i="5"/>
  <c r="H657" i="5"/>
  <c r="I657" i="5" s="1"/>
  <c r="F657" i="5"/>
  <c r="E657" i="5"/>
  <c r="D657" i="5"/>
  <c r="A657" i="5"/>
  <c r="H656" i="5"/>
  <c r="I656" i="5" s="1"/>
  <c r="F656" i="5"/>
  <c r="E656" i="5"/>
  <c r="D656" i="5"/>
  <c r="A656" i="5"/>
  <c r="H655" i="5"/>
  <c r="I655" i="5" s="1"/>
  <c r="F655" i="5"/>
  <c r="E655" i="5"/>
  <c r="D655" i="5"/>
  <c r="A655" i="5"/>
  <c r="H654" i="5"/>
  <c r="I654" i="5" s="1"/>
  <c r="F654" i="5"/>
  <c r="E654" i="5"/>
  <c r="D654" i="5"/>
  <c r="A654" i="5"/>
  <c r="H653" i="5"/>
  <c r="I653" i="5" s="1"/>
  <c r="F653" i="5"/>
  <c r="E653" i="5"/>
  <c r="D653" i="5"/>
  <c r="A653" i="5"/>
  <c r="H652" i="5"/>
  <c r="I652" i="5" s="1"/>
  <c r="F652" i="5"/>
  <c r="E652" i="5"/>
  <c r="D652" i="5"/>
  <c r="A652" i="5"/>
  <c r="H651" i="5"/>
  <c r="I651" i="5" s="1"/>
  <c r="F651" i="5"/>
  <c r="E651" i="5"/>
  <c r="D651" i="5"/>
  <c r="A651" i="5"/>
  <c r="H650" i="5"/>
  <c r="I650" i="5" s="1"/>
  <c r="F650" i="5"/>
  <c r="E650" i="5"/>
  <c r="D650" i="5"/>
  <c r="A650" i="5"/>
  <c r="H649" i="5"/>
  <c r="I649" i="5" s="1"/>
  <c r="F649" i="5"/>
  <c r="E649" i="5"/>
  <c r="D649" i="5"/>
  <c r="A649" i="5"/>
  <c r="H648" i="5"/>
  <c r="I648" i="5" s="1"/>
  <c r="F648" i="5"/>
  <c r="E648" i="5"/>
  <c r="D648" i="5"/>
  <c r="A648" i="5"/>
  <c r="H647" i="5"/>
  <c r="I647" i="5" s="1"/>
  <c r="F647" i="5"/>
  <c r="E647" i="5"/>
  <c r="D647" i="5"/>
  <c r="A647" i="5"/>
  <c r="H646" i="5"/>
  <c r="I646" i="5" s="1"/>
  <c r="F646" i="5"/>
  <c r="E646" i="5"/>
  <c r="D646" i="5"/>
  <c r="A646" i="5"/>
  <c r="H645" i="5"/>
  <c r="I645" i="5" s="1"/>
  <c r="F645" i="5"/>
  <c r="E645" i="5"/>
  <c r="D645" i="5"/>
  <c r="A645" i="5"/>
  <c r="H644" i="5"/>
  <c r="I644" i="5" s="1"/>
  <c r="F644" i="5"/>
  <c r="E644" i="5"/>
  <c r="D644" i="5"/>
  <c r="A644" i="5"/>
  <c r="H643" i="5"/>
  <c r="I643" i="5" s="1"/>
  <c r="F643" i="5"/>
  <c r="E643" i="5"/>
  <c r="D643" i="5"/>
  <c r="A643" i="5"/>
  <c r="H642" i="5"/>
  <c r="I642" i="5" s="1"/>
  <c r="F642" i="5"/>
  <c r="E642" i="5"/>
  <c r="D642" i="5"/>
  <c r="A642" i="5"/>
  <c r="H641" i="5"/>
  <c r="I641" i="5" s="1"/>
  <c r="F641" i="5"/>
  <c r="E641" i="5"/>
  <c r="D641" i="5"/>
  <c r="A641" i="5"/>
  <c r="H640" i="5"/>
  <c r="I640" i="5" s="1"/>
  <c r="F640" i="5"/>
  <c r="E640" i="5"/>
  <c r="D640" i="5"/>
  <c r="A640" i="5"/>
  <c r="H639" i="5"/>
  <c r="I639" i="5" s="1"/>
  <c r="F639" i="5"/>
  <c r="E639" i="5"/>
  <c r="D639" i="5"/>
  <c r="A639" i="5"/>
  <c r="H638" i="5"/>
  <c r="I638" i="5" s="1"/>
  <c r="F638" i="5"/>
  <c r="E638" i="5"/>
  <c r="D638" i="5"/>
  <c r="A638" i="5"/>
  <c r="H637" i="5"/>
  <c r="I637" i="5" s="1"/>
  <c r="F637" i="5"/>
  <c r="E637" i="5"/>
  <c r="D637" i="5"/>
  <c r="A637" i="5"/>
  <c r="H636" i="5"/>
  <c r="I636" i="5" s="1"/>
  <c r="F636" i="5"/>
  <c r="E636" i="5"/>
  <c r="D636" i="5"/>
  <c r="A636" i="5"/>
  <c r="H635" i="5"/>
  <c r="I635" i="5" s="1"/>
  <c r="F635" i="5"/>
  <c r="E635" i="5"/>
  <c r="D635" i="5"/>
  <c r="A635" i="5"/>
  <c r="H634" i="5"/>
  <c r="I634" i="5" s="1"/>
  <c r="F634" i="5"/>
  <c r="E634" i="5"/>
  <c r="D634" i="5"/>
  <c r="A634" i="5"/>
  <c r="H633" i="5"/>
  <c r="I633" i="5" s="1"/>
  <c r="F633" i="5"/>
  <c r="E633" i="5"/>
  <c r="D633" i="5"/>
  <c r="A633" i="5"/>
  <c r="H632" i="5"/>
  <c r="I632" i="5" s="1"/>
  <c r="F632" i="5"/>
  <c r="E632" i="5"/>
  <c r="D632" i="5"/>
  <c r="A632" i="5"/>
  <c r="H631" i="5"/>
  <c r="I631" i="5" s="1"/>
  <c r="F631" i="5"/>
  <c r="E631" i="5"/>
  <c r="D631" i="5"/>
  <c r="A631" i="5"/>
  <c r="H630" i="5"/>
  <c r="I630" i="5" s="1"/>
  <c r="F630" i="5"/>
  <c r="E630" i="5"/>
  <c r="D630" i="5"/>
  <c r="A630" i="5"/>
  <c r="H629" i="5"/>
  <c r="I629" i="5" s="1"/>
  <c r="F629" i="5"/>
  <c r="E629" i="5"/>
  <c r="D629" i="5"/>
  <c r="A629" i="5"/>
  <c r="H628" i="5"/>
  <c r="I628" i="5" s="1"/>
  <c r="F628" i="5"/>
  <c r="E628" i="5"/>
  <c r="D628" i="5"/>
  <c r="A628" i="5"/>
  <c r="H627" i="5"/>
  <c r="I627" i="5" s="1"/>
  <c r="F627" i="5"/>
  <c r="E627" i="5"/>
  <c r="D627" i="5"/>
  <c r="A627" i="5"/>
  <c r="H626" i="5"/>
  <c r="I626" i="5" s="1"/>
  <c r="F626" i="5"/>
  <c r="E626" i="5"/>
  <c r="D626" i="5"/>
  <c r="A626" i="5"/>
  <c r="H625" i="5"/>
  <c r="I625" i="5" s="1"/>
  <c r="F625" i="5"/>
  <c r="E625" i="5"/>
  <c r="D625" i="5"/>
  <c r="A625" i="5"/>
  <c r="H624" i="5"/>
  <c r="I624" i="5" s="1"/>
  <c r="F624" i="5"/>
  <c r="E624" i="5"/>
  <c r="D624" i="5"/>
  <c r="A624" i="5"/>
  <c r="H623" i="5"/>
  <c r="I623" i="5" s="1"/>
  <c r="F623" i="5"/>
  <c r="E623" i="5"/>
  <c r="D623" i="5"/>
  <c r="A623" i="5"/>
  <c r="H622" i="5"/>
  <c r="I622" i="5" s="1"/>
  <c r="F622" i="5"/>
  <c r="E622" i="5"/>
  <c r="D622" i="5"/>
  <c r="A622" i="5"/>
  <c r="H621" i="5"/>
  <c r="I621" i="5" s="1"/>
  <c r="F621" i="5"/>
  <c r="E621" i="5"/>
  <c r="D621" i="5"/>
  <c r="A621" i="5"/>
  <c r="H620" i="5"/>
  <c r="I620" i="5" s="1"/>
  <c r="F620" i="5"/>
  <c r="E620" i="5"/>
  <c r="D620" i="5"/>
  <c r="A620" i="5"/>
  <c r="H619" i="5"/>
  <c r="I619" i="5" s="1"/>
  <c r="F619" i="5"/>
  <c r="E619" i="5"/>
  <c r="D619" i="5"/>
  <c r="A619" i="5"/>
  <c r="H618" i="5"/>
  <c r="I618" i="5" s="1"/>
  <c r="F618" i="5"/>
  <c r="E618" i="5"/>
  <c r="D618" i="5"/>
  <c r="A618" i="5"/>
  <c r="H617" i="5"/>
  <c r="I617" i="5" s="1"/>
  <c r="F617" i="5"/>
  <c r="E617" i="5"/>
  <c r="D617" i="5"/>
  <c r="A617" i="5"/>
  <c r="H616" i="5"/>
  <c r="I616" i="5" s="1"/>
  <c r="F616" i="5"/>
  <c r="E616" i="5"/>
  <c r="D616" i="5"/>
  <c r="A616" i="5"/>
  <c r="H615" i="5"/>
  <c r="I615" i="5" s="1"/>
  <c r="F615" i="5"/>
  <c r="E615" i="5"/>
  <c r="D615" i="5"/>
  <c r="A615" i="5"/>
  <c r="H614" i="5"/>
  <c r="I614" i="5" s="1"/>
  <c r="F614" i="5"/>
  <c r="E614" i="5"/>
  <c r="D614" i="5"/>
  <c r="A614" i="5"/>
  <c r="H613" i="5"/>
  <c r="I613" i="5" s="1"/>
  <c r="F613" i="5"/>
  <c r="E613" i="5"/>
  <c r="D613" i="5"/>
  <c r="A613" i="5"/>
  <c r="H612" i="5"/>
  <c r="I612" i="5" s="1"/>
  <c r="F612" i="5"/>
  <c r="E612" i="5"/>
  <c r="D612" i="5"/>
  <c r="A612" i="5"/>
  <c r="H611" i="5"/>
  <c r="I611" i="5" s="1"/>
  <c r="F611" i="5"/>
  <c r="E611" i="5"/>
  <c r="D611" i="5"/>
  <c r="A611" i="5"/>
  <c r="H610" i="5"/>
  <c r="I610" i="5" s="1"/>
  <c r="F610" i="5"/>
  <c r="E610" i="5"/>
  <c r="D610" i="5"/>
  <c r="A610" i="5"/>
  <c r="H609" i="5"/>
  <c r="I609" i="5" s="1"/>
  <c r="F609" i="5"/>
  <c r="E609" i="5"/>
  <c r="D609" i="5"/>
  <c r="A609" i="5"/>
  <c r="H608" i="5"/>
  <c r="I608" i="5" s="1"/>
  <c r="F608" i="5"/>
  <c r="E608" i="5"/>
  <c r="D608" i="5"/>
  <c r="A608" i="5"/>
  <c r="H607" i="5"/>
  <c r="I607" i="5" s="1"/>
  <c r="F607" i="5"/>
  <c r="E607" i="5"/>
  <c r="D607" i="5"/>
  <c r="A607" i="5"/>
  <c r="H606" i="5"/>
  <c r="I606" i="5" s="1"/>
  <c r="F606" i="5"/>
  <c r="E606" i="5"/>
  <c r="D606" i="5"/>
  <c r="A606" i="5"/>
  <c r="H605" i="5"/>
  <c r="I605" i="5" s="1"/>
  <c r="F605" i="5"/>
  <c r="E605" i="5"/>
  <c r="D605" i="5"/>
  <c r="A605" i="5"/>
  <c r="H604" i="5"/>
  <c r="I604" i="5" s="1"/>
  <c r="F604" i="5"/>
  <c r="E604" i="5"/>
  <c r="D604" i="5"/>
  <c r="A604" i="5"/>
  <c r="H603" i="5"/>
  <c r="I603" i="5" s="1"/>
  <c r="F603" i="5"/>
  <c r="E603" i="5"/>
  <c r="D603" i="5"/>
  <c r="A603" i="5"/>
  <c r="H602" i="5"/>
  <c r="I602" i="5" s="1"/>
  <c r="F602" i="5"/>
  <c r="E602" i="5"/>
  <c r="D602" i="5"/>
  <c r="A602" i="5"/>
  <c r="H601" i="5"/>
  <c r="I601" i="5" s="1"/>
  <c r="F601" i="5"/>
  <c r="E601" i="5"/>
  <c r="D601" i="5"/>
  <c r="A601" i="5"/>
  <c r="H600" i="5"/>
  <c r="I600" i="5" s="1"/>
  <c r="F600" i="5"/>
  <c r="E600" i="5"/>
  <c r="D600" i="5"/>
  <c r="A600" i="5"/>
  <c r="H599" i="5"/>
  <c r="I599" i="5" s="1"/>
  <c r="F599" i="5"/>
  <c r="E599" i="5"/>
  <c r="D599" i="5"/>
  <c r="A599" i="5"/>
  <c r="H598" i="5"/>
  <c r="I598" i="5" s="1"/>
  <c r="F598" i="5"/>
  <c r="E598" i="5"/>
  <c r="D598" i="5"/>
  <c r="A598" i="5"/>
  <c r="H597" i="5"/>
  <c r="I597" i="5" s="1"/>
  <c r="F597" i="5"/>
  <c r="E597" i="5"/>
  <c r="D597" i="5"/>
  <c r="A597" i="5"/>
  <c r="H596" i="5"/>
  <c r="I596" i="5" s="1"/>
  <c r="F596" i="5"/>
  <c r="E596" i="5"/>
  <c r="D596" i="5"/>
  <c r="A596" i="5"/>
  <c r="H595" i="5"/>
  <c r="I595" i="5" s="1"/>
  <c r="F595" i="5"/>
  <c r="E595" i="5"/>
  <c r="D595" i="5"/>
  <c r="A595" i="5"/>
  <c r="H594" i="5"/>
  <c r="I594" i="5" s="1"/>
  <c r="F594" i="5"/>
  <c r="E594" i="5"/>
  <c r="D594" i="5"/>
  <c r="A594" i="5"/>
  <c r="H593" i="5"/>
  <c r="I593" i="5" s="1"/>
  <c r="F593" i="5"/>
  <c r="E593" i="5"/>
  <c r="D593" i="5"/>
  <c r="A593" i="5"/>
  <c r="H592" i="5"/>
  <c r="I592" i="5" s="1"/>
  <c r="F592" i="5"/>
  <c r="E592" i="5"/>
  <c r="D592" i="5"/>
  <c r="A592" i="5"/>
  <c r="H591" i="5"/>
  <c r="I591" i="5" s="1"/>
  <c r="F591" i="5"/>
  <c r="E591" i="5"/>
  <c r="D591" i="5"/>
  <c r="A591" i="5"/>
  <c r="H590" i="5"/>
  <c r="I590" i="5" s="1"/>
  <c r="F590" i="5"/>
  <c r="E590" i="5"/>
  <c r="D590" i="5"/>
  <c r="A590" i="5"/>
  <c r="H589" i="5"/>
  <c r="I589" i="5" s="1"/>
  <c r="F589" i="5"/>
  <c r="E589" i="5"/>
  <c r="D589" i="5"/>
  <c r="A589" i="5"/>
  <c r="H588" i="5"/>
  <c r="I588" i="5" s="1"/>
  <c r="F588" i="5"/>
  <c r="E588" i="5"/>
  <c r="D588" i="5"/>
  <c r="A588" i="5"/>
  <c r="H587" i="5"/>
  <c r="I587" i="5" s="1"/>
  <c r="F587" i="5"/>
  <c r="E587" i="5"/>
  <c r="D587" i="5"/>
  <c r="A587" i="5"/>
  <c r="H586" i="5"/>
  <c r="I586" i="5" s="1"/>
  <c r="F586" i="5"/>
  <c r="E586" i="5"/>
  <c r="D586" i="5"/>
  <c r="A586" i="5"/>
  <c r="H585" i="5"/>
  <c r="I585" i="5" s="1"/>
  <c r="F585" i="5"/>
  <c r="E585" i="5"/>
  <c r="D585" i="5"/>
  <c r="A585" i="5"/>
  <c r="H584" i="5"/>
  <c r="I584" i="5" s="1"/>
  <c r="F584" i="5"/>
  <c r="E584" i="5"/>
  <c r="D584" i="5"/>
  <c r="A584" i="5"/>
  <c r="H583" i="5"/>
  <c r="I583" i="5" s="1"/>
  <c r="F583" i="5"/>
  <c r="E583" i="5"/>
  <c r="D583" i="5"/>
  <c r="A583" i="5"/>
  <c r="H582" i="5"/>
  <c r="I582" i="5" s="1"/>
  <c r="F582" i="5"/>
  <c r="E582" i="5"/>
  <c r="D582" i="5"/>
  <c r="A582" i="5"/>
  <c r="H581" i="5"/>
  <c r="I581" i="5" s="1"/>
  <c r="F581" i="5"/>
  <c r="E581" i="5"/>
  <c r="D581" i="5"/>
  <c r="A581" i="5"/>
  <c r="H580" i="5"/>
  <c r="I580" i="5" s="1"/>
  <c r="F580" i="5"/>
  <c r="E580" i="5"/>
  <c r="D580" i="5"/>
  <c r="A580" i="5"/>
  <c r="H579" i="5"/>
  <c r="I579" i="5" s="1"/>
  <c r="F579" i="5"/>
  <c r="E579" i="5"/>
  <c r="D579" i="5"/>
  <c r="A579" i="5"/>
  <c r="H578" i="5"/>
  <c r="I578" i="5" s="1"/>
  <c r="F578" i="5"/>
  <c r="E578" i="5"/>
  <c r="D578" i="5"/>
  <c r="A578" i="5"/>
  <c r="H577" i="5"/>
  <c r="I577" i="5" s="1"/>
  <c r="F577" i="5"/>
  <c r="E577" i="5"/>
  <c r="D577" i="5"/>
  <c r="A577" i="5"/>
  <c r="H576" i="5"/>
  <c r="I576" i="5" s="1"/>
  <c r="F576" i="5"/>
  <c r="E576" i="5"/>
  <c r="D576" i="5"/>
  <c r="A576" i="5"/>
  <c r="H575" i="5"/>
  <c r="I575" i="5" s="1"/>
  <c r="F575" i="5"/>
  <c r="E575" i="5"/>
  <c r="D575" i="5"/>
  <c r="A575" i="5"/>
  <c r="H574" i="5"/>
  <c r="I574" i="5" s="1"/>
  <c r="F574" i="5"/>
  <c r="E574" i="5"/>
  <c r="D574" i="5"/>
  <c r="A574" i="5"/>
  <c r="H573" i="5"/>
  <c r="I573" i="5" s="1"/>
  <c r="F573" i="5"/>
  <c r="E573" i="5"/>
  <c r="D573" i="5"/>
  <c r="A573" i="5"/>
  <c r="H572" i="5"/>
  <c r="I572" i="5" s="1"/>
  <c r="F572" i="5"/>
  <c r="E572" i="5"/>
  <c r="D572" i="5"/>
  <c r="A572" i="5"/>
  <c r="H571" i="5"/>
  <c r="I571" i="5" s="1"/>
  <c r="F571" i="5"/>
  <c r="E571" i="5"/>
  <c r="D571" i="5"/>
  <c r="A571" i="5"/>
  <c r="H570" i="5"/>
  <c r="I570" i="5" s="1"/>
  <c r="F570" i="5"/>
  <c r="E570" i="5"/>
  <c r="D570" i="5"/>
  <c r="A570" i="5"/>
  <c r="H569" i="5"/>
  <c r="I569" i="5" s="1"/>
  <c r="F569" i="5"/>
  <c r="E569" i="5"/>
  <c r="D569" i="5"/>
  <c r="A569" i="5"/>
  <c r="H568" i="5"/>
  <c r="I568" i="5" s="1"/>
  <c r="F568" i="5"/>
  <c r="E568" i="5"/>
  <c r="D568" i="5"/>
  <c r="A568" i="5"/>
  <c r="H567" i="5"/>
  <c r="I567" i="5" s="1"/>
  <c r="F567" i="5"/>
  <c r="E567" i="5"/>
  <c r="D567" i="5"/>
  <c r="A567" i="5"/>
  <c r="H566" i="5"/>
  <c r="I566" i="5" s="1"/>
  <c r="F566" i="5"/>
  <c r="E566" i="5"/>
  <c r="D566" i="5"/>
  <c r="A566" i="5"/>
  <c r="H565" i="5"/>
  <c r="I565" i="5" s="1"/>
  <c r="F565" i="5"/>
  <c r="E565" i="5"/>
  <c r="D565" i="5"/>
  <c r="A565" i="5"/>
  <c r="H564" i="5"/>
  <c r="I564" i="5" s="1"/>
  <c r="F564" i="5"/>
  <c r="E564" i="5"/>
  <c r="D564" i="5"/>
  <c r="A564" i="5"/>
  <c r="H563" i="5"/>
  <c r="I563" i="5" s="1"/>
  <c r="F563" i="5"/>
  <c r="E563" i="5"/>
  <c r="D563" i="5"/>
  <c r="A563" i="5"/>
  <c r="H562" i="5"/>
  <c r="I562" i="5" s="1"/>
  <c r="F562" i="5"/>
  <c r="E562" i="5"/>
  <c r="D562" i="5"/>
  <c r="A562" i="5"/>
  <c r="H561" i="5"/>
  <c r="I561" i="5" s="1"/>
  <c r="F561" i="5"/>
  <c r="E561" i="5"/>
  <c r="D561" i="5"/>
  <c r="A561" i="5"/>
  <c r="H560" i="5"/>
  <c r="I560" i="5" s="1"/>
  <c r="F560" i="5"/>
  <c r="E560" i="5"/>
  <c r="D560" i="5"/>
  <c r="A560" i="5"/>
  <c r="H559" i="5"/>
  <c r="I559" i="5" s="1"/>
  <c r="F559" i="5"/>
  <c r="E559" i="5"/>
  <c r="D559" i="5"/>
  <c r="A559" i="5"/>
  <c r="H558" i="5"/>
  <c r="I558" i="5" s="1"/>
  <c r="F558" i="5"/>
  <c r="E558" i="5"/>
  <c r="D558" i="5"/>
  <c r="A558" i="5"/>
  <c r="H557" i="5"/>
  <c r="I557" i="5" s="1"/>
  <c r="F557" i="5"/>
  <c r="E557" i="5"/>
  <c r="D557" i="5"/>
  <c r="A557" i="5"/>
  <c r="H556" i="5"/>
  <c r="I556" i="5" s="1"/>
  <c r="F556" i="5"/>
  <c r="E556" i="5"/>
  <c r="D556" i="5"/>
  <c r="A556" i="5"/>
  <c r="H555" i="5"/>
  <c r="I555" i="5" s="1"/>
  <c r="F555" i="5"/>
  <c r="E555" i="5"/>
  <c r="D555" i="5"/>
  <c r="A555" i="5"/>
  <c r="H554" i="5"/>
  <c r="I554" i="5" s="1"/>
  <c r="F554" i="5"/>
  <c r="E554" i="5"/>
  <c r="D554" i="5"/>
  <c r="A554" i="5"/>
  <c r="H553" i="5"/>
  <c r="I553" i="5" s="1"/>
  <c r="F553" i="5"/>
  <c r="E553" i="5"/>
  <c r="D553" i="5"/>
  <c r="A553" i="5"/>
  <c r="H552" i="5"/>
  <c r="I552" i="5" s="1"/>
  <c r="F552" i="5"/>
  <c r="E552" i="5"/>
  <c r="D552" i="5"/>
  <c r="A552" i="5"/>
  <c r="H551" i="5"/>
  <c r="I551" i="5" s="1"/>
  <c r="F551" i="5"/>
  <c r="E551" i="5"/>
  <c r="D551" i="5"/>
  <c r="A551" i="5"/>
  <c r="H550" i="5"/>
  <c r="I550" i="5" s="1"/>
  <c r="F550" i="5"/>
  <c r="E550" i="5"/>
  <c r="D550" i="5"/>
  <c r="A550" i="5"/>
  <c r="H549" i="5"/>
  <c r="I549" i="5" s="1"/>
  <c r="F549" i="5"/>
  <c r="E549" i="5"/>
  <c r="D549" i="5"/>
  <c r="A549" i="5"/>
  <c r="H548" i="5"/>
  <c r="I548" i="5" s="1"/>
  <c r="F548" i="5"/>
  <c r="E548" i="5"/>
  <c r="D548" i="5"/>
  <c r="A548" i="5"/>
  <c r="H547" i="5"/>
  <c r="I547" i="5" s="1"/>
  <c r="F547" i="5"/>
  <c r="E547" i="5"/>
  <c r="D547" i="5"/>
  <c r="A547" i="5"/>
  <c r="H546" i="5"/>
  <c r="I546" i="5" s="1"/>
  <c r="F546" i="5"/>
  <c r="E546" i="5"/>
  <c r="D546" i="5"/>
  <c r="A546" i="5"/>
  <c r="H545" i="5"/>
  <c r="I545" i="5" s="1"/>
  <c r="F545" i="5"/>
  <c r="E545" i="5"/>
  <c r="D545" i="5"/>
  <c r="A545" i="5"/>
  <c r="H544" i="5"/>
  <c r="I544" i="5" s="1"/>
  <c r="F544" i="5"/>
  <c r="E544" i="5"/>
  <c r="D544" i="5"/>
  <c r="A544" i="5"/>
  <c r="H543" i="5"/>
  <c r="I543" i="5" s="1"/>
  <c r="F543" i="5"/>
  <c r="E543" i="5"/>
  <c r="D543" i="5"/>
  <c r="A543" i="5"/>
  <c r="H542" i="5"/>
  <c r="I542" i="5" s="1"/>
  <c r="F542" i="5"/>
  <c r="E542" i="5"/>
  <c r="D542" i="5"/>
  <c r="A542" i="5"/>
  <c r="H541" i="5"/>
  <c r="I541" i="5" s="1"/>
  <c r="F541" i="5"/>
  <c r="E541" i="5"/>
  <c r="D541" i="5"/>
  <c r="A541" i="5"/>
  <c r="H540" i="5"/>
  <c r="I540" i="5" s="1"/>
  <c r="F540" i="5"/>
  <c r="E540" i="5"/>
  <c r="D540" i="5"/>
  <c r="A540" i="5"/>
  <c r="H539" i="5"/>
  <c r="I539" i="5" s="1"/>
  <c r="F539" i="5"/>
  <c r="E539" i="5"/>
  <c r="D539" i="5"/>
  <c r="A539" i="5"/>
  <c r="H538" i="5"/>
  <c r="I538" i="5" s="1"/>
  <c r="F538" i="5"/>
  <c r="E538" i="5"/>
  <c r="D538" i="5"/>
  <c r="A538" i="5"/>
  <c r="H537" i="5"/>
  <c r="I537" i="5" s="1"/>
  <c r="F537" i="5"/>
  <c r="E537" i="5"/>
  <c r="D537" i="5"/>
  <c r="A537" i="5"/>
  <c r="H536" i="5"/>
  <c r="I536" i="5" s="1"/>
  <c r="F536" i="5"/>
  <c r="E536" i="5"/>
  <c r="D536" i="5"/>
  <c r="A536" i="5"/>
  <c r="H535" i="5"/>
  <c r="I535" i="5" s="1"/>
  <c r="F535" i="5"/>
  <c r="E535" i="5"/>
  <c r="D535" i="5"/>
  <c r="A535" i="5"/>
  <c r="H534" i="5"/>
  <c r="I534" i="5" s="1"/>
  <c r="F534" i="5"/>
  <c r="E534" i="5"/>
  <c r="D534" i="5"/>
  <c r="A534" i="5"/>
  <c r="H533" i="5"/>
  <c r="I533" i="5" s="1"/>
  <c r="F533" i="5"/>
  <c r="E533" i="5"/>
  <c r="D533" i="5"/>
  <c r="A533" i="5"/>
  <c r="H532" i="5"/>
  <c r="I532" i="5" s="1"/>
  <c r="F532" i="5"/>
  <c r="E532" i="5"/>
  <c r="D532" i="5"/>
  <c r="A532" i="5"/>
  <c r="H531" i="5"/>
  <c r="I531" i="5" s="1"/>
  <c r="F531" i="5"/>
  <c r="E531" i="5"/>
  <c r="D531" i="5"/>
  <c r="A531" i="5"/>
  <c r="H530" i="5"/>
  <c r="I530" i="5" s="1"/>
  <c r="F530" i="5"/>
  <c r="E530" i="5"/>
  <c r="D530" i="5"/>
  <c r="A530" i="5"/>
  <c r="H529" i="5"/>
  <c r="I529" i="5" s="1"/>
  <c r="F529" i="5"/>
  <c r="E529" i="5"/>
  <c r="D529" i="5"/>
  <c r="A529" i="5"/>
  <c r="H528" i="5"/>
  <c r="I528" i="5" s="1"/>
  <c r="F528" i="5"/>
  <c r="E528" i="5"/>
  <c r="D528" i="5"/>
  <c r="A528" i="5"/>
  <c r="H527" i="5"/>
  <c r="I527" i="5" s="1"/>
  <c r="F527" i="5"/>
  <c r="E527" i="5"/>
  <c r="D527" i="5"/>
  <c r="A527" i="5"/>
  <c r="H526" i="5"/>
  <c r="I526" i="5" s="1"/>
  <c r="F526" i="5"/>
  <c r="E526" i="5"/>
  <c r="D526" i="5"/>
  <c r="A526" i="5"/>
  <c r="H525" i="5"/>
  <c r="I525" i="5" s="1"/>
  <c r="F525" i="5"/>
  <c r="E525" i="5"/>
  <c r="D525" i="5"/>
  <c r="A525" i="5"/>
  <c r="H524" i="5"/>
  <c r="I524" i="5" s="1"/>
  <c r="F524" i="5"/>
  <c r="E524" i="5"/>
  <c r="D524" i="5"/>
  <c r="A524" i="5"/>
  <c r="H523" i="5"/>
  <c r="I523" i="5" s="1"/>
  <c r="F523" i="5"/>
  <c r="E523" i="5"/>
  <c r="D523" i="5"/>
  <c r="A523" i="5"/>
  <c r="H522" i="5"/>
  <c r="I522" i="5" s="1"/>
  <c r="F522" i="5"/>
  <c r="E522" i="5"/>
  <c r="D522" i="5"/>
  <c r="A522" i="5"/>
  <c r="H521" i="5"/>
  <c r="I521" i="5" s="1"/>
  <c r="F521" i="5"/>
  <c r="E521" i="5"/>
  <c r="D521" i="5"/>
  <c r="A521" i="5"/>
  <c r="H520" i="5"/>
  <c r="I520" i="5" s="1"/>
  <c r="F520" i="5"/>
  <c r="E520" i="5"/>
  <c r="D520" i="5"/>
  <c r="A520" i="5"/>
  <c r="H519" i="5"/>
  <c r="I519" i="5" s="1"/>
  <c r="F519" i="5"/>
  <c r="E519" i="5"/>
  <c r="D519" i="5"/>
  <c r="A519" i="5"/>
  <c r="H518" i="5"/>
  <c r="I518" i="5" s="1"/>
  <c r="F518" i="5"/>
  <c r="E518" i="5"/>
  <c r="D518" i="5"/>
  <c r="A518" i="5"/>
  <c r="H517" i="5"/>
  <c r="I517" i="5" s="1"/>
  <c r="F517" i="5"/>
  <c r="E517" i="5"/>
  <c r="D517" i="5"/>
  <c r="A517" i="5"/>
  <c r="H516" i="5"/>
  <c r="I516" i="5" s="1"/>
  <c r="F516" i="5"/>
  <c r="E516" i="5"/>
  <c r="D516" i="5"/>
  <c r="A516" i="5"/>
  <c r="H515" i="5"/>
  <c r="I515" i="5" s="1"/>
  <c r="F515" i="5"/>
  <c r="E515" i="5"/>
  <c r="D515" i="5"/>
  <c r="A515" i="5"/>
  <c r="H514" i="5"/>
  <c r="I514" i="5" s="1"/>
  <c r="F514" i="5"/>
  <c r="E514" i="5"/>
  <c r="D514" i="5"/>
  <c r="A514" i="5"/>
  <c r="H513" i="5"/>
  <c r="I513" i="5" s="1"/>
  <c r="F513" i="5"/>
  <c r="E513" i="5"/>
  <c r="D513" i="5"/>
  <c r="A513" i="5"/>
  <c r="H512" i="5"/>
  <c r="I512" i="5" s="1"/>
  <c r="F512" i="5"/>
  <c r="E512" i="5"/>
  <c r="D512" i="5"/>
  <c r="A512" i="5"/>
  <c r="H511" i="5"/>
  <c r="I511" i="5" s="1"/>
  <c r="F511" i="5"/>
  <c r="E511" i="5"/>
  <c r="D511" i="5"/>
  <c r="A511" i="5"/>
  <c r="H510" i="5"/>
  <c r="I510" i="5" s="1"/>
  <c r="F510" i="5"/>
  <c r="E510" i="5"/>
  <c r="D510" i="5"/>
  <c r="A510" i="5"/>
  <c r="H509" i="5"/>
  <c r="I509" i="5" s="1"/>
  <c r="F509" i="5"/>
  <c r="E509" i="5"/>
  <c r="D509" i="5"/>
  <c r="A509" i="5"/>
  <c r="H508" i="5"/>
  <c r="I508" i="5" s="1"/>
  <c r="F508" i="5"/>
  <c r="E508" i="5"/>
  <c r="D508" i="5"/>
  <c r="A508" i="5"/>
  <c r="H507" i="5"/>
  <c r="I507" i="5" s="1"/>
  <c r="F507" i="5"/>
  <c r="E507" i="5"/>
  <c r="D507" i="5"/>
  <c r="A507" i="5"/>
  <c r="H506" i="5"/>
  <c r="I506" i="5" s="1"/>
  <c r="F506" i="5"/>
  <c r="E506" i="5"/>
  <c r="D506" i="5"/>
  <c r="A506" i="5"/>
  <c r="H505" i="5"/>
  <c r="I505" i="5" s="1"/>
  <c r="F505" i="5"/>
  <c r="E505" i="5"/>
  <c r="D505" i="5"/>
  <c r="A505" i="5"/>
  <c r="H504" i="5"/>
  <c r="I504" i="5" s="1"/>
  <c r="F504" i="5"/>
  <c r="E504" i="5"/>
  <c r="D504" i="5"/>
  <c r="A504" i="5"/>
  <c r="H503" i="5"/>
  <c r="I503" i="5" s="1"/>
  <c r="F503" i="5"/>
  <c r="E503" i="5"/>
  <c r="D503" i="5"/>
  <c r="A503" i="5"/>
  <c r="H502" i="5"/>
  <c r="I502" i="5" s="1"/>
  <c r="F502" i="5"/>
  <c r="E502" i="5"/>
  <c r="D502" i="5"/>
  <c r="A502" i="5"/>
  <c r="H501" i="5"/>
  <c r="I501" i="5" s="1"/>
  <c r="F501" i="5"/>
  <c r="E501" i="5"/>
  <c r="D501" i="5"/>
  <c r="A501" i="5"/>
  <c r="H500" i="5"/>
  <c r="I500" i="5" s="1"/>
  <c r="F500" i="5"/>
  <c r="E500" i="5"/>
  <c r="D500" i="5"/>
  <c r="A500" i="5"/>
  <c r="H499" i="5"/>
  <c r="I499" i="5" s="1"/>
  <c r="F499" i="5"/>
  <c r="E499" i="5"/>
  <c r="D499" i="5"/>
  <c r="A499" i="5"/>
  <c r="H498" i="5"/>
  <c r="I498" i="5" s="1"/>
  <c r="F498" i="5"/>
  <c r="E498" i="5"/>
  <c r="D498" i="5"/>
  <c r="A498" i="5"/>
  <c r="H497" i="5"/>
  <c r="I497" i="5" s="1"/>
  <c r="F497" i="5"/>
  <c r="E497" i="5"/>
  <c r="D497" i="5"/>
  <c r="A497" i="5"/>
  <c r="H496" i="5"/>
  <c r="I496" i="5" s="1"/>
  <c r="F496" i="5"/>
  <c r="E496" i="5"/>
  <c r="D496" i="5"/>
  <c r="A496" i="5"/>
  <c r="H495" i="5"/>
  <c r="I495" i="5" s="1"/>
  <c r="F495" i="5"/>
  <c r="E495" i="5"/>
  <c r="D495" i="5"/>
  <c r="A495" i="5"/>
  <c r="H494" i="5"/>
  <c r="I494" i="5" s="1"/>
  <c r="F494" i="5"/>
  <c r="E494" i="5"/>
  <c r="D494" i="5"/>
  <c r="A494" i="5"/>
  <c r="H493" i="5"/>
  <c r="I493" i="5" s="1"/>
  <c r="F493" i="5"/>
  <c r="E493" i="5"/>
  <c r="D493" i="5"/>
  <c r="A493" i="5"/>
  <c r="H492" i="5"/>
  <c r="I492" i="5" s="1"/>
  <c r="F492" i="5"/>
  <c r="E492" i="5"/>
  <c r="D492" i="5"/>
  <c r="A492" i="5"/>
  <c r="H491" i="5"/>
  <c r="I491" i="5" s="1"/>
  <c r="F491" i="5"/>
  <c r="E491" i="5"/>
  <c r="D491" i="5"/>
  <c r="A491" i="5"/>
  <c r="H490" i="5"/>
  <c r="I490" i="5" s="1"/>
  <c r="F490" i="5"/>
  <c r="E490" i="5"/>
  <c r="D490" i="5"/>
  <c r="A490" i="5"/>
  <c r="H489" i="5"/>
  <c r="I489" i="5" s="1"/>
  <c r="F489" i="5"/>
  <c r="E489" i="5"/>
  <c r="D489" i="5"/>
  <c r="A489" i="5"/>
  <c r="H488" i="5"/>
  <c r="I488" i="5" s="1"/>
  <c r="F488" i="5"/>
  <c r="E488" i="5"/>
  <c r="D488" i="5"/>
  <c r="A488" i="5"/>
  <c r="H487" i="5"/>
  <c r="I487" i="5" s="1"/>
  <c r="F487" i="5"/>
  <c r="E487" i="5"/>
  <c r="D487" i="5"/>
  <c r="A487" i="5"/>
  <c r="H486" i="5"/>
  <c r="I486" i="5" s="1"/>
  <c r="F486" i="5"/>
  <c r="E486" i="5"/>
  <c r="D486" i="5"/>
  <c r="A486" i="5"/>
  <c r="H485" i="5"/>
  <c r="I485" i="5" s="1"/>
  <c r="F485" i="5"/>
  <c r="E485" i="5"/>
  <c r="D485" i="5"/>
  <c r="A485" i="5"/>
  <c r="H484" i="5"/>
  <c r="I484" i="5" s="1"/>
  <c r="F484" i="5"/>
  <c r="E484" i="5"/>
  <c r="D484" i="5"/>
  <c r="A484" i="5"/>
  <c r="H483" i="5"/>
  <c r="I483" i="5" s="1"/>
  <c r="F483" i="5"/>
  <c r="E483" i="5"/>
  <c r="D483" i="5"/>
  <c r="A483" i="5"/>
  <c r="H482" i="5"/>
  <c r="I482" i="5" s="1"/>
  <c r="F482" i="5"/>
  <c r="E482" i="5"/>
  <c r="D482" i="5"/>
  <c r="A482" i="5"/>
  <c r="H481" i="5"/>
  <c r="I481" i="5" s="1"/>
  <c r="F481" i="5"/>
  <c r="E481" i="5"/>
  <c r="D481" i="5"/>
  <c r="A481" i="5"/>
  <c r="H480" i="5"/>
  <c r="I480" i="5" s="1"/>
  <c r="F480" i="5"/>
  <c r="E480" i="5"/>
  <c r="D480" i="5"/>
  <c r="A480" i="5"/>
  <c r="H479" i="5"/>
  <c r="I479" i="5" s="1"/>
  <c r="F479" i="5"/>
  <c r="E479" i="5"/>
  <c r="D479" i="5"/>
  <c r="A479" i="5"/>
  <c r="H478" i="5"/>
  <c r="I478" i="5" s="1"/>
  <c r="F478" i="5"/>
  <c r="E478" i="5"/>
  <c r="D478" i="5"/>
  <c r="A478" i="5"/>
  <c r="H477" i="5"/>
  <c r="I477" i="5" s="1"/>
  <c r="F477" i="5"/>
  <c r="E477" i="5"/>
  <c r="D477" i="5"/>
  <c r="A477" i="5"/>
  <c r="H476" i="5"/>
  <c r="I476" i="5" s="1"/>
  <c r="F476" i="5"/>
  <c r="E476" i="5"/>
  <c r="D476" i="5"/>
  <c r="A476" i="5"/>
  <c r="H475" i="5"/>
  <c r="I475" i="5" s="1"/>
  <c r="F475" i="5"/>
  <c r="E475" i="5"/>
  <c r="D475" i="5"/>
  <c r="A475" i="5"/>
  <c r="H474" i="5"/>
  <c r="I474" i="5" s="1"/>
  <c r="F474" i="5"/>
  <c r="E474" i="5"/>
  <c r="D474" i="5"/>
  <c r="A474" i="5"/>
  <c r="H473" i="5"/>
  <c r="I473" i="5" s="1"/>
  <c r="F473" i="5"/>
  <c r="E473" i="5"/>
  <c r="D473" i="5"/>
  <c r="A473" i="5"/>
  <c r="H472" i="5"/>
  <c r="I472" i="5" s="1"/>
  <c r="F472" i="5"/>
  <c r="E472" i="5"/>
  <c r="D472" i="5"/>
  <c r="A472" i="5"/>
  <c r="H471" i="5"/>
  <c r="I471" i="5" s="1"/>
  <c r="F471" i="5"/>
  <c r="E471" i="5"/>
  <c r="D471" i="5"/>
  <c r="A471" i="5"/>
  <c r="H470" i="5"/>
  <c r="I470" i="5" s="1"/>
  <c r="F470" i="5"/>
  <c r="E470" i="5"/>
  <c r="D470" i="5"/>
  <c r="A470" i="5"/>
  <c r="H469" i="5"/>
  <c r="I469" i="5" s="1"/>
  <c r="F469" i="5"/>
  <c r="E469" i="5"/>
  <c r="D469" i="5"/>
  <c r="A469" i="5"/>
  <c r="H468" i="5"/>
  <c r="I468" i="5" s="1"/>
  <c r="F468" i="5"/>
  <c r="E468" i="5"/>
  <c r="D468" i="5"/>
  <c r="A468" i="5"/>
  <c r="H467" i="5"/>
  <c r="I467" i="5" s="1"/>
  <c r="F467" i="5"/>
  <c r="E467" i="5"/>
  <c r="D467" i="5"/>
  <c r="A467" i="5"/>
  <c r="H466" i="5"/>
  <c r="I466" i="5" s="1"/>
  <c r="F466" i="5"/>
  <c r="E466" i="5"/>
  <c r="D466" i="5"/>
  <c r="A466" i="5"/>
  <c r="H465" i="5"/>
  <c r="I465" i="5" s="1"/>
  <c r="F465" i="5"/>
  <c r="E465" i="5"/>
  <c r="D465" i="5"/>
  <c r="A465" i="5"/>
  <c r="H464" i="5"/>
  <c r="I464" i="5" s="1"/>
  <c r="F464" i="5"/>
  <c r="E464" i="5"/>
  <c r="D464" i="5"/>
  <c r="A464" i="5"/>
  <c r="H463" i="5"/>
  <c r="I463" i="5" s="1"/>
  <c r="F463" i="5"/>
  <c r="E463" i="5"/>
  <c r="D463" i="5"/>
  <c r="A463" i="5"/>
  <c r="H462" i="5"/>
  <c r="I462" i="5" s="1"/>
  <c r="F462" i="5"/>
  <c r="E462" i="5"/>
  <c r="D462" i="5"/>
  <c r="A462" i="5"/>
  <c r="H461" i="5"/>
  <c r="I461" i="5" s="1"/>
  <c r="F461" i="5"/>
  <c r="E461" i="5"/>
  <c r="D461" i="5"/>
  <c r="A461" i="5"/>
  <c r="H460" i="5"/>
  <c r="I460" i="5" s="1"/>
  <c r="F460" i="5"/>
  <c r="E460" i="5"/>
  <c r="D460" i="5"/>
  <c r="A460" i="5"/>
  <c r="H459" i="5"/>
  <c r="I459" i="5" s="1"/>
  <c r="F459" i="5"/>
  <c r="E459" i="5"/>
  <c r="D459" i="5"/>
  <c r="A459" i="5"/>
  <c r="H458" i="5"/>
  <c r="I458" i="5" s="1"/>
  <c r="F458" i="5"/>
  <c r="E458" i="5"/>
  <c r="D458" i="5"/>
  <c r="A458" i="5"/>
  <c r="H457" i="5"/>
  <c r="I457" i="5" s="1"/>
  <c r="F457" i="5"/>
  <c r="E457" i="5"/>
  <c r="D457" i="5"/>
  <c r="A457" i="5"/>
  <c r="H456" i="5"/>
  <c r="I456" i="5" s="1"/>
  <c r="F456" i="5"/>
  <c r="E456" i="5"/>
  <c r="D456" i="5"/>
  <c r="A456" i="5"/>
  <c r="H455" i="5"/>
  <c r="I455" i="5" s="1"/>
  <c r="F455" i="5"/>
  <c r="E455" i="5"/>
  <c r="D455" i="5"/>
  <c r="A455" i="5"/>
  <c r="H454" i="5"/>
  <c r="I454" i="5" s="1"/>
  <c r="F454" i="5"/>
  <c r="E454" i="5"/>
  <c r="D454" i="5"/>
  <c r="A454" i="5"/>
  <c r="H453" i="5"/>
  <c r="I453" i="5" s="1"/>
  <c r="F453" i="5"/>
  <c r="E453" i="5"/>
  <c r="D453" i="5"/>
  <c r="A453" i="5"/>
  <c r="H452" i="5"/>
  <c r="I452" i="5" s="1"/>
  <c r="F452" i="5"/>
  <c r="E452" i="5"/>
  <c r="D452" i="5"/>
  <c r="A452" i="5"/>
  <c r="H451" i="5"/>
  <c r="I451" i="5" s="1"/>
  <c r="F451" i="5"/>
  <c r="E451" i="5"/>
  <c r="D451" i="5"/>
  <c r="A451" i="5"/>
  <c r="H450" i="5"/>
  <c r="I450" i="5" s="1"/>
  <c r="F450" i="5"/>
  <c r="E450" i="5"/>
  <c r="D450" i="5"/>
  <c r="A450" i="5"/>
  <c r="H449" i="5"/>
  <c r="I449" i="5" s="1"/>
  <c r="F449" i="5"/>
  <c r="E449" i="5"/>
  <c r="D449" i="5"/>
  <c r="A449" i="5"/>
  <c r="H448" i="5"/>
  <c r="I448" i="5" s="1"/>
  <c r="F448" i="5"/>
  <c r="E448" i="5"/>
  <c r="D448" i="5"/>
  <c r="A448" i="5"/>
  <c r="H447" i="5"/>
  <c r="I447" i="5" s="1"/>
  <c r="F447" i="5"/>
  <c r="E447" i="5"/>
  <c r="D447" i="5"/>
  <c r="A447" i="5"/>
  <c r="H446" i="5"/>
  <c r="I446" i="5" s="1"/>
  <c r="F446" i="5"/>
  <c r="E446" i="5"/>
  <c r="D446" i="5"/>
  <c r="A446" i="5"/>
  <c r="H445" i="5"/>
  <c r="I445" i="5" s="1"/>
  <c r="F445" i="5"/>
  <c r="E445" i="5"/>
  <c r="D445" i="5"/>
  <c r="A445" i="5"/>
  <c r="H444" i="5"/>
  <c r="I444" i="5" s="1"/>
  <c r="F444" i="5"/>
  <c r="E444" i="5"/>
  <c r="D444" i="5"/>
  <c r="A444" i="5"/>
  <c r="H443" i="5"/>
  <c r="I443" i="5" s="1"/>
  <c r="F443" i="5"/>
  <c r="E443" i="5"/>
  <c r="D443" i="5"/>
  <c r="A443" i="5"/>
  <c r="H442" i="5"/>
  <c r="I442" i="5" s="1"/>
  <c r="F442" i="5"/>
  <c r="E442" i="5"/>
  <c r="D442" i="5"/>
  <c r="A442" i="5"/>
  <c r="H441" i="5"/>
  <c r="I441" i="5" s="1"/>
  <c r="F441" i="5"/>
  <c r="E441" i="5"/>
  <c r="D441" i="5"/>
  <c r="A441" i="5"/>
  <c r="H440" i="5"/>
  <c r="I440" i="5" s="1"/>
  <c r="F440" i="5"/>
  <c r="E440" i="5"/>
  <c r="D440" i="5"/>
  <c r="A440" i="5"/>
  <c r="H439" i="5"/>
  <c r="I439" i="5" s="1"/>
  <c r="F439" i="5"/>
  <c r="E439" i="5"/>
  <c r="D439" i="5"/>
  <c r="A439" i="5"/>
  <c r="H438" i="5"/>
  <c r="I438" i="5" s="1"/>
  <c r="F438" i="5"/>
  <c r="E438" i="5"/>
  <c r="D438" i="5"/>
  <c r="A438" i="5"/>
  <c r="H437" i="5"/>
  <c r="I437" i="5" s="1"/>
  <c r="F437" i="5"/>
  <c r="E437" i="5"/>
  <c r="D437" i="5"/>
  <c r="A437" i="5"/>
  <c r="H436" i="5"/>
  <c r="I436" i="5" s="1"/>
  <c r="F436" i="5"/>
  <c r="E436" i="5"/>
  <c r="D436" i="5"/>
  <c r="A436" i="5"/>
  <c r="H435" i="5"/>
  <c r="I435" i="5" s="1"/>
  <c r="F435" i="5"/>
  <c r="E435" i="5"/>
  <c r="D435" i="5"/>
  <c r="A435" i="5"/>
  <c r="H434" i="5"/>
  <c r="I434" i="5" s="1"/>
  <c r="F434" i="5"/>
  <c r="E434" i="5"/>
  <c r="D434" i="5"/>
  <c r="A434" i="5"/>
  <c r="H433" i="5"/>
  <c r="I433" i="5" s="1"/>
  <c r="F433" i="5"/>
  <c r="E433" i="5"/>
  <c r="D433" i="5"/>
  <c r="A433" i="5"/>
  <c r="H432" i="5"/>
  <c r="I432" i="5" s="1"/>
  <c r="F432" i="5"/>
  <c r="E432" i="5"/>
  <c r="D432" i="5"/>
  <c r="A432" i="5"/>
  <c r="H431" i="5"/>
  <c r="I431" i="5" s="1"/>
  <c r="F431" i="5"/>
  <c r="E431" i="5"/>
  <c r="D431" i="5"/>
  <c r="A431" i="5"/>
  <c r="H430" i="5"/>
  <c r="I430" i="5" s="1"/>
  <c r="F430" i="5"/>
  <c r="E430" i="5"/>
  <c r="D430" i="5"/>
  <c r="A430" i="5"/>
  <c r="H429" i="5"/>
  <c r="I429" i="5" s="1"/>
  <c r="F429" i="5"/>
  <c r="E429" i="5"/>
  <c r="D429" i="5"/>
  <c r="A429" i="5"/>
  <c r="H428" i="5"/>
  <c r="I428" i="5" s="1"/>
  <c r="F428" i="5"/>
  <c r="E428" i="5"/>
  <c r="D428" i="5"/>
  <c r="A428" i="5"/>
  <c r="H427" i="5"/>
  <c r="I427" i="5" s="1"/>
  <c r="F427" i="5"/>
  <c r="E427" i="5"/>
  <c r="D427" i="5"/>
  <c r="A427" i="5"/>
  <c r="H426" i="5"/>
  <c r="I426" i="5" s="1"/>
  <c r="F426" i="5"/>
  <c r="E426" i="5"/>
  <c r="D426" i="5"/>
  <c r="A426" i="5"/>
  <c r="H425" i="5"/>
  <c r="I425" i="5" s="1"/>
  <c r="F425" i="5"/>
  <c r="E425" i="5"/>
  <c r="D425" i="5"/>
  <c r="A425" i="5"/>
  <c r="H424" i="5"/>
  <c r="I424" i="5" s="1"/>
  <c r="F424" i="5"/>
  <c r="E424" i="5"/>
  <c r="D424" i="5"/>
  <c r="A424" i="5"/>
  <c r="H423" i="5"/>
  <c r="I423" i="5" s="1"/>
  <c r="F423" i="5"/>
  <c r="E423" i="5"/>
  <c r="D423" i="5"/>
  <c r="A423" i="5"/>
  <c r="H422" i="5"/>
  <c r="I422" i="5" s="1"/>
  <c r="F422" i="5"/>
  <c r="E422" i="5"/>
  <c r="D422" i="5"/>
  <c r="A422" i="5"/>
  <c r="H421" i="5"/>
  <c r="I421" i="5" s="1"/>
  <c r="F421" i="5"/>
  <c r="E421" i="5"/>
  <c r="D421" i="5"/>
  <c r="A421" i="5"/>
  <c r="H420" i="5"/>
  <c r="I420" i="5" s="1"/>
  <c r="F420" i="5"/>
  <c r="E420" i="5"/>
  <c r="D420" i="5"/>
  <c r="A420" i="5"/>
  <c r="H419" i="5"/>
  <c r="I419" i="5" s="1"/>
  <c r="F419" i="5"/>
  <c r="E419" i="5"/>
  <c r="D419" i="5"/>
  <c r="A419" i="5"/>
  <c r="H418" i="5"/>
  <c r="I418" i="5" s="1"/>
  <c r="F418" i="5"/>
  <c r="E418" i="5"/>
  <c r="D418" i="5"/>
  <c r="A418" i="5"/>
  <c r="H417" i="5"/>
  <c r="I417" i="5" s="1"/>
  <c r="F417" i="5"/>
  <c r="E417" i="5"/>
  <c r="D417" i="5"/>
  <c r="A417" i="5"/>
  <c r="H416" i="5"/>
  <c r="I416" i="5" s="1"/>
  <c r="F416" i="5"/>
  <c r="E416" i="5"/>
  <c r="D416" i="5"/>
  <c r="A416" i="5"/>
  <c r="H415" i="5"/>
  <c r="I415" i="5" s="1"/>
  <c r="F415" i="5"/>
  <c r="E415" i="5"/>
  <c r="D415" i="5"/>
  <c r="A415" i="5"/>
  <c r="H414" i="5"/>
  <c r="I414" i="5" s="1"/>
  <c r="F414" i="5"/>
  <c r="E414" i="5"/>
  <c r="D414" i="5"/>
  <c r="A414" i="5"/>
  <c r="H413" i="5"/>
  <c r="I413" i="5" s="1"/>
  <c r="F413" i="5"/>
  <c r="E413" i="5"/>
  <c r="D413" i="5"/>
  <c r="A413" i="5"/>
  <c r="H412" i="5"/>
  <c r="I412" i="5" s="1"/>
  <c r="F412" i="5"/>
  <c r="E412" i="5"/>
  <c r="D412" i="5"/>
  <c r="A412" i="5"/>
  <c r="H411" i="5"/>
  <c r="I411" i="5" s="1"/>
  <c r="F411" i="5"/>
  <c r="E411" i="5"/>
  <c r="D411" i="5"/>
  <c r="A411" i="5"/>
  <c r="H410" i="5"/>
  <c r="I410" i="5" s="1"/>
  <c r="F410" i="5"/>
  <c r="E410" i="5"/>
  <c r="D410" i="5"/>
  <c r="A410" i="5"/>
  <c r="H409" i="5"/>
  <c r="I409" i="5" s="1"/>
  <c r="F409" i="5"/>
  <c r="E409" i="5"/>
  <c r="D409" i="5"/>
  <c r="A409" i="5"/>
  <c r="H408" i="5"/>
  <c r="I408" i="5" s="1"/>
  <c r="F408" i="5"/>
  <c r="E408" i="5"/>
  <c r="D408" i="5"/>
  <c r="A408" i="5"/>
  <c r="H407" i="5"/>
  <c r="I407" i="5" s="1"/>
  <c r="F407" i="5"/>
  <c r="E407" i="5"/>
  <c r="D407" i="5"/>
  <c r="A407" i="5"/>
  <c r="H406" i="5"/>
  <c r="I406" i="5" s="1"/>
  <c r="F406" i="5"/>
  <c r="E406" i="5"/>
  <c r="D406" i="5"/>
  <c r="A406" i="5"/>
  <c r="H405" i="5"/>
  <c r="I405" i="5" s="1"/>
  <c r="F405" i="5"/>
  <c r="E405" i="5"/>
  <c r="D405" i="5"/>
  <c r="A405" i="5"/>
  <c r="H404" i="5"/>
  <c r="I404" i="5" s="1"/>
  <c r="F404" i="5"/>
  <c r="E404" i="5"/>
  <c r="D404" i="5"/>
  <c r="A404" i="5"/>
  <c r="H403" i="5"/>
  <c r="I403" i="5" s="1"/>
  <c r="F403" i="5"/>
  <c r="E403" i="5"/>
  <c r="D403" i="5"/>
  <c r="A403" i="5"/>
  <c r="H402" i="5"/>
  <c r="I402" i="5" s="1"/>
  <c r="F402" i="5"/>
  <c r="E402" i="5"/>
  <c r="D402" i="5"/>
  <c r="A402" i="5"/>
  <c r="H401" i="5"/>
  <c r="I401" i="5" s="1"/>
  <c r="F401" i="5"/>
  <c r="E401" i="5"/>
  <c r="D401" i="5"/>
  <c r="A401" i="5"/>
  <c r="H400" i="5"/>
  <c r="I400" i="5" s="1"/>
  <c r="F400" i="5"/>
  <c r="E400" i="5"/>
  <c r="D400" i="5"/>
  <c r="A400" i="5"/>
  <c r="H399" i="5"/>
  <c r="I399" i="5" s="1"/>
  <c r="F399" i="5"/>
  <c r="E399" i="5"/>
  <c r="D399" i="5"/>
  <c r="A399" i="5"/>
  <c r="H398" i="5"/>
  <c r="I398" i="5" s="1"/>
  <c r="F398" i="5"/>
  <c r="E398" i="5"/>
  <c r="D398" i="5"/>
  <c r="A398" i="5"/>
  <c r="H397" i="5"/>
  <c r="I397" i="5" s="1"/>
  <c r="F397" i="5"/>
  <c r="E397" i="5"/>
  <c r="D397" i="5"/>
  <c r="A397" i="5"/>
  <c r="H396" i="5"/>
  <c r="I396" i="5" s="1"/>
  <c r="F396" i="5"/>
  <c r="E396" i="5"/>
  <c r="D396" i="5"/>
  <c r="A396" i="5"/>
  <c r="H395" i="5"/>
  <c r="I395" i="5" s="1"/>
  <c r="F395" i="5"/>
  <c r="E395" i="5"/>
  <c r="D395" i="5"/>
  <c r="A395" i="5"/>
  <c r="H394" i="5"/>
  <c r="I394" i="5" s="1"/>
  <c r="F394" i="5"/>
  <c r="E394" i="5"/>
  <c r="D394" i="5"/>
  <c r="A394" i="5"/>
  <c r="H393" i="5"/>
  <c r="I393" i="5" s="1"/>
  <c r="F393" i="5"/>
  <c r="E393" i="5"/>
  <c r="D393" i="5"/>
  <c r="A393" i="5"/>
  <c r="H392" i="5"/>
  <c r="I392" i="5" s="1"/>
  <c r="F392" i="5"/>
  <c r="E392" i="5"/>
  <c r="D392" i="5"/>
  <c r="A392" i="5"/>
  <c r="H391" i="5"/>
  <c r="I391" i="5" s="1"/>
  <c r="F391" i="5"/>
  <c r="E391" i="5"/>
  <c r="D391" i="5"/>
  <c r="A391" i="5"/>
  <c r="H390" i="5"/>
  <c r="I390" i="5" s="1"/>
  <c r="F390" i="5"/>
  <c r="E390" i="5"/>
  <c r="D390" i="5"/>
  <c r="A390" i="5"/>
  <c r="H389" i="5"/>
  <c r="I389" i="5" s="1"/>
  <c r="F389" i="5"/>
  <c r="E389" i="5"/>
  <c r="D389" i="5"/>
  <c r="A389" i="5"/>
  <c r="H388" i="5"/>
  <c r="I388" i="5" s="1"/>
  <c r="F388" i="5"/>
  <c r="E388" i="5"/>
  <c r="D388" i="5"/>
  <c r="A388" i="5"/>
  <c r="H387" i="5"/>
  <c r="I387" i="5" s="1"/>
  <c r="F387" i="5"/>
  <c r="E387" i="5"/>
  <c r="D387" i="5"/>
  <c r="A387" i="5"/>
  <c r="H386" i="5"/>
  <c r="I386" i="5" s="1"/>
  <c r="F386" i="5"/>
  <c r="E386" i="5"/>
  <c r="D386" i="5"/>
  <c r="A386" i="5"/>
  <c r="H385" i="5"/>
  <c r="I385" i="5" s="1"/>
  <c r="F385" i="5"/>
  <c r="E385" i="5"/>
  <c r="D385" i="5"/>
  <c r="A385" i="5"/>
  <c r="H384" i="5"/>
  <c r="I384" i="5" s="1"/>
  <c r="F384" i="5"/>
  <c r="E384" i="5"/>
  <c r="D384" i="5"/>
  <c r="A384" i="5"/>
  <c r="H383" i="5"/>
  <c r="I383" i="5" s="1"/>
  <c r="F383" i="5"/>
  <c r="E383" i="5"/>
  <c r="D383" i="5"/>
  <c r="A383" i="5"/>
  <c r="H382" i="5"/>
  <c r="I382" i="5" s="1"/>
  <c r="F382" i="5"/>
  <c r="E382" i="5"/>
  <c r="D382" i="5"/>
  <c r="A382" i="5"/>
  <c r="H381" i="5"/>
  <c r="I381" i="5" s="1"/>
  <c r="F381" i="5"/>
  <c r="E381" i="5"/>
  <c r="D381" i="5"/>
  <c r="A381" i="5"/>
  <c r="H380" i="5"/>
  <c r="I380" i="5" s="1"/>
  <c r="F380" i="5"/>
  <c r="E380" i="5"/>
  <c r="D380" i="5"/>
  <c r="A380" i="5"/>
  <c r="H379" i="5"/>
  <c r="I379" i="5" s="1"/>
  <c r="F379" i="5"/>
  <c r="E379" i="5"/>
  <c r="D379" i="5"/>
  <c r="A379" i="5"/>
  <c r="H378" i="5"/>
  <c r="I378" i="5" s="1"/>
  <c r="F378" i="5"/>
  <c r="E378" i="5"/>
  <c r="D378" i="5"/>
  <c r="A378" i="5"/>
  <c r="H377" i="5"/>
  <c r="I377" i="5" s="1"/>
  <c r="F377" i="5"/>
  <c r="E377" i="5"/>
  <c r="D377" i="5"/>
  <c r="A377" i="5"/>
  <c r="H376" i="5"/>
  <c r="I376" i="5" s="1"/>
  <c r="F376" i="5"/>
  <c r="E376" i="5"/>
  <c r="D376" i="5"/>
  <c r="A376" i="5"/>
  <c r="H375" i="5"/>
  <c r="I375" i="5" s="1"/>
  <c r="F375" i="5"/>
  <c r="E375" i="5"/>
  <c r="D375" i="5"/>
  <c r="A375" i="5"/>
  <c r="H374" i="5"/>
  <c r="I374" i="5" s="1"/>
  <c r="F374" i="5"/>
  <c r="E374" i="5"/>
  <c r="D374" i="5"/>
  <c r="A374" i="5"/>
  <c r="H373" i="5"/>
  <c r="I373" i="5" s="1"/>
  <c r="F373" i="5"/>
  <c r="E373" i="5"/>
  <c r="D373" i="5"/>
  <c r="A373" i="5"/>
  <c r="H372" i="5"/>
  <c r="I372" i="5" s="1"/>
  <c r="F372" i="5"/>
  <c r="E372" i="5"/>
  <c r="D372" i="5"/>
  <c r="A372" i="5"/>
  <c r="H371" i="5"/>
  <c r="I371" i="5" s="1"/>
  <c r="F371" i="5"/>
  <c r="E371" i="5"/>
  <c r="D371" i="5"/>
  <c r="A371" i="5"/>
  <c r="H370" i="5"/>
  <c r="I370" i="5" s="1"/>
  <c r="F370" i="5"/>
  <c r="E370" i="5"/>
  <c r="D370" i="5"/>
  <c r="A370" i="5"/>
  <c r="H369" i="5"/>
  <c r="I369" i="5" s="1"/>
  <c r="F369" i="5"/>
  <c r="E369" i="5"/>
  <c r="D369" i="5"/>
  <c r="A369" i="5"/>
  <c r="H368" i="5"/>
  <c r="I368" i="5" s="1"/>
  <c r="F368" i="5"/>
  <c r="E368" i="5"/>
  <c r="D368" i="5"/>
  <c r="A368" i="5"/>
  <c r="H367" i="5"/>
  <c r="I367" i="5" s="1"/>
  <c r="F367" i="5"/>
  <c r="E367" i="5"/>
  <c r="D367" i="5"/>
  <c r="A367" i="5"/>
  <c r="H366" i="5"/>
  <c r="I366" i="5" s="1"/>
  <c r="F366" i="5"/>
  <c r="E366" i="5"/>
  <c r="D366" i="5"/>
  <c r="A366" i="5"/>
  <c r="H365" i="5"/>
  <c r="I365" i="5" s="1"/>
  <c r="F365" i="5"/>
  <c r="E365" i="5"/>
  <c r="D365" i="5"/>
  <c r="A365" i="5"/>
  <c r="H364" i="5"/>
  <c r="I364" i="5" s="1"/>
  <c r="F364" i="5"/>
  <c r="E364" i="5"/>
  <c r="D364" i="5"/>
  <c r="A364" i="5"/>
  <c r="H363" i="5"/>
  <c r="I363" i="5" s="1"/>
  <c r="F363" i="5"/>
  <c r="E363" i="5"/>
  <c r="D363" i="5"/>
  <c r="A363" i="5"/>
  <c r="H362" i="5"/>
  <c r="I362" i="5" s="1"/>
  <c r="F362" i="5"/>
  <c r="E362" i="5"/>
  <c r="D362" i="5"/>
  <c r="A362" i="5"/>
  <c r="H361" i="5"/>
  <c r="I361" i="5" s="1"/>
  <c r="F361" i="5"/>
  <c r="E361" i="5"/>
  <c r="D361" i="5"/>
  <c r="A361" i="5"/>
  <c r="H360" i="5"/>
  <c r="I360" i="5" s="1"/>
  <c r="F360" i="5"/>
  <c r="E360" i="5"/>
  <c r="D360" i="5"/>
  <c r="A360" i="5"/>
  <c r="H359" i="5"/>
  <c r="I359" i="5" s="1"/>
  <c r="F359" i="5"/>
  <c r="E359" i="5"/>
  <c r="D359" i="5"/>
  <c r="A359" i="5"/>
  <c r="H358" i="5"/>
  <c r="I358" i="5" s="1"/>
  <c r="F358" i="5"/>
  <c r="E358" i="5"/>
  <c r="D358" i="5"/>
  <c r="A358" i="5"/>
  <c r="H357" i="5"/>
  <c r="I357" i="5" s="1"/>
  <c r="F357" i="5"/>
  <c r="E357" i="5"/>
  <c r="D357" i="5"/>
  <c r="A357" i="5"/>
  <c r="H356" i="5"/>
  <c r="I356" i="5" s="1"/>
  <c r="F356" i="5"/>
  <c r="E356" i="5"/>
  <c r="D356" i="5"/>
  <c r="A356" i="5"/>
  <c r="H355" i="5"/>
  <c r="I355" i="5" s="1"/>
  <c r="F355" i="5"/>
  <c r="E355" i="5"/>
  <c r="D355" i="5"/>
  <c r="A355" i="5"/>
  <c r="H354" i="5"/>
  <c r="I354" i="5" s="1"/>
  <c r="F354" i="5"/>
  <c r="E354" i="5"/>
  <c r="D354" i="5"/>
  <c r="A354" i="5"/>
  <c r="H353" i="5"/>
  <c r="I353" i="5" s="1"/>
  <c r="F353" i="5"/>
  <c r="E353" i="5"/>
  <c r="D353" i="5"/>
  <c r="A353" i="5"/>
  <c r="H352" i="5"/>
  <c r="I352" i="5" s="1"/>
  <c r="F352" i="5"/>
  <c r="E352" i="5"/>
  <c r="D352" i="5"/>
  <c r="A352" i="5"/>
  <c r="H351" i="5"/>
  <c r="I351" i="5" s="1"/>
  <c r="F351" i="5"/>
  <c r="E351" i="5"/>
  <c r="D351" i="5"/>
  <c r="A351" i="5"/>
  <c r="H350" i="5"/>
  <c r="I350" i="5" s="1"/>
  <c r="F350" i="5"/>
  <c r="E350" i="5"/>
  <c r="D350" i="5"/>
  <c r="A350" i="5"/>
  <c r="H349" i="5"/>
  <c r="I349" i="5" s="1"/>
  <c r="F349" i="5"/>
  <c r="E349" i="5"/>
  <c r="D349" i="5"/>
  <c r="A349" i="5"/>
  <c r="H348" i="5"/>
  <c r="I348" i="5" s="1"/>
  <c r="F348" i="5"/>
  <c r="E348" i="5"/>
  <c r="D348" i="5"/>
  <c r="A348" i="5"/>
  <c r="H347" i="5"/>
  <c r="I347" i="5" s="1"/>
  <c r="F347" i="5"/>
  <c r="E347" i="5"/>
  <c r="D347" i="5"/>
  <c r="A347" i="5"/>
  <c r="H346" i="5"/>
  <c r="I346" i="5" s="1"/>
  <c r="F346" i="5"/>
  <c r="E346" i="5"/>
  <c r="D346" i="5"/>
  <c r="A346" i="5"/>
  <c r="H345" i="5"/>
  <c r="I345" i="5" s="1"/>
  <c r="F345" i="5"/>
  <c r="E345" i="5"/>
  <c r="D345" i="5"/>
  <c r="A345" i="5"/>
  <c r="H344" i="5"/>
  <c r="I344" i="5" s="1"/>
  <c r="F344" i="5"/>
  <c r="E344" i="5"/>
  <c r="D344" i="5"/>
  <c r="A344" i="5"/>
  <c r="H343" i="5"/>
  <c r="I343" i="5" s="1"/>
  <c r="F343" i="5"/>
  <c r="E343" i="5"/>
  <c r="D343" i="5"/>
  <c r="A343" i="5"/>
  <c r="H342" i="5"/>
  <c r="I342" i="5" s="1"/>
  <c r="F342" i="5"/>
  <c r="E342" i="5"/>
  <c r="D342" i="5"/>
  <c r="A342" i="5"/>
  <c r="H341" i="5"/>
  <c r="I341" i="5" s="1"/>
  <c r="F341" i="5"/>
  <c r="E341" i="5"/>
  <c r="D341" i="5"/>
  <c r="A341" i="5"/>
  <c r="H340" i="5"/>
  <c r="I340" i="5" s="1"/>
  <c r="F340" i="5"/>
  <c r="E340" i="5"/>
  <c r="D340" i="5"/>
  <c r="A340" i="5"/>
  <c r="H339" i="5"/>
  <c r="I339" i="5" s="1"/>
  <c r="F339" i="5"/>
  <c r="E339" i="5"/>
  <c r="D339" i="5"/>
  <c r="A339" i="5"/>
  <c r="H338" i="5"/>
  <c r="I338" i="5" s="1"/>
  <c r="F338" i="5"/>
  <c r="E338" i="5"/>
  <c r="D338" i="5"/>
  <c r="A338" i="5"/>
  <c r="H337" i="5"/>
  <c r="I337" i="5" s="1"/>
  <c r="F337" i="5"/>
  <c r="E337" i="5"/>
  <c r="D337" i="5"/>
  <c r="A337" i="5"/>
  <c r="H336" i="5"/>
  <c r="I336" i="5" s="1"/>
  <c r="F336" i="5"/>
  <c r="E336" i="5"/>
  <c r="D336" i="5"/>
  <c r="A336" i="5"/>
  <c r="H335" i="5"/>
  <c r="I335" i="5" s="1"/>
  <c r="F335" i="5"/>
  <c r="E335" i="5"/>
  <c r="D335" i="5"/>
  <c r="A335" i="5"/>
  <c r="H334" i="5"/>
  <c r="I334" i="5" s="1"/>
  <c r="F334" i="5"/>
  <c r="E334" i="5"/>
  <c r="D334" i="5"/>
  <c r="A334" i="5"/>
  <c r="H333" i="5"/>
  <c r="I333" i="5" s="1"/>
  <c r="F333" i="5"/>
  <c r="E333" i="5"/>
  <c r="D333" i="5"/>
  <c r="A333" i="5"/>
  <c r="H332" i="5"/>
  <c r="I332" i="5" s="1"/>
  <c r="F332" i="5"/>
  <c r="E332" i="5"/>
  <c r="D332" i="5"/>
  <c r="A332" i="5"/>
  <c r="H331" i="5"/>
  <c r="I331" i="5" s="1"/>
  <c r="F331" i="5"/>
  <c r="E331" i="5"/>
  <c r="D331" i="5"/>
  <c r="A331" i="5"/>
  <c r="H330" i="5"/>
  <c r="I330" i="5" s="1"/>
  <c r="F330" i="5"/>
  <c r="E330" i="5"/>
  <c r="D330" i="5"/>
  <c r="A330" i="5"/>
  <c r="H329" i="5"/>
  <c r="I329" i="5" s="1"/>
  <c r="F329" i="5"/>
  <c r="E329" i="5"/>
  <c r="D329" i="5"/>
  <c r="A329" i="5"/>
  <c r="H328" i="5"/>
  <c r="I328" i="5" s="1"/>
  <c r="F328" i="5"/>
  <c r="E328" i="5"/>
  <c r="D328" i="5"/>
  <c r="A328" i="5"/>
  <c r="H327" i="5"/>
  <c r="I327" i="5" s="1"/>
  <c r="F327" i="5"/>
  <c r="E327" i="5"/>
  <c r="D327" i="5"/>
  <c r="A327" i="5"/>
  <c r="H326" i="5"/>
  <c r="I326" i="5" s="1"/>
  <c r="F326" i="5"/>
  <c r="E326" i="5"/>
  <c r="D326" i="5"/>
  <c r="A326" i="5"/>
  <c r="H325" i="5"/>
  <c r="I325" i="5" s="1"/>
  <c r="F325" i="5"/>
  <c r="E325" i="5"/>
  <c r="D325" i="5"/>
  <c r="A325" i="5"/>
  <c r="H324" i="5"/>
  <c r="I324" i="5" s="1"/>
  <c r="F324" i="5"/>
  <c r="E324" i="5"/>
  <c r="D324" i="5"/>
  <c r="A324" i="5"/>
  <c r="H323" i="5"/>
  <c r="I323" i="5" s="1"/>
  <c r="F323" i="5"/>
  <c r="E323" i="5"/>
  <c r="D323" i="5"/>
  <c r="A323" i="5"/>
  <c r="H322" i="5"/>
  <c r="I322" i="5" s="1"/>
  <c r="F322" i="5"/>
  <c r="E322" i="5"/>
  <c r="D322" i="5"/>
  <c r="A322" i="5"/>
  <c r="H321" i="5"/>
  <c r="I321" i="5" s="1"/>
  <c r="F321" i="5"/>
  <c r="E321" i="5"/>
  <c r="D321" i="5"/>
  <c r="A321" i="5"/>
  <c r="H320" i="5"/>
  <c r="I320" i="5" s="1"/>
  <c r="F320" i="5"/>
  <c r="E320" i="5"/>
  <c r="D320" i="5"/>
  <c r="A320" i="5"/>
  <c r="H319" i="5"/>
  <c r="I319" i="5" s="1"/>
  <c r="F319" i="5"/>
  <c r="E319" i="5"/>
  <c r="D319" i="5"/>
  <c r="A319" i="5"/>
  <c r="H318" i="5"/>
  <c r="I318" i="5" s="1"/>
  <c r="F318" i="5"/>
  <c r="E318" i="5"/>
  <c r="D318" i="5"/>
  <c r="A318" i="5"/>
  <c r="H317" i="5"/>
  <c r="I317" i="5" s="1"/>
  <c r="F317" i="5"/>
  <c r="E317" i="5"/>
  <c r="D317" i="5"/>
  <c r="A317" i="5"/>
  <c r="H316" i="5"/>
  <c r="I316" i="5" s="1"/>
  <c r="F316" i="5"/>
  <c r="E316" i="5"/>
  <c r="D316" i="5"/>
  <c r="A316" i="5"/>
  <c r="H315" i="5"/>
  <c r="I315" i="5" s="1"/>
  <c r="F315" i="5"/>
  <c r="E315" i="5"/>
  <c r="D315" i="5"/>
  <c r="A315" i="5"/>
  <c r="H314" i="5"/>
  <c r="I314" i="5" s="1"/>
  <c r="F314" i="5"/>
  <c r="E314" i="5"/>
  <c r="D314" i="5"/>
  <c r="A314" i="5"/>
  <c r="H313" i="5"/>
  <c r="I313" i="5" s="1"/>
  <c r="F313" i="5"/>
  <c r="E313" i="5"/>
  <c r="D313" i="5"/>
  <c r="A313" i="5"/>
  <c r="H312" i="5"/>
  <c r="I312" i="5" s="1"/>
  <c r="F312" i="5"/>
  <c r="E312" i="5"/>
  <c r="D312" i="5"/>
  <c r="A312" i="5"/>
  <c r="H311" i="5"/>
  <c r="I311" i="5" s="1"/>
  <c r="F311" i="5"/>
  <c r="E311" i="5"/>
  <c r="D311" i="5"/>
  <c r="A311" i="5"/>
  <c r="H310" i="5"/>
  <c r="I310" i="5" s="1"/>
  <c r="F310" i="5"/>
  <c r="E310" i="5"/>
  <c r="D310" i="5"/>
  <c r="A310" i="5"/>
  <c r="H309" i="5"/>
  <c r="I309" i="5" s="1"/>
  <c r="F309" i="5"/>
  <c r="E309" i="5"/>
  <c r="D309" i="5"/>
  <c r="A309" i="5"/>
  <c r="H308" i="5"/>
  <c r="I308" i="5" s="1"/>
  <c r="F308" i="5"/>
  <c r="E308" i="5"/>
  <c r="D308" i="5"/>
  <c r="A308" i="5"/>
  <c r="H307" i="5"/>
  <c r="I307" i="5" s="1"/>
  <c r="F307" i="5"/>
  <c r="E307" i="5"/>
  <c r="D307" i="5"/>
  <c r="A307" i="5"/>
  <c r="H306" i="5"/>
  <c r="I306" i="5" s="1"/>
  <c r="F306" i="5"/>
  <c r="E306" i="5"/>
  <c r="D306" i="5"/>
  <c r="A306" i="5"/>
  <c r="H305" i="5"/>
  <c r="I305" i="5" s="1"/>
  <c r="F305" i="5"/>
  <c r="E305" i="5"/>
  <c r="D305" i="5"/>
  <c r="A305" i="5"/>
  <c r="H304" i="5"/>
  <c r="I304" i="5" s="1"/>
  <c r="F304" i="5"/>
  <c r="E304" i="5"/>
  <c r="D304" i="5"/>
  <c r="A304" i="5"/>
  <c r="H303" i="5"/>
  <c r="I303" i="5" s="1"/>
  <c r="F303" i="5"/>
  <c r="E303" i="5"/>
  <c r="D303" i="5"/>
  <c r="A303" i="5"/>
  <c r="H302" i="5"/>
  <c r="I302" i="5" s="1"/>
  <c r="F302" i="5"/>
  <c r="E302" i="5"/>
  <c r="D302" i="5"/>
  <c r="A302" i="5"/>
  <c r="H301" i="5"/>
  <c r="I301" i="5" s="1"/>
  <c r="F301" i="5"/>
  <c r="E301" i="5"/>
  <c r="D301" i="5"/>
  <c r="A301" i="5"/>
  <c r="H300" i="5"/>
  <c r="I300" i="5" s="1"/>
  <c r="F300" i="5"/>
  <c r="E300" i="5"/>
  <c r="D300" i="5"/>
  <c r="A300" i="5"/>
  <c r="H299" i="5"/>
  <c r="I299" i="5" s="1"/>
  <c r="F299" i="5"/>
  <c r="E299" i="5"/>
  <c r="D299" i="5"/>
  <c r="A299" i="5"/>
  <c r="H298" i="5"/>
  <c r="I298" i="5" s="1"/>
  <c r="F298" i="5"/>
  <c r="E298" i="5"/>
  <c r="D298" i="5"/>
  <c r="A298" i="5"/>
  <c r="H297" i="5"/>
  <c r="I297" i="5" s="1"/>
  <c r="F297" i="5"/>
  <c r="E297" i="5"/>
  <c r="D297" i="5"/>
  <c r="A297" i="5"/>
  <c r="H296" i="5"/>
  <c r="I296" i="5" s="1"/>
  <c r="F296" i="5"/>
  <c r="E296" i="5"/>
  <c r="D296" i="5"/>
  <c r="A296" i="5"/>
  <c r="H295" i="5"/>
  <c r="I295" i="5" s="1"/>
  <c r="F295" i="5"/>
  <c r="E295" i="5"/>
  <c r="D295" i="5"/>
  <c r="A295" i="5"/>
  <c r="H294" i="5"/>
  <c r="I294" i="5" s="1"/>
  <c r="F294" i="5"/>
  <c r="E294" i="5"/>
  <c r="D294" i="5"/>
  <c r="A294" i="5"/>
  <c r="H293" i="5"/>
  <c r="I293" i="5" s="1"/>
  <c r="F293" i="5"/>
  <c r="E293" i="5"/>
  <c r="D293" i="5"/>
  <c r="A293" i="5"/>
  <c r="H292" i="5"/>
  <c r="I292" i="5" s="1"/>
  <c r="F292" i="5"/>
  <c r="E292" i="5"/>
  <c r="D292" i="5"/>
  <c r="A292" i="5"/>
  <c r="H291" i="5"/>
  <c r="I291" i="5" s="1"/>
  <c r="F291" i="5"/>
  <c r="E291" i="5"/>
  <c r="D291" i="5"/>
  <c r="A291" i="5"/>
  <c r="H290" i="5"/>
  <c r="I290" i="5" s="1"/>
  <c r="F290" i="5"/>
  <c r="E290" i="5"/>
  <c r="D290" i="5"/>
  <c r="A290" i="5"/>
  <c r="H289" i="5"/>
  <c r="I289" i="5" s="1"/>
  <c r="F289" i="5"/>
  <c r="E289" i="5"/>
  <c r="D289" i="5"/>
  <c r="A289" i="5"/>
  <c r="H288" i="5"/>
  <c r="I288" i="5" s="1"/>
  <c r="F288" i="5"/>
  <c r="E288" i="5"/>
  <c r="D288" i="5"/>
  <c r="A288" i="5"/>
  <c r="H287" i="5"/>
  <c r="I287" i="5" s="1"/>
  <c r="F287" i="5"/>
  <c r="E287" i="5"/>
  <c r="D287" i="5"/>
  <c r="A287" i="5"/>
  <c r="H286" i="5"/>
  <c r="I286" i="5" s="1"/>
  <c r="F286" i="5"/>
  <c r="E286" i="5"/>
  <c r="D286" i="5"/>
  <c r="A286" i="5"/>
  <c r="H285" i="5"/>
  <c r="I285" i="5" s="1"/>
  <c r="F285" i="5"/>
  <c r="E285" i="5"/>
  <c r="D285" i="5"/>
  <c r="A285" i="5"/>
  <c r="H284" i="5"/>
  <c r="I284" i="5" s="1"/>
  <c r="F284" i="5"/>
  <c r="E284" i="5"/>
  <c r="D284" i="5"/>
  <c r="A284" i="5"/>
  <c r="H283" i="5"/>
  <c r="I283" i="5" s="1"/>
  <c r="F283" i="5"/>
  <c r="E283" i="5"/>
  <c r="D283" i="5"/>
  <c r="A283" i="5"/>
  <c r="H282" i="5"/>
  <c r="I282" i="5" s="1"/>
  <c r="F282" i="5"/>
  <c r="E282" i="5"/>
  <c r="D282" i="5"/>
  <c r="A282" i="5"/>
  <c r="H281" i="5"/>
  <c r="I281" i="5" s="1"/>
  <c r="F281" i="5"/>
  <c r="E281" i="5"/>
  <c r="D281" i="5"/>
  <c r="A281" i="5"/>
  <c r="H280" i="5"/>
  <c r="I280" i="5" s="1"/>
  <c r="F280" i="5"/>
  <c r="E280" i="5"/>
  <c r="D280" i="5"/>
  <c r="A280" i="5"/>
  <c r="H279" i="5"/>
  <c r="I279" i="5" s="1"/>
  <c r="F279" i="5"/>
  <c r="E279" i="5"/>
  <c r="D279" i="5"/>
  <c r="A279" i="5"/>
  <c r="H278" i="5"/>
  <c r="I278" i="5" s="1"/>
  <c r="F278" i="5"/>
  <c r="E278" i="5"/>
  <c r="D278" i="5"/>
  <c r="A278" i="5"/>
  <c r="H277" i="5"/>
  <c r="I277" i="5" s="1"/>
  <c r="F277" i="5"/>
  <c r="E277" i="5"/>
  <c r="D277" i="5"/>
  <c r="A277" i="5"/>
  <c r="H276" i="5"/>
  <c r="I276" i="5" s="1"/>
  <c r="F276" i="5"/>
  <c r="E276" i="5"/>
  <c r="D276" i="5"/>
  <c r="A276" i="5"/>
  <c r="H275" i="5"/>
  <c r="I275" i="5" s="1"/>
  <c r="F275" i="5"/>
  <c r="E275" i="5"/>
  <c r="D275" i="5"/>
  <c r="A275" i="5"/>
  <c r="H274" i="5"/>
  <c r="I274" i="5" s="1"/>
  <c r="F274" i="5"/>
  <c r="E274" i="5"/>
  <c r="D274" i="5"/>
  <c r="A274" i="5"/>
  <c r="H273" i="5"/>
  <c r="I273" i="5" s="1"/>
  <c r="F273" i="5"/>
  <c r="E273" i="5"/>
  <c r="D273" i="5"/>
  <c r="A273" i="5"/>
  <c r="H272" i="5"/>
  <c r="I272" i="5" s="1"/>
  <c r="F272" i="5"/>
  <c r="E272" i="5"/>
  <c r="D272" i="5"/>
  <c r="A272" i="5"/>
  <c r="H271" i="5"/>
  <c r="I271" i="5" s="1"/>
  <c r="F271" i="5"/>
  <c r="E271" i="5"/>
  <c r="D271" i="5"/>
  <c r="A271" i="5"/>
  <c r="H270" i="5"/>
  <c r="I270" i="5" s="1"/>
  <c r="F270" i="5"/>
  <c r="E270" i="5"/>
  <c r="D270" i="5"/>
  <c r="A270" i="5"/>
  <c r="H269" i="5"/>
  <c r="I269" i="5" s="1"/>
  <c r="F269" i="5"/>
  <c r="E269" i="5"/>
  <c r="D269" i="5"/>
  <c r="A269" i="5"/>
  <c r="H268" i="5"/>
  <c r="I268" i="5" s="1"/>
  <c r="F268" i="5"/>
  <c r="E268" i="5"/>
  <c r="D268" i="5"/>
  <c r="A268" i="5"/>
  <c r="H267" i="5"/>
  <c r="I267" i="5" s="1"/>
  <c r="F267" i="5"/>
  <c r="E267" i="5"/>
  <c r="D267" i="5"/>
  <c r="A267" i="5"/>
  <c r="H266" i="5"/>
  <c r="I266" i="5" s="1"/>
  <c r="F266" i="5"/>
  <c r="E266" i="5"/>
  <c r="D266" i="5"/>
  <c r="A266" i="5"/>
  <c r="H265" i="5"/>
  <c r="I265" i="5" s="1"/>
  <c r="F265" i="5"/>
  <c r="E265" i="5"/>
  <c r="D265" i="5"/>
  <c r="A265" i="5"/>
  <c r="H264" i="5"/>
  <c r="I264" i="5" s="1"/>
  <c r="F264" i="5"/>
  <c r="E264" i="5"/>
  <c r="D264" i="5"/>
  <c r="A264" i="5"/>
  <c r="H263" i="5"/>
  <c r="I263" i="5" s="1"/>
  <c r="F263" i="5"/>
  <c r="E263" i="5"/>
  <c r="D263" i="5"/>
  <c r="A263" i="5"/>
  <c r="H262" i="5"/>
  <c r="I262" i="5" s="1"/>
  <c r="F262" i="5"/>
  <c r="E262" i="5"/>
  <c r="D262" i="5"/>
  <c r="A262" i="5"/>
  <c r="H261" i="5"/>
  <c r="I261" i="5" s="1"/>
  <c r="F261" i="5"/>
  <c r="E261" i="5"/>
  <c r="D261" i="5"/>
  <c r="A261" i="5"/>
  <c r="H260" i="5"/>
  <c r="I260" i="5" s="1"/>
  <c r="F260" i="5"/>
  <c r="E260" i="5"/>
  <c r="D260" i="5"/>
  <c r="A260" i="5"/>
  <c r="H259" i="5"/>
  <c r="I259" i="5" s="1"/>
  <c r="F259" i="5"/>
  <c r="E259" i="5"/>
  <c r="D259" i="5"/>
  <c r="A259" i="5"/>
  <c r="H258" i="5"/>
  <c r="I258" i="5" s="1"/>
  <c r="F258" i="5"/>
  <c r="E258" i="5"/>
  <c r="D258" i="5"/>
  <c r="A258" i="5"/>
  <c r="H257" i="5"/>
  <c r="I257" i="5" s="1"/>
  <c r="F257" i="5"/>
  <c r="E257" i="5"/>
  <c r="D257" i="5"/>
  <c r="A257" i="5"/>
  <c r="H256" i="5"/>
  <c r="I256" i="5" s="1"/>
  <c r="F256" i="5"/>
  <c r="E256" i="5"/>
  <c r="D256" i="5"/>
  <c r="A256" i="5"/>
  <c r="H255" i="5"/>
  <c r="I255" i="5" s="1"/>
  <c r="F255" i="5"/>
  <c r="E255" i="5"/>
  <c r="D255" i="5"/>
  <c r="A255" i="5"/>
  <c r="H254" i="5"/>
  <c r="I254" i="5" s="1"/>
  <c r="F254" i="5"/>
  <c r="E254" i="5"/>
  <c r="D254" i="5"/>
  <c r="A254" i="5"/>
  <c r="H253" i="5"/>
  <c r="I253" i="5" s="1"/>
  <c r="F253" i="5"/>
  <c r="E253" i="5"/>
  <c r="D253" i="5"/>
  <c r="A253" i="5"/>
  <c r="H252" i="5"/>
  <c r="I252" i="5" s="1"/>
  <c r="F252" i="5"/>
  <c r="E252" i="5"/>
  <c r="D252" i="5"/>
  <c r="A252" i="5"/>
  <c r="H251" i="5"/>
  <c r="I251" i="5" s="1"/>
  <c r="F251" i="5"/>
  <c r="E251" i="5"/>
  <c r="D251" i="5"/>
  <c r="A251" i="5"/>
  <c r="H250" i="5"/>
  <c r="I250" i="5" s="1"/>
  <c r="F250" i="5"/>
  <c r="E250" i="5"/>
  <c r="D250" i="5"/>
  <c r="A250" i="5"/>
  <c r="H249" i="5"/>
  <c r="I249" i="5" s="1"/>
  <c r="F249" i="5"/>
  <c r="E249" i="5"/>
  <c r="D249" i="5"/>
  <c r="A249" i="5"/>
  <c r="H248" i="5"/>
  <c r="I248" i="5" s="1"/>
  <c r="F248" i="5"/>
  <c r="E248" i="5"/>
  <c r="D248" i="5"/>
  <c r="A248" i="5"/>
  <c r="H247" i="5"/>
  <c r="I247" i="5" s="1"/>
  <c r="F247" i="5"/>
  <c r="E247" i="5"/>
  <c r="D247" i="5"/>
  <c r="A247" i="5"/>
  <c r="H246" i="5"/>
  <c r="I246" i="5" s="1"/>
  <c r="F246" i="5"/>
  <c r="E246" i="5"/>
  <c r="D246" i="5"/>
  <c r="A246" i="5"/>
  <c r="H245" i="5"/>
  <c r="I245" i="5" s="1"/>
  <c r="F245" i="5"/>
  <c r="E245" i="5"/>
  <c r="D245" i="5"/>
  <c r="A245" i="5"/>
  <c r="H244" i="5"/>
  <c r="I244" i="5" s="1"/>
  <c r="F244" i="5"/>
  <c r="E244" i="5"/>
  <c r="D244" i="5"/>
  <c r="A244" i="5"/>
  <c r="H243" i="5"/>
  <c r="I243" i="5" s="1"/>
  <c r="F243" i="5"/>
  <c r="E243" i="5"/>
  <c r="D243" i="5"/>
  <c r="A243" i="5"/>
  <c r="H242" i="5"/>
  <c r="I242" i="5" s="1"/>
  <c r="F242" i="5"/>
  <c r="E242" i="5"/>
  <c r="D242" i="5"/>
  <c r="A242" i="5"/>
  <c r="H241" i="5"/>
  <c r="I241" i="5" s="1"/>
  <c r="F241" i="5"/>
  <c r="E241" i="5"/>
  <c r="D241" i="5"/>
  <c r="A241" i="5"/>
  <c r="H240" i="5"/>
  <c r="I240" i="5" s="1"/>
  <c r="F240" i="5"/>
  <c r="E240" i="5"/>
  <c r="D240" i="5"/>
  <c r="A240" i="5"/>
  <c r="H239" i="5"/>
  <c r="I239" i="5" s="1"/>
  <c r="F239" i="5"/>
  <c r="E239" i="5"/>
  <c r="D239" i="5"/>
  <c r="A239" i="5"/>
  <c r="H238" i="5"/>
  <c r="I238" i="5" s="1"/>
  <c r="F238" i="5"/>
  <c r="E238" i="5"/>
  <c r="D238" i="5"/>
  <c r="A238" i="5"/>
  <c r="H237" i="5"/>
  <c r="I237" i="5" s="1"/>
  <c r="F237" i="5"/>
  <c r="E237" i="5"/>
  <c r="D237" i="5"/>
  <c r="A237" i="5"/>
  <c r="H236" i="5"/>
  <c r="I236" i="5" s="1"/>
  <c r="F236" i="5"/>
  <c r="E236" i="5"/>
  <c r="D236" i="5"/>
  <c r="A236" i="5"/>
  <c r="H235" i="5"/>
  <c r="I235" i="5" s="1"/>
  <c r="F235" i="5"/>
  <c r="E235" i="5"/>
  <c r="D235" i="5"/>
  <c r="A235" i="5"/>
  <c r="H234" i="5"/>
  <c r="I234" i="5" s="1"/>
  <c r="F234" i="5"/>
  <c r="E234" i="5"/>
  <c r="D234" i="5"/>
  <c r="A234" i="5"/>
  <c r="H233" i="5"/>
  <c r="I233" i="5" s="1"/>
  <c r="F233" i="5"/>
  <c r="E233" i="5"/>
  <c r="D233" i="5"/>
  <c r="A233" i="5"/>
  <c r="H232" i="5"/>
  <c r="I232" i="5" s="1"/>
  <c r="F232" i="5"/>
  <c r="E232" i="5"/>
  <c r="D232" i="5"/>
  <c r="A232" i="5"/>
  <c r="H231" i="5"/>
  <c r="I231" i="5" s="1"/>
  <c r="F231" i="5"/>
  <c r="E231" i="5"/>
  <c r="D231" i="5"/>
  <c r="A231" i="5"/>
  <c r="H230" i="5"/>
  <c r="I230" i="5" s="1"/>
  <c r="F230" i="5"/>
  <c r="E230" i="5"/>
  <c r="D230" i="5"/>
  <c r="A230" i="5"/>
  <c r="H229" i="5"/>
  <c r="I229" i="5" s="1"/>
  <c r="F229" i="5"/>
  <c r="E229" i="5"/>
  <c r="D229" i="5"/>
  <c r="A229" i="5"/>
  <c r="H228" i="5"/>
  <c r="I228" i="5" s="1"/>
  <c r="F228" i="5"/>
  <c r="E228" i="5"/>
  <c r="D228" i="5"/>
  <c r="A228" i="5"/>
  <c r="H227" i="5"/>
  <c r="I227" i="5" s="1"/>
  <c r="F227" i="5"/>
  <c r="E227" i="5"/>
  <c r="D227" i="5"/>
  <c r="A227" i="5"/>
  <c r="H226" i="5"/>
  <c r="I226" i="5" s="1"/>
  <c r="F226" i="5"/>
  <c r="E226" i="5"/>
  <c r="D226" i="5"/>
  <c r="A226" i="5"/>
  <c r="H225" i="5"/>
  <c r="I225" i="5" s="1"/>
  <c r="F225" i="5"/>
  <c r="E225" i="5"/>
  <c r="D225" i="5"/>
  <c r="A225" i="5"/>
  <c r="H224" i="5"/>
  <c r="I224" i="5" s="1"/>
  <c r="F224" i="5"/>
  <c r="E224" i="5"/>
  <c r="D224" i="5"/>
  <c r="A224" i="5"/>
  <c r="H223" i="5"/>
  <c r="I223" i="5" s="1"/>
  <c r="F223" i="5"/>
  <c r="E223" i="5"/>
  <c r="D223" i="5"/>
  <c r="A223" i="5"/>
  <c r="H222" i="5"/>
  <c r="I222" i="5" s="1"/>
  <c r="F222" i="5"/>
  <c r="E222" i="5"/>
  <c r="D222" i="5"/>
  <c r="A222" i="5"/>
  <c r="H221" i="5"/>
  <c r="I221" i="5" s="1"/>
  <c r="F221" i="5"/>
  <c r="E221" i="5"/>
  <c r="D221" i="5"/>
  <c r="A221" i="5"/>
  <c r="H220" i="5"/>
  <c r="I220" i="5" s="1"/>
  <c r="F220" i="5"/>
  <c r="E220" i="5"/>
  <c r="D220" i="5"/>
  <c r="A220" i="5"/>
  <c r="H219" i="5"/>
  <c r="I219" i="5" s="1"/>
  <c r="F219" i="5"/>
  <c r="E219" i="5"/>
  <c r="D219" i="5"/>
  <c r="A219" i="5"/>
  <c r="H218" i="5"/>
  <c r="I218" i="5" s="1"/>
  <c r="F218" i="5"/>
  <c r="E218" i="5"/>
  <c r="D218" i="5"/>
  <c r="A218" i="5"/>
  <c r="H217" i="5"/>
  <c r="I217" i="5" s="1"/>
  <c r="F217" i="5"/>
  <c r="E217" i="5"/>
  <c r="D217" i="5"/>
  <c r="A217" i="5"/>
  <c r="H216" i="5"/>
  <c r="I216" i="5" s="1"/>
  <c r="F216" i="5"/>
  <c r="E216" i="5"/>
  <c r="D216" i="5"/>
  <c r="A216" i="5"/>
  <c r="H215" i="5"/>
  <c r="I215" i="5" s="1"/>
  <c r="F215" i="5"/>
  <c r="E215" i="5"/>
  <c r="D215" i="5"/>
  <c r="A215" i="5"/>
  <c r="H214" i="5"/>
  <c r="I214" i="5" s="1"/>
  <c r="F214" i="5"/>
  <c r="E214" i="5"/>
  <c r="D214" i="5"/>
  <c r="A214" i="5"/>
  <c r="H213" i="5"/>
  <c r="I213" i="5" s="1"/>
  <c r="F213" i="5"/>
  <c r="E213" i="5"/>
  <c r="D213" i="5"/>
  <c r="A213" i="5"/>
  <c r="H212" i="5"/>
  <c r="I212" i="5" s="1"/>
  <c r="F212" i="5"/>
  <c r="E212" i="5"/>
  <c r="D212" i="5"/>
  <c r="A212" i="5"/>
  <c r="H211" i="5"/>
  <c r="I211" i="5" s="1"/>
  <c r="F211" i="5"/>
  <c r="E211" i="5"/>
  <c r="D211" i="5"/>
  <c r="A211" i="5"/>
  <c r="H210" i="5"/>
  <c r="I210" i="5" s="1"/>
  <c r="F210" i="5"/>
  <c r="E210" i="5"/>
  <c r="D210" i="5"/>
  <c r="A210" i="5"/>
  <c r="H209" i="5"/>
  <c r="I209" i="5" s="1"/>
  <c r="F209" i="5"/>
  <c r="E209" i="5"/>
  <c r="D209" i="5"/>
  <c r="A209" i="5"/>
  <c r="H208" i="5"/>
  <c r="I208" i="5" s="1"/>
  <c r="F208" i="5"/>
  <c r="E208" i="5"/>
  <c r="D208" i="5"/>
  <c r="A208" i="5"/>
  <c r="H207" i="5"/>
  <c r="I207" i="5" s="1"/>
  <c r="F207" i="5"/>
  <c r="E207" i="5"/>
  <c r="D207" i="5"/>
  <c r="A207" i="5"/>
  <c r="H206" i="5"/>
  <c r="I206" i="5" s="1"/>
  <c r="F206" i="5"/>
  <c r="E206" i="5"/>
  <c r="D206" i="5"/>
  <c r="A206" i="5"/>
  <c r="H205" i="5"/>
  <c r="I205" i="5" s="1"/>
  <c r="F205" i="5"/>
  <c r="E205" i="5"/>
  <c r="D205" i="5"/>
  <c r="A205" i="5"/>
  <c r="H204" i="5"/>
  <c r="I204" i="5" s="1"/>
  <c r="F204" i="5"/>
  <c r="E204" i="5"/>
  <c r="D204" i="5"/>
  <c r="A204" i="5"/>
  <c r="H203" i="5"/>
  <c r="I203" i="5" s="1"/>
  <c r="F203" i="5"/>
  <c r="E203" i="5"/>
  <c r="D203" i="5"/>
  <c r="A203" i="5"/>
  <c r="H202" i="5"/>
  <c r="I202" i="5" s="1"/>
  <c r="F202" i="5"/>
  <c r="E202" i="5"/>
  <c r="D202" i="5"/>
  <c r="A202" i="5"/>
  <c r="H201" i="5"/>
  <c r="I201" i="5" s="1"/>
  <c r="F201" i="5"/>
  <c r="E201" i="5"/>
  <c r="D201" i="5"/>
  <c r="A201" i="5"/>
  <c r="H200" i="5"/>
  <c r="I200" i="5" s="1"/>
  <c r="F200" i="5"/>
  <c r="E200" i="5"/>
  <c r="D200" i="5"/>
  <c r="A200" i="5"/>
  <c r="H199" i="5"/>
  <c r="I199" i="5" s="1"/>
  <c r="F199" i="5"/>
  <c r="E199" i="5"/>
  <c r="D199" i="5"/>
  <c r="A199" i="5"/>
  <c r="H198" i="5"/>
  <c r="I198" i="5" s="1"/>
  <c r="F198" i="5"/>
  <c r="E198" i="5"/>
  <c r="D198" i="5"/>
  <c r="A198" i="5"/>
  <c r="H197" i="5"/>
  <c r="I197" i="5" s="1"/>
  <c r="F197" i="5"/>
  <c r="E197" i="5"/>
  <c r="D197" i="5"/>
  <c r="A197" i="5"/>
  <c r="H196" i="5"/>
  <c r="I196" i="5" s="1"/>
  <c r="F196" i="5"/>
  <c r="E196" i="5"/>
  <c r="D196" i="5"/>
  <c r="A196" i="5"/>
  <c r="H195" i="5"/>
  <c r="I195" i="5" s="1"/>
  <c r="F195" i="5"/>
  <c r="E195" i="5"/>
  <c r="D195" i="5"/>
  <c r="A195" i="5"/>
  <c r="H194" i="5"/>
  <c r="I194" i="5" s="1"/>
  <c r="F194" i="5"/>
  <c r="E194" i="5"/>
  <c r="D194" i="5"/>
  <c r="A194" i="5"/>
  <c r="H193" i="5"/>
  <c r="I193" i="5" s="1"/>
  <c r="F193" i="5"/>
  <c r="E193" i="5"/>
  <c r="D193" i="5"/>
  <c r="A193" i="5"/>
  <c r="H192" i="5"/>
  <c r="I192" i="5" s="1"/>
  <c r="F192" i="5"/>
  <c r="E192" i="5"/>
  <c r="D192" i="5"/>
  <c r="A192" i="5"/>
  <c r="H191" i="5"/>
  <c r="I191" i="5" s="1"/>
  <c r="F191" i="5"/>
  <c r="E191" i="5"/>
  <c r="D191" i="5"/>
  <c r="A191" i="5"/>
  <c r="H190" i="5"/>
  <c r="I190" i="5" s="1"/>
  <c r="F190" i="5"/>
  <c r="E190" i="5"/>
  <c r="D190" i="5"/>
  <c r="A190" i="5"/>
  <c r="H189" i="5"/>
  <c r="I189" i="5" s="1"/>
  <c r="F189" i="5"/>
  <c r="E189" i="5"/>
  <c r="D189" i="5"/>
  <c r="A189" i="5"/>
  <c r="H188" i="5"/>
  <c r="I188" i="5" s="1"/>
  <c r="F188" i="5"/>
  <c r="E188" i="5"/>
  <c r="D188" i="5"/>
  <c r="A188" i="5"/>
  <c r="H187" i="5"/>
  <c r="I187" i="5" s="1"/>
  <c r="F187" i="5"/>
  <c r="E187" i="5"/>
  <c r="D187" i="5"/>
  <c r="A187" i="5"/>
  <c r="H186" i="5"/>
  <c r="I186" i="5" s="1"/>
  <c r="F186" i="5"/>
  <c r="E186" i="5"/>
  <c r="D186" i="5"/>
  <c r="A186" i="5"/>
  <c r="H185" i="5"/>
  <c r="I185" i="5" s="1"/>
  <c r="F185" i="5"/>
  <c r="E185" i="5"/>
  <c r="D185" i="5"/>
  <c r="A185" i="5"/>
  <c r="H184" i="5"/>
  <c r="I184" i="5" s="1"/>
  <c r="F184" i="5"/>
  <c r="E184" i="5"/>
  <c r="D184" i="5"/>
  <c r="A184" i="5"/>
  <c r="H183" i="5"/>
  <c r="I183" i="5" s="1"/>
  <c r="F183" i="5"/>
  <c r="E183" i="5"/>
  <c r="D183" i="5"/>
  <c r="A183" i="5"/>
  <c r="H182" i="5"/>
  <c r="I182" i="5" s="1"/>
  <c r="F182" i="5"/>
  <c r="E182" i="5"/>
  <c r="D182" i="5"/>
  <c r="A182" i="5"/>
  <c r="H181" i="5"/>
  <c r="I181" i="5" s="1"/>
  <c r="F181" i="5"/>
  <c r="E181" i="5"/>
  <c r="D181" i="5"/>
  <c r="A181" i="5"/>
  <c r="H180" i="5"/>
  <c r="I180" i="5" s="1"/>
  <c r="F180" i="5"/>
  <c r="E180" i="5"/>
  <c r="D180" i="5"/>
  <c r="A180" i="5"/>
  <c r="H179" i="5"/>
  <c r="I179" i="5" s="1"/>
  <c r="F179" i="5"/>
  <c r="E179" i="5"/>
  <c r="D179" i="5"/>
  <c r="A179" i="5"/>
  <c r="H178" i="5"/>
  <c r="I178" i="5" s="1"/>
  <c r="F178" i="5"/>
  <c r="E178" i="5"/>
  <c r="D178" i="5"/>
  <c r="A178" i="5"/>
  <c r="H177" i="5"/>
  <c r="I177" i="5" s="1"/>
  <c r="F177" i="5"/>
  <c r="E177" i="5"/>
  <c r="D177" i="5"/>
  <c r="A177" i="5"/>
  <c r="H176" i="5"/>
  <c r="I176" i="5" s="1"/>
  <c r="F176" i="5"/>
  <c r="E176" i="5"/>
  <c r="D176" i="5"/>
  <c r="A176" i="5"/>
  <c r="H175" i="5"/>
  <c r="I175" i="5" s="1"/>
  <c r="F175" i="5"/>
  <c r="E175" i="5"/>
  <c r="D175" i="5"/>
  <c r="A175" i="5"/>
  <c r="H174" i="5"/>
  <c r="I174" i="5" s="1"/>
  <c r="F174" i="5"/>
  <c r="E174" i="5"/>
  <c r="D174" i="5"/>
  <c r="A174" i="5"/>
  <c r="H173" i="5"/>
  <c r="I173" i="5" s="1"/>
  <c r="F173" i="5"/>
  <c r="E173" i="5"/>
  <c r="D173" i="5"/>
  <c r="A173" i="5"/>
  <c r="H172" i="5"/>
  <c r="I172" i="5" s="1"/>
  <c r="F172" i="5"/>
  <c r="E172" i="5"/>
  <c r="D172" i="5"/>
  <c r="A172" i="5"/>
  <c r="H171" i="5"/>
  <c r="I171" i="5" s="1"/>
  <c r="F171" i="5"/>
  <c r="E171" i="5"/>
  <c r="D171" i="5"/>
  <c r="A171" i="5"/>
  <c r="H170" i="5"/>
  <c r="I170" i="5" s="1"/>
  <c r="F170" i="5"/>
  <c r="E170" i="5"/>
  <c r="D170" i="5"/>
  <c r="A170" i="5"/>
  <c r="H169" i="5"/>
  <c r="I169" i="5" s="1"/>
  <c r="F169" i="5"/>
  <c r="E169" i="5"/>
  <c r="D169" i="5"/>
  <c r="A169" i="5"/>
  <c r="H168" i="5"/>
  <c r="I168" i="5" s="1"/>
  <c r="F168" i="5"/>
  <c r="E168" i="5"/>
  <c r="D168" i="5"/>
  <c r="A168" i="5"/>
  <c r="H167" i="5"/>
  <c r="I167" i="5" s="1"/>
  <c r="F167" i="5"/>
  <c r="E167" i="5"/>
  <c r="D167" i="5"/>
  <c r="A167" i="5"/>
  <c r="H166" i="5"/>
  <c r="I166" i="5" s="1"/>
  <c r="F166" i="5"/>
  <c r="E166" i="5"/>
  <c r="D166" i="5"/>
  <c r="A166" i="5"/>
  <c r="H165" i="5"/>
  <c r="I165" i="5" s="1"/>
  <c r="F165" i="5"/>
  <c r="E165" i="5"/>
  <c r="D165" i="5"/>
  <c r="A165" i="5"/>
  <c r="H164" i="5"/>
  <c r="I164" i="5" s="1"/>
  <c r="F164" i="5"/>
  <c r="E164" i="5"/>
  <c r="D164" i="5"/>
  <c r="A164" i="5"/>
  <c r="H163" i="5"/>
  <c r="I163" i="5" s="1"/>
  <c r="F163" i="5"/>
  <c r="E163" i="5"/>
  <c r="D163" i="5"/>
  <c r="A163" i="5"/>
  <c r="H162" i="5"/>
  <c r="I162" i="5" s="1"/>
  <c r="F162" i="5"/>
  <c r="E162" i="5"/>
  <c r="D162" i="5"/>
  <c r="A162" i="5"/>
  <c r="H161" i="5"/>
  <c r="I161" i="5" s="1"/>
  <c r="F161" i="5"/>
  <c r="E161" i="5"/>
  <c r="D161" i="5"/>
  <c r="A161" i="5"/>
  <c r="H160" i="5"/>
  <c r="I160" i="5" s="1"/>
  <c r="F160" i="5"/>
  <c r="E160" i="5"/>
  <c r="D160" i="5"/>
  <c r="A160" i="5"/>
  <c r="H159" i="5"/>
  <c r="I159" i="5" s="1"/>
  <c r="F159" i="5"/>
  <c r="E159" i="5"/>
  <c r="D159" i="5"/>
  <c r="A159" i="5"/>
  <c r="H158" i="5"/>
  <c r="I158" i="5" s="1"/>
  <c r="F158" i="5"/>
  <c r="E158" i="5"/>
  <c r="D158" i="5"/>
  <c r="A158" i="5"/>
  <c r="H157" i="5"/>
  <c r="I157" i="5" s="1"/>
  <c r="F157" i="5"/>
  <c r="E157" i="5"/>
  <c r="D157" i="5"/>
  <c r="A157" i="5"/>
  <c r="H156" i="5"/>
  <c r="I156" i="5" s="1"/>
  <c r="F156" i="5"/>
  <c r="E156" i="5"/>
  <c r="D156" i="5"/>
  <c r="A156" i="5"/>
  <c r="H155" i="5"/>
  <c r="I155" i="5" s="1"/>
  <c r="F155" i="5"/>
  <c r="E155" i="5"/>
  <c r="D155" i="5"/>
  <c r="A155" i="5"/>
  <c r="H154" i="5"/>
  <c r="I154" i="5" s="1"/>
  <c r="F154" i="5"/>
  <c r="E154" i="5"/>
  <c r="D154" i="5"/>
  <c r="A154" i="5"/>
  <c r="H153" i="5"/>
  <c r="I153" i="5" s="1"/>
  <c r="F153" i="5"/>
  <c r="E153" i="5"/>
  <c r="D153" i="5"/>
  <c r="A153" i="5"/>
  <c r="H152" i="5"/>
  <c r="I152" i="5" s="1"/>
  <c r="F152" i="5"/>
  <c r="E152" i="5"/>
  <c r="D152" i="5"/>
  <c r="A152" i="5"/>
  <c r="H151" i="5"/>
  <c r="I151" i="5" s="1"/>
  <c r="F151" i="5"/>
  <c r="E151" i="5"/>
  <c r="D151" i="5"/>
  <c r="A151" i="5"/>
  <c r="H150" i="5"/>
  <c r="I150" i="5" s="1"/>
  <c r="F150" i="5"/>
  <c r="E150" i="5"/>
  <c r="D150" i="5"/>
  <c r="A150" i="5"/>
  <c r="H149" i="5"/>
  <c r="I149" i="5" s="1"/>
  <c r="F149" i="5"/>
  <c r="E149" i="5"/>
  <c r="D149" i="5"/>
  <c r="A149" i="5"/>
  <c r="H148" i="5"/>
  <c r="I148" i="5" s="1"/>
  <c r="F148" i="5"/>
  <c r="E148" i="5"/>
  <c r="D148" i="5"/>
  <c r="A148" i="5"/>
  <c r="H147" i="5"/>
  <c r="I147" i="5" s="1"/>
  <c r="F147" i="5"/>
  <c r="E147" i="5"/>
  <c r="D147" i="5"/>
  <c r="A147" i="5"/>
  <c r="H146" i="5"/>
  <c r="I146" i="5" s="1"/>
  <c r="F146" i="5"/>
  <c r="E146" i="5"/>
  <c r="D146" i="5"/>
  <c r="A146" i="5"/>
  <c r="H145" i="5"/>
  <c r="I145" i="5" s="1"/>
  <c r="F145" i="5"/>
  <c r="E145" i="5"/>
  <c r="D145" i="5"/>
  <c r="A145" i="5"/>
  <c r="H144" i="5"/>
  <c r="I144" i="5" s="1"/>
  <c r="F144" i="5"/>
  <c r="E144" i="5"/>
  <c r="D144" i="5"/>
  <c r="A144" i="5"/>
  <c r="H143" i="5"/>
  <c r="I143" i="5" s="1"/>
  <c r="F143" i="5"/>
  <c r="E143" i="5"/>
  <c r="D143" i="5"/>
  <c r="A143" i="5"/>
  <c r="H142" i="5"/>
  <c r="I142" i="5" s="1"/>
  <c r="F142" i="5"/>
  <c r="E142" i="5"/>
  <c r="D142" i="5"/>
  <c r="A142" i="5"/>
  <c r="H141" i="5"/>
  <c r="I141" i="5" s="1"/>
  <c r="F141" i="5"/>
  <c r="E141" i="5"/>
  <c r="D141" i="5"/>
  <c r="A141" i="5"/>
  <c r="H140" i="5"/>
  <c r="I140" i="5" s="1"/>
  <c r="F140" i="5"/>
  <c r="E140" i="5"/>
  <c r="D140" i="5"/>
  <c r="A140" i="5"/>
  <c r="H139" i="5"/>
  <c r="I139" i="5" s="1"/>
  <c r="F139" i="5"/>
  <c r="E139" i="5"/>
  <c r="D139" i="5"/>
  <c r="A139" i="5"/>
  <c r="H138" i="5"/>
  <c r="I138" i="5" s="1"/>
  <c r="F138" i="5"/>
  <c r="E138" i="5"/>
  <c r="D138" i="5"/>
  <c r="A138" i="5"/>
  <c r="H137" i="5"/>
  <c r="I137" i="5" s="1"/>
  <c r="F137" i="5"/>
  <c r="E137" i="5"/>
  <c r="D137" i="5"/>
  <c r="A137" i="5"/>
  <c r="H136" i="5"/>
  <c r="I136" i="5" s="1"/>
  <c r="F136" i="5"/>
  <c r="E136" i="5"/>
  <c r="D136" i="5"/>
  <c r="A136" i="5"/>
  <c r="H135" i="5"/>
  <c r="I135" i="5" s="1"/>
  <c r="F135" i="5"/>
  <c r="E135" i="5"/>
  <c r="D135" i="5"/>
  <c r="A135" i="5"/>
  <c r="H134" i="5"/>
  <c r="I134" i="5" s="1"/>
  <c r="F134" i="5"/>
  <c r="E134" i="5"/>
  <c r="D134" i="5"/>
  <c r="A134" i="5"/>
  <c r="H133" i="5"/>
  <c r="I133" i="5" s="1"/>
  <c r="F133" i="5"/>
  <c r="E133" i="5"/>
  <c r="D133" i="5"/>
  <c r="A133" i="5"/>
  <c r="H132" i="5"/>
  <c r="I132" i="5" s="1"/>
  <c r="F132" i="5"/>
  <c r="E132" i="5"/>
  <c r="D132" i="5"/>
  <c r="A132" i="5"/>
  <c r="H131" i="5"/>
  <c r="I131" i="5" s="1"/>
  <c r="F131" i="5"/>
  <c r="E131" i="5"/>
  <c r="D131" i="5"/>
  <c r="A131" i="5"/>
  <c r="H130" i="5"/>
  <c r="I130" i="5" s="1"/>
  <c r="F130" i="5"/>
  <c r="E130" i="5"/>
  <c r="D130" i="5"/>
  <c r="A130" i="5"/>
  <c r="H129" i="5"/>
  <c r="I129" i="5" s="1"/>
  <c r="F129" i="5"/>
  <c r="E129" i="5"/>
  <c r="D129" i="5"/>
  <c r="A129" i="5"/>
  <c r="H128" i="5"/>
  <c r="I128" i="5" s="1"/>
  <c r="F128" i="5"/>
  <c r="E128" i="5"/>
  <c r="D128" i="5"/>
  <c r="A128" i="5"/>
  <c r="H127" i="5"/>
  <c r="I127" i="5" s="1"/>
  <c r="F127" i="5"/>
  <c r="E127" i="5"/>
  <c r="D127" i="5"/>
  <c r="A127" i="5"/>
  <c r="H126" i="5"/>
  <c r="I126" i="5" s="1"/>
  <c r="F126" i="5"/>
  <c r="E126" i="5"/>
  <c r="D126" i="5"/>
  <c r="A126" i="5"/>
  <c r="H125" i="5"/>
  <c r="I125" i="5" s="1"/>
  <c r="F125" i="5"/>
  <c r="E125" i="5"/>
  <c r="D125" i="5"/>
  <c r="A125" i="5"/>
  <c r="H124" i="5"/>
  <c r="I124" i="5" s="1"/>
  <c r="F124" i="5"/>
  <c r="E124" i="5"/>
  <c r="D124" i="5"/>
  <c r="A124" i="5"/>
  <c r="H123" i="5"/>
  <c r="I123" i="5" s="1"/>
  <c r="F123" i="5"/>
  <c r="E123" i="5"/>
  <c r="D123" i="5"/>
  <c r="A123" i="5"/>
  <c r="H122" i="5"/>
  <c r="I122" i="5" s="1"/>
  <c r="F122" i="5"/>
  <c r="E122" i="5"/>
  <c r="D122" i="5"/>
  <c r="A122" i="5"/>
  <c r="H121" i="5"/>
  <c r="I121" i="5" s="1"/>
  <c r="F121" i="5"/>
  <c r="E121" i="5"/>
  <c r="D121" i="5"/>
  <c r="A121" i="5"/>
  <c r="H120" i="5"/>
  <c r="I120" i="5" s="1"/>
  <c r="F120" i="5"/>
  <c r="E120" i="5"/>
  <c r="D120" i="5"/>
  <c r="A120" i="5"/>
  <c r="H119" i="5"/>
  <c r="I119" i="5" s="1"/>
  <c r="F119" i="5"/>
  <c r="E119" i="5"/>
  <c r="D119" i="5"/>
  <c r="A119" i="5"/>
  <c r="H118" i="5"/>
  <c r="I118" i="5" s="1"/>
  <c r="F118" i="5"/>
  <c r="E118" i="5"/>
  <c r="D118" i="5"/>
  <c r="A118" i="5"/>
  <c r="H117" i="5"/>
  <c r="I117" i="5" s="1"/>
  <c r="F117" i="5"/>
  <c r="E117" i="5"/>
  <c r="D117" i="5"/>
  <c r="A117" i="5"/>
  <c r="H116" i="5"/>
  <c r="I116" i="5" s="1"/>
  <c r="F116" i="5"/>
  <c r="E116" i="5"/>
  <c r="D116" i="5"/>
  <c r="A116" i="5"/>
  <c r="H115" i="5"/>
  <c r="I115" i="5" s="1"/>
  <c r="F115" i="5"/>
  <c r="E115" i="5"/>
  <c r="D115" i="5"/>
  <c r="A115" i="5"/>
  <c r="H114" i="5"/>
  <c r="I114" i="5" s="1"/>
  <c r="F114" i="5"/>
  <c r="E114" i="5"/>
  <c r="D114" i="5"/>
  <c r="A114" i="5"/>
  <c r="H113" i="5"/>
  <c r="I113" i="5" s="1"/>
  <c r="F113" i="5"/>
  <c r="E113" i="5"/>
  <c r="D113" i="5"/>
  <c r="A113" i="5"/>
  <c r="H112" i="5"/>
  <c r="I112" i="5" s="1"/>
  <c r="F112" i="5"/>
  <c r="E112" i="5"/>
  <c r="D112" i="5"/>
  <c r="A112" i="5"/>
  <c r="H111" i="5"/>
  <c r="I111" i="5" s="1"/>
  <c r="F111" i="5"/>
  <c r="E111" i="5"/>
  <c r="D111" i="5"/>
  <c r="A111" i="5"/>
  <c r="H110" i="5"/>
  <c r="I110" i="5" s="1"/>
  <c r="F110" i="5"/>
  <c r="E110" i="5"/>
  <c r="D110" i="5"/>
  <c r="A110" i="5"/>
  <c r="H109" i="5"/>
  <c r="I109" i="5" s="1"/>
  <c r="F109" i="5"/>
  <c r="E109" i="5"/>
  <c r="D109" i="5"/>
  <c r="A109" i="5"/>
  <c r="H108" i="5"/>
  <c r="I108" i="5" s="1"/>
  <c r="F108" i="5"/>
  <c r="E108" i="5"/>
  <c r="D108" i="5"/>
  <c r="A108" i="5"/>
  <c r="H107" i="5"/>
  <c r="I107" i="5" s="1"/>
  <c r="F107" i="5"/>
  <c r="E107" i="5"/>
  <c r="D107" i="5"/>
  <c r="A107" i="5"/>
  <c r="H106" i="5"/>
  <c r="I106" i="5" s="1"/>
  <c r="F106" i="5"/>
  <c r="E106" i="5"/>
  <c r="D106" i="5"/>
  <c r="A106" i="5"/>
  <c r="H105" i="5"/>
  <c r="I105" i="5" s="1"/>
  <c r="F105" i="5"/>
  <c r="E105" i="5"/>
  <c r="D105" i="5"/>
  <c r="A105" i="5"/>
  <c r="H104" i="5"/>
  <c r="I104" i="5" s="1"/>
  <c r="F104" i="5"/>
  <c r="E104" i="5"/>
  <c r="D104" i="5"/>
  <c r="A104" i="5"/>
  <c r="H103" i="5"/>
  <c r="I103" i="5" s="1"/>
  <c r="F103" i="5"/>
  <c r="E103" i="5"/>
  <c r="D103" i="5"/>
  <c r="A103" i="5"/>
  <c r="H102" i="5"/>
  <c r="I102" i="5" s="1"/>
  <c r="F102" i="5"/>
  <c r="E102" i="5"/>
  <c r="D102" i="5"/>
  <c r="A102" i="5"/>
  <c r="H101" i="5"/>
  <c r="I101" i="5" s="1"/>
  <c r="F101" i="5"/>
  <c r="E101" i="5"/>
  <c r="D101" i="5"/>
  <c r="A101" i="5"/>
  <c r="H100" i="5"/>
  <c r="I100" i="5" s="1"/>
  <c r="F100" i="5"/>
  <c r="E100" i="5"/>
  <c r="D100" i="5"/>
  <c r="A100" i="5"/>
  <c r="H99" i="5"/>
  <c r="I99" i="5" s="1"/>
  <c r="F99" i="5"/>
  <c r="E99" i="5"/>
  <c r="D99" i="5"/>
  <c r="A99" i="5"/>
  <c r="H98" i="5"/>
  <c r="I98" i="5" s="1"/>
  <c r="F98" i="5"/>
  <c r="E98" i="5"/>
  <c r="D98" i="5"/>
  <c r="A98" i="5"/>
  <c r="H97" i="5"/>
  <c r="I97" i="5" s="1"/>
  <c r="F97" i="5"/>
  <c r="E97" i="5"/>
  <c r="D97" i="5"/>
  <c r="A97" i="5"/>
  <c r="H96" i="5"/>
  <c r="I96" i="5" s="1"/>
  <c r="F96" i="5"/>
  <c r="E96" i="5"/>
  <c r="D96" i="5"/>
  <c r="A96" i="5"/>
  <c r="H95" i="5"/>
  <c r="I95" i="5" s="1"/>
  <c r="F95" i="5"/>
  <c r="E95" i="5"/>
  <c r="D95" i="5"/>
  <c r="A95" i="5"/>
  <c r="H94" i="5"/>
  <c r="I94" i="5" s="1"/>
  <c r="F94" i="5"/>
  <c r="E94" i="5"/>
  <c r="D94" i="5"/>
  <c r="A94" i="5"/>
  <c r="H93" i="5"/>
  <c r="I93" i="5" s="1"/>
  <c r="F93" i="5"/>
  <c r="E93" i="5"/>
  <c r="D93" i="5"/>
  <c r="A93" i="5"/>
  <c r="H92" i="5"/>
  <c r="I92" i="5" s="1"/>
  <c r="F92" i="5"/>
  <c r="E92" i="5"/>
  <c r="D92" i="5"/>
  <c r="A92" i="5"/>
  <c r="H91" i="5"/>
  <c r="I91" i="5" s="1"/>
  <c r="F91" i="5"/>
  <c r="E91" i="5"/>
  <c r="D91" i="5"/>
  <c r="A91" i="5"/>
  <c r="H90" i="5"/>
  <c r="I90" i="5" s="1"/>
  <c r="F90" i="5"/>
  <c r="E90" i="5"/>
  <c r="D90" i="5"/>
  <c r="A90" i="5"/>
  <c r="H89" i="5"/>
  <c r="I89" i="5" s="1"/>
  <c r="F89" i="5"/>
  <c r="E89" i="5"/>
  <c r="D89" i="5"/>
  <c r="A89" i="5"/>
  <c r="H88" i="5"/>
  <c r="I88" i="5" s="1"/>
  <c r="F88" i="5"/>
  <c r="E88" i="5"/>
  <c r="D88" i="5"/>
  <c r="A88" i="5"/>
  <c r="H87" i="5"/>
  <c r="I87" i="5" s="1"/>
  <c r="F87" i="5"/>
  <c r="E87" i="5"/>
  <c r="D87" i="5"/>
  <c r="A87" i="5"/>
  <c r="H86" i="5"/>
  <c r="I86" i="5" s="1"/>
  <c r="F86" i="5"/>
  <c r="E86" i="5"/>
  <c r="D86" i="5"/>
  <c r="A86" i="5"/>
  <c r="H85" i="5"/>
  <c r="I85" i="5" s="1"/>
  <c r="F85" i="5"/>
  <c r="E85" i="5"/>
  <c r="D85" i="5"/>
  <c r="A85" i="5"/>
  <c r="H84" i="5"/>
  <c r="I84" i="5" s="1"/>
  <c r="F84" i="5"/>
  <c r="E84" i="5"/>
  <c r="D84" i="5"/>
  <c r="A84" i="5"/>
  <c r="H83" i="5"/>
  <c r="I83" i="5" s="1"/>
  <c r="F83" i="5"/>
  <c r="E83" i="5"/>
  <c r="D83" i="5"/>
  <c r="A83" i="5"/>
  <c r="H82" i="5"/>
  <c r="I82" i="5" s="1"/>
  <c r="F82" i="5"/>
  <c r="E82" i="5"/>
  <c r="D82" i="5"/>
  <c r="A82" i="5"/>
  <c r="H81" i="5"/>
  <c r="I81" i="5" s="1"/>
  <c r="F81" i="5"/>
  <c r="E81" i="5"/>
  <c r="D81" i="5"/>
  <c r="A81" i="5"/>
  <c r="H80" i="5"/>
  <c r="I80" i="5" s="1"/>
  <c r="F80" i="5"/>
  <c r="E80" i="5"/>
  <c r="D80" i="5"/>
  <c r="A80" i="5"/>
  <c r="H79" i="5"/>
  <c r="I79" i="5" s="1"/>
  <c r="F79" i="5"/>
  <c r="E79" i="5"/>
  <c r="D79" i="5"/>
  <c r="A79" i="5"/>
  <c r="H78" i="5"/>
  <c r="I78" i="5" s="1"/>
  <c r="F78" i="5"/>
  <c r="E78" i="5"/>
  <c r="D78" i="5"/>
  <c r="A78" i="5"/>
  <c r="H77" i="5"/>
  <c r="I77" i="5" s="1"/>
  <c r="F77" i="5"/>
  <c r="E77" i="5"/>
  <c r="D77" i="5"/>
  <c r="A77" i="5"/>
  <c r="H76" i="5"/>
  <c r="I76" i="5" s="1"/>
  <c r="F76" i="5"/>
  <c r="E76" i="5"/>
  <c r="D76" i="5"/>
  <c r="A76" i="5"/>
  <c r="H75" i="5"/>
  <c r="I75" i="5" s="1"/>
  <c r="F75" i="5"/>
  <c r="E75" i="5"/>
  <c r="D75" i="5"/>
  <c r="A75" i="5"/>
  <c r="H74" i="5"/>
  <c r="I74" i="5" s="1"/>
  <c r="F74" i="5"/>
  <c r="E74" i="5"/>
  <c r="D74" i="5"/>
  <c r="A74" i="5"/>
  <c r="H73" i="5"/>
  <c r="I73" i="5" s="1"/>
  <c r="F73" i="5"/>
  <c r="E73" i="5"/>
  <c r="D73" i="5"/>
  <c r="A73" i="5"/>
  <c r="H72" i="5"/>
  <c r="I72" i="5" s="1"/>
  <c r="F72" i="5"/>
  <c r="E72" i="5"/>
  <c r="D72" i="5"/>
  <c r="A72" i="5"/>
  <c r="H71" i="5"/>
  <c r="I71" i="5" s="1"/>
  <c r="F71" i="5"/>
  <c r="E71" i="5"/>
  <c r="D71" i="5"/>
  <c r="A71" i="5"/>
  <c r="H70" i="5"/>
  <c r="I70" i="5" s="1"/>
  <c r="F70" i="5"/>
  <c r="E70" i="5"/>
  <c r="D70" i="5"/>
  <c r="A70" i="5"/>
  <c r="H69" i="5"/>
  <c r="I69" i="5" s="1"/>
  <c r="F69" i="5"/>
  <c r="E69" i="5"/>
  <c r="D69" i="5"/>
  <c r="A69" i="5"/>
  <c r="H68" i="5"/>
  <c r="I68" i="5" s="1"/>
  <c r="F68" i="5"/>
  <c r="E68" i="5"/>
  <c r="D68" i="5"/>
  <c r="A68" i="5"/>
  <c r="H67" i="5"/>
  <c r="I67" i="5" s="1"/>
  <c r="F67" i="5"/>
  <c r="E67" i="5"/>
  <c r="D67" i="5"/>
  <c r="A67" i="5"/>
  <c r="H66" i="5"/>
  <c r="I66" i="5" s="1"/>
  <c r="F66" i="5"/>
  <c r="E66" i="5"/>
  <c r="D66" i="5"/>
  <c r="A66" i="5"/>
  <c r="H65" i="5"/>
  <c r="I65" i="5" s="1"/>
  <c r="F65" i="5"/>
  <c r="E65" i="5"/>
  <c r="D65" i="5"/>
  <c r="A65" i="5"/>
  <c r="H64" i="5"/>
  <c r="I64" i="5" s="1"/>
  <c r="F64" i="5"/>
  <c r="E64" i="5"/>
  <c r="D64" i="5"/>
  <c r="A64" i="5"/>
  <c r="H63" i="5"/>
  <c r="I63" i="5" s="1"/>
  <c r="F63" i="5"/>
  <c r="E63" i="5"/>
  <c r="D63" i="5"/>
  <c r="A63" i="5"/>
  <c r="H62" i="5"/>
  <c r="I62" i="5" s="1"/>
  <c r="F62" i="5"/>
  <c r="E62" i="5"/>
  <c r="D62" i="5"/>
  <c r="A62" i="5"/>
  <c r="H61" i="5"/>
  <c r="I61" i="5" s="1"/>
  <c r="F61" i="5"/>
  <c r="E61" i="5"/>
  <c r="D61" i="5"/>
  <c r="A61" i="5"/>
  <c r="H60" i="5"/>
  <c r="I60" i="5" s="1"/>
  <c r="F60" i="5"/>
  <c r="E60" i="5"/>
  <c r="D60" i="5"/>
  <c r="A60" i="5"/>
  <c r="H59" i="5"/>
  <c r="I59" i="5" s="1"/>
  <c r="F59" i="5"/>
  <c r="E59" i="5"/>
  <c r="D59" i="5"/>
  <c r="A59" i="5"/>
  <c r="H58" i="5"/>
  <c r="I58" i="5" s="1"/>
  <c r="F58" i="5"/>
  <c r="E58" i="5"/>
  <c r="D58" i="5"/>
  <c r="A58" i="5"/>
  <c r="H57" i="5"/>
  <c r="I57" i="5" s="1"/>
  <c r="F57" i="5"/>
  <c r="E57" i="5"/>
  <c r="D57" i="5"/>
  <c r="A57" i="5"/>
  <c r="H56" i="5"/>
  <c r="I56" i="5" s="1"/>
  <c r="F56" i="5"/>
  <c r="E56" i="5"/>
  <c r="D56" i="5"/>
  <c r="A56" i="5"/>
  <c r="H55" i="5"/>
  <c r="I55" i="5" s="1"/>
  <c r="F55" i="5"/>
  <c r="E55" i="5"/>
  <c r="D55" i="5"/>
  <c r="A55" i="5"/>
  <c r="H54" i="5"/>
  <c r="I54" i="5" s="1"/>
  <c r="F54" i="5"/>
  <c r="E54" i="5"/>
  <c r="D54" i="5"/>
  <c r="A54" i="5"/>
  <c r="H53" i="5"/>
  <c r="I53" i="5" s="1"/>
  <c r="F53" i="5"/>
  <c r="E53" i="5"/>
  <c r="D53" i="5"/>
  <c r="A53" i="5"/>
  <c r="H52" i="5"/>
  <c r="I52" i="5" s="1"/>
  <c r="F52" i="5"/>
  <c r="E52" i="5"/>
  <c r="D52" i="5"/>
  <c r="A52" i="5"/>
  <c r="H51" i="5"/>
  <c r="I51" i="5" s="1"/>
  <c r="F51" i="5"/>
  <c r="E51" i="5"/>
  <c r="D51" i="5"/>
  <c r="A51" i="5"/>
  <c r="H50" i="5"/>
  <c r="I50" i="5" s="1"/>
  <c r="F50" i="5"/>
  <c r="E50" i="5"/>
  <c r="D50" i="5"/>
  <c r="A50" i="5"/>
  <c r="H49" i="5"/>
  <c r="I49" i="5" s="1"/>
  <c r="F49" i="5"/>
  <c r="E49" i="5"/>
  <c r="D49" i="5"/>
  <c r="A49" i="5"/>
  <c r="H48" i="5"/>
  <c r="I48" i="5" s="1"/>
  <c r="F48" i="5"/>
  <c r="E48" i="5"/>
  <c r="D48" i="5"/>
  <c r="A48" i="5"/>
  <c r="H47" i="5"/>
  <c r="I47" i="5" s="1"/>
  <c r="F47" i="5"/>
  <c r="E47" i="5"/>
  <c r="D47" i="5"/>
  <c r="A47" i="5"/>
  <c r="H46" i="5"/>
  <c r="I46" i="5" s="1"/>
  <c r="F46" i="5"/>
  <c r="E46" i="5"/>
  <c r="D46" i="5"/>
  <c r="A46" i="5"/>
  <c r="H45" i="5"/>
  <c r="I45" i="5" s="1"/>
  <c r="F45" i="5"/>
  <c r="E45" i="5"/>
  <c r="D45" i="5"/>
  <c r="A45" i="5"/>
  <c r="H44" i="5"/>
  <c r="I44" i="5" s="1"/>
  <c r="F44" i="5"/>
  <c r="E44" i="5"/>
  <c r="D44" i="5"/>
  <c r="A44" i="5"/>
  <c r="H43" i="5"/>
  <c r="I43" i="5" s="1"/>
  <c r="F43" i="5"/>
  <c r="E43" i="5"/>
  <c r="D43" i="5"/>
  <c r="A43" i="5"/>
  <c r="H42" i="5"/>
  <c r="I42" i="5" s="1"/>
  <c r="F42" i="5"/>
  <c r="E42" i="5"/>
  <c r="D42" i="5"/>
  <c r="A42" i="5"/>
  <c r="H41" i="5"/>
  <c r="I41" i="5" s="1"/>
  <c r="F41" i="5"/>
  <c r="E41" i="5"/>
  <c r="D41" i="5"/>
  <c r="A41" i="5"/>
  <c r="H40" i="5"/>
  <c r="I40" i="5" s="1"/>
  <c r="F40" i="5"/>
  <c r="E40" i="5"/>
  <c r="D40" i="5"/>
  <c r="A40" i="5"/>
  <c r="H39" i="5"/>
  <c r="I39" i="5" s="1"/>
  <c r="F39" i="5"/>
  <c r="E39" i="5"/>
  <c r="D39" i="5"/>
  <c r="A39" i="5"/>
  <c r="H38" i="5"/>
  <c r="I38" i="5" s="1"/>
  <c r="F38" i="5"/>
  <c r="E38" i="5"/>
  <c r="D38" i="5"/>
  <c r="A38" i="5"/>
  <c r="H37" i="5"/>
  <c r="I37" i="5" s="1"/>
  <c r="F37" i="5"/>
  <c r="E37" i="5"/>
  <c r="D37" i="5"/>
  <c r="A37" i="5"/>
  <c r="H36" i="5"/>
  <c r="I36" i="5" s="1"/>
  <c r="F36" i="5"/>
  <c r="E36" i="5"/>
  <c r="D36" i="5"/>
  <c r="A36" i="5"/>
  <c r="H35" i="5"/>
  <c r="I35" i="5" s="1"/>
  <c r="F35" i="5"/>
  <c r="E35" i="5"/>
  <c r="D35" i="5"/>
  <c r="A35" i="5"/>
  <c r="H34" i="5"/>
  <c r="I34" i="5" s="1"/>
  <c r="F34" i="5"/>
  <c r="E34" i="5"/>
  <c r="D34" i="5"/>
  <c r="A34" i="5"/>
  <c r="H33" i="5"/>
  <c r="I33" i="5" s="1"/>
  <c r="F33" i="5"/>
  <c r="E33" i="5"/>
  <c r="D33" i="5"/>
  <c r="A33" i="5"/>
  <c r="H32" i="5"/>
  <c r="I32" i="5" s="1"/>
  <c r="F32" i="5"/>
  <c r="E32" i="5"/>
  <c r="D32" i="5"/>
  <c r="A32" i="5"/>
  <c r="H31" i="5"/>
  <c r="I31" i="5" s="1"/>
  <c r="F31" i="5"/>
  <c r="E31" i="5"/>
  <c r="D31" i="5"/>
  <c r="A31" i="5"/>
  <c r="H30" i="5"/>
  <c r="I30" i="5" s="1"/>
  <c r="F30" i="5"/>
  <c r="E30" i="5"/>
  <c r="D30" i="5"/>
  <c r="A30" i="5"/>
  <c r="H29" i="5"/>
  <c r="I29" i="5" s="1"/>
  <c r="F29" i="5"/>
  <c r="E29" i="5"/>
  <c r="D29" i="5"/>
  <c r="A29" i="5"/>
  <c r="H28" i="5"/>
  <c r="I28" i="5" s="1"/>
  <c r="F28" i="5"/>
  <c r="E28" i="5"/>
  <c r="D28" i="5"/>
  <c r="A28" i="5"/>
  <c r="H27" i="5"/>
  <c r="I27" i="5" s="1"/>
  <c r="F27" i="5"/>
  <c r="E27" i="5"/>
  <c r="D27" i="5"/>
  <c r="A27" i="5"/>
  <c r="H26" i="5"/>
  <c r="I26" i="5" s="1"/>
  <c r="F26" i="5"/>
  <c r="E26" i="5"/>
  <c r="D26" i="5"/>
  <c r="A26" i="5"/>
  <c r="H25" i="5"/>
  <c r="I25" i="5" s="1"/>
  <c r="F25" i="5"/>
  <c r="E25" i="5"/>
  <c r="D25" i="5"/>
  <c r="A25" i="5"/>
  <c r="H24" i="5"/>
  <c r="I24" i="5" s="1"/>
  <c r="F24" i="5"/>
  <c r="E24" i="5"/>
  <c r="D24" i="5"/>
  <c r="A24" i="5"/>
  <c r="H23" i="5"/>
  <c r="I23" i="5" s="1"/>
  <c r="F23" i="5"/>
  <c r="E23" i="5"/>
  <c r="D23" i="5"/>
  <c r="A23" i="5"/>
  <c r="H22" i="5"/>
  <c r="I22" i="5" s="1"/>
  <c r="F22" i="5"/>
  <c r="E22" i="5"/>
  <c r="D22" i="5"/>
  <c r="A22" i="5"/>
  <c r="H21" i="5"/>
  <c r="I21" i="5" s="1"/>
  <c r="F21" i="5"/>
  <c r="E21" i="5"/>
  <c r="D21" i="5"/>
  <c r="A21" i="5"/>
  <c r="H20" i="5"/>
  <c r="I20" i="5" s="1"/>
  <c r="F20" i="5"/>
  <c r="E20" i="5"/>
  <c r="D20" i="5"/>
  <c r="A20" i="5"/>
  <c r="H19" i="5"/>
  <c r="I19" i="5" s="1"/>
  <c r="F19" i="5"/>
  <c r="E19" i="5"/>
  <c r="D19" i="5"/>
  <c r="A19" i="5"/>
  <c r="H18" i="5"/>
  <c r="I18" i="5" s="1"/>
  <c r="F18" i="5"/>
  <c r="E18" i="5"/>
  <c r="D18" i="5"/>
  <c r="A18" i="5"/>
  <c r="H17" i="5"/>
  <c r="I17" i="5" s="1"/>
  <c r="F17" i="5"/>
  <c r="E17" i="5"/>
  <c r="D17" i="5"/>
  <c r="A17" i="5"/>
  <c r="H16" i="5"/>
  <c r="I16" i="5" s="1"/>
  <c r="F16" i="5"/>
  <c r="E16" i="5"/>
  <c r="D16" i="5"/>
  <c r="A16" i="5"/>
  <c r="H15" i="5"/>
  <c r="I15" i="5" s="1"/>
  <c r="F15" i="5"/>
  <c r="E15" i="5"/>
  <c r="D15" i="5"/>
  <c r="A15" i="5"/>
  <c r="H14" i="5"/>
  <c r="I14" i="5" s="1"/>
  <c r="F14" i="5"/>
  <c r="E14" i="5"/>
  <c r="D14" i="5"/>
  <c r="A14" i="5"/>
  <c r="H13" i="5"/>
  <c r="I13" i="5" s="1"/>
  <c r="F13" i="5"/>
  <c r="E13" i="5"/>
  <c r="D13" i="5"/>
  <c r="A13" i="5"/>
  <c r="H12" i="5"/>
  <c r="I12" i="5" s="1"/>
  <c r="F12" i="5"/>
  <c r="E12" i="5"/>
  <c r="D12" i="5"/>
  <c r="A12" i="5"/>
  <c r="H11" i="5"/>
  <c r="I11" i="5" s="1"/>
  <c r="F11" i="5"/>
  <c r="E11" i="5"/>
  <c r="D11" i="5"/>
  <c r="A11" i="5"/>
  <c r="H10" i="5"/>
  <c r="I10" i="5" s="1"/>
  <c r="F10" i="5"/>
  <c r="E10" i="5"/>
  <c r="D10" i="5"/>
  <c r="A10" i="5"/>
  <c r="H9" i="5"/>
  <c r="I9" i="5" s="1"/>
  <c r="F9" i="5"/>
  <c r="E9" i="5"/>
  <c r="D9" i="5"/>
  <c r="A9" i="5"/>
  <c r="H8" i="5"/>
  <c r="I8" i="5" s="1"/>
  <c r="F8" i="5"/>
  <c r="E8" i="5"/>
  <c r="D8" i="5"/>
  <c r="A8" i="5"/>
  <c r="H7" i="5"/>
  <c r="I7" i="5" s="1"/>
  <c r="F7" i="5"/>
  <c r="E7" i="5"/>
  <c r="D7" i="5"/>
  <c r="A7" i="5"/>
  <c r="H6" i="5"/>
  <c r="I6" i="5" s="1"/>
  <c r="F6" i="5"/>
  <c r="E6" i="5"/>
  <c r="D6" i="5"/>
  <c r="A6" i="5"/>
  <c r="H5" i="5"/>
  <c r="I5" i="5" s="1"/>
  <c r="F5" i="5"/>
  <c r="E5" i="5"/>
  <c r="D5" i="5"/>
  <c r="A5" i="5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P204" i="3"/>
  <c r="A204" i="3"/>
  <c r="P203" i="3"/>
  <c r="A203" i="3"/>
  <c r="P202" i="3"/>
  <c r="A202" i="3"/>
  <c r="P201" i="3"/>
  <c r="A201" i="3"/>
  <c r="P200" i="3"/>
  <c r="A200" i="3"/>
  <c r="P199" i="3"/>
  <c r="A199" i="3"/>
  <c r="P198" i="3"/>
  <c r="A198" i="3"/>
  <c r="P197" i="3"/>
  <c r="A197" i="3"/>
  <c r="P196" i="3"/>
  <c r="A196" i="3"/>
  <c r="P195" i="3"/>
  <c r="A195" i="3"/>
  <c r="P194" i="3"/>
  <c r="A194" i="3"/>
  <c r="P193" i="3"/>
  <c r="A193" i="3"/>
  <c r="P192" i="3"/>
  <c r="A192" i="3"/>
  <c r="P191" i="3"/>
  <c r="A191" i="3"/>
  <c r="P190" i="3"/>
  <c r="A190" i="3"/>
  <c r="P189" i="3"/>
  <c r="A189" i="3"/>
  <c r="P188" i="3"/>
  <c r="A188" i="3"/>
  <c r="P187" i="3"/>
  <c r="A187" i="3"/>
  <c r="P186" i="3"/>
  <c r="A186" i="3"/>
  <c r="P185" i="3"/>
  <c r="A185" i="3"/>
  <c r="P184" i="3"/>
  <c r="A184" i="3"/>
  <c r="P183" i="3"/>
  <c r="A183" i="3"/>
  <c r="P182" i="3"/>
  <c r="A182" i="3"/>
  <c r="P181" i="3"/>
  <c r="A181" i="3"/>
  <c r="P180" i="3"/>
  <c r="A180" i="3"/>
  <c r="P179" i="3"/>
  <c r="A179" i="3"/>
  <c r="P178" i="3"/>
  <c r="A178" i="3"/>
  <c r="P177" i="3"/>
  <c r="A177" i="3"/>
  <c r="P176" i="3"/>
  <c r="A176" i="3"/>
  <c r="P175" i="3"/>
  <c r="A175" i="3"/>
  <c r="P174" i="3"/>
  <c r="A174" i="3"/>
  <c r="P173" i="3"/>
  <c r="A173" i="3"/>
  <c r="P172" i="3"/>
  <c r="A172" i="3"/>
  <c r="P171" i="3"/>
  <c r="A171" i="3"/>
  <c r="P170" i="3"/>
  <c r="A170" i="3"/>
  <c r="P169" i="3"/>
  <c r="A169" i="3"/>
  <c r="P168" i="3"/>
  <c r="A168" i="3"/>
  <c r="P167" i="3"/>
  <c r="A167" i="3"/>
  <c r="P166" i="3"/>
  <c r="A166" i="3"/>
  <c r="P165" i="3"/>
  <c r="A165" i="3"/>
  <c r="P164" i="3"/>
  <c r="A164" i="3"/>
  <c r="P163" i="3"/>
  <c r="A163" i="3"/>
  <c r="P162" i="3"/>
  <c r="A162" i="3"/>
  <c r="P161" i="3"/>
  <c r="A161" i="3"/>
  <c r="P160" i="3"/>
  <c r="A160" i="3"/>
  <c r="P159" i="3"/>
  <c r="A159" i="3"/>
  <c r="P158" i="3"/>
  <c r="A158" i="3"/>
  <c r="P157" i="3"/>
  <c r="A157" i="3"/>
  <c r="P156" i="3"/>
  <c r="A156" i="3"/>
  <c r="P155" i="3"/>
  <c r="A155" i="3"/>
  <c r="P154" i="3"/>
  <c r="A154" i="3"/>
  <c r="P153" i="3"/>
  <c r="A153" i="3"/>
  <c r="P152" i="3"/>
  <c r="A152" i="3"/>
  <c r="P151" i="3"/>
  <c r="A151" i="3"/>
  <c r="P150" i="3"/>
  <c r="A150" i="3"/>
  <c r="P149" i="3"/>
  <c r="A149" i="3"/>
  <c r="P148" i="3"/>
  <c r="A148" i="3"/>
  <c r="P147" i="3"/>
  <c r="A147" i="3"/>
  <c r="P146" i="3"/>
  <c r="A146" i="3"/>
  <c r="P145" i="3"/>
  <c r="A145" i="3"/>
  <c r="P144" i="3"/>
  <c r="A144" i="3"/>
  <c r="P143" i="3"/>
  <c r="A143" i="3"/>
  <c r="P142" i="3"/>
  <c r="A142" i="3"/>
  <c r="P141" i="3"/>
  <c r="A141" i="3"/>
  <c r="P140" i="3"/>
  <c r="A140" i="3"/>
  <c r="P139" i="3"/>
  <c r="A139" i="3"/>
  <c r="P138" i="3"/>
  <c r="A138" i="3"/>
  <c r="P137" i="3"/>
  <c r="A137" i="3"/>
  <c r="P136" i="3"/>
  <c r="A136" i="3"/>
  <c r="P135" i="3"/>
  <c r="A135" i="3"/>
  <c r="P134" i="3"/>
  <c r="A134" i="3"/>
  <c r="P133" i="3"/>
  <c r="A133" i="3"/>
  <c r="P132" i="3"/>
  <c r="A132" i="3"/>
  <c r="P131" i="3"/>
  <c r="A131" i="3"/>
  <c r="P130" i="3"/>
  <c r="A130" i="3"/>
  <c r="P129" i="3"/>
  <c r="A129" i="3"/>
  <c r="P128" i="3"/>
  <c r="A128" i="3"/>
  <c r="P127" i="3"/>
  <c r="A127" i="3"/>
  <c r="P126" i="3"/>
  <c r="A126" i="3"/>
  <c r="P125" i="3"/>
  <c r="A125" i="3"/>
  <c r="P124" i="3"/>
  <c r="A124" i="3"/>
  <c r="P123" i="3"/>
  <c r="A123" i="3"/>
  <c r="P122" i="3"/>
  <c r="A122" i="3"/>
  <c r="P121" i="3"/>
  <c r="A121" i="3"/>
  <c r="P120" i="3"/>
  <c r="A120" i="3"/>
  <c r="P119" i="3"/>
  <c r="A119" i="3"/>
  <c r="P118" i="3"/>
  <c r="A118" i="3"/>
  <c r="P117" i="3"/>
  <c r="A117" i="3"/>
  <c r="P116" i="3"/>
  <c r="A116" i="3"/>
  <c r="P115" i="3"/>
  <c r="A115" i="3"/>
  <c r="P114" i="3"/>
  <c r="A114" i="3"/>
  <c r="P113" i="3"/>
  <c r="A113" i="3"/>
  <c r="P112" i="3"/>
  <c r="A112" i="3"/>
  <c r="P111" i="3"/>
  <c r="A111" i="3"/>
  <c r="P110" i="3"/>
  <c r="A110" i="3"/>
  <c r="P109" i="3"/>
  <c r="A109" i="3"/>
  <c r="P108" i="3"/>
  <c r="A108" i="3"/>
  <c r="P107" i="3"/>
  <c r="A107" i="3"/>
  <c r="P106" i="3"/>
  <c r="A106" i="3"/>
  <c r="P105" i="3"/>
  <c r="A105" i="3"/>
  <c r="P104" i="3"/>
  <c r="A104" i="3"/>
  <c r="P103" i="3"/>
  <c r="A103" i="3"/>
  <c r="P102" i="3"/>
  <c r="A102" i="3"/>
  <c r="P101" i="3"/>
  <c r="A101" i="3"/>
  <c r="P100" i="3"/>
  <c r="A100" i="3"/>
  <c r="P99" i="3"/>
  <c r="A99" i="3"/>
  <c r="P98" i="3"/>
  <c r="A98" i="3"/>
  <c r="P97" i="3"/>
  <c r="A97" i="3"/>
  <c r="P96" i="3"/>
  <c r="A96" i="3"/>
  <c r="P95" i="3"/>
  <c r="A95" i="3"/>
  <c r="P94" i="3"/>
  <c r="A94" i="3"/>
  <c r="P93" i="3"/>
  <c r="A93" i="3"/>
  <c r="P92" i="3"/>
  <c r="A92" i="3"/>
  <c r="P91" i="3"/>
  <c r="A91" i="3"/>
  <c r="P90" i="3"/>
  <c r="A90" i="3"/>
  <c r="P89" i="3"/>
  <c r="A89" i="3"/>
  <c r="P88" i="3"/>
  <c r="A88" i="3"/>
  <c r="P87" i="3"/>
  <c r="A87" i="3"/>
  <c r="P86" i="3"/>
  <c r="A86" i="3"/>
  <c r="P85" i="3"/>
  <c r="A85" i="3"/>
  <c r="P84" i="3"/>
  <c r="A84" i="3"/>
  <c r="P83" i="3"/>
  <c r="A83" i="3"/>
  <c r="P82" i="3"/>
  <c r="A82" i="3"/>
  <c r="P81" i="3"/>
  <c r="A81" i="3"/>
  <c r="P80" i="3"/>
  <c r="A80" i="3"/>
  <c r="P79" i="3"/>
  <c r="A79" i="3"/>
  <c r="P78" i="3"/>
  <c r="A78" i="3"/>
  <c r="P77" i="3"/>
  <c r="A77" i="3"/>
  <c r="P76" i="3"/>
  <c r="A76" i="3"/>
  <c r="P75" i="3"/>
  <c r="A75" i="3"/>
  <c r="P74" i="3"/>
  <c r="A74" i="3"/>
  <c r="P73" i="3"/>
  <c r="A73" i="3"/>
  <c r="P72" i="3"/>
  <c r="A72" i="3"/>
  <c r="P71" i="3"/>
  <c r="A71" i="3"/>
  <c r="P70" i="3"/>
  <c r="A70" i="3"/>
  <c r="P69" i="3"/>
  <c r="A69" i="3"/>
  <c r="P68" i="3"/>
  <c r="A68" i="3"/>
  <c r="P67" i="3"/>
  <c r="A67" i="3"/>
  <c r="P66" i="3"/>
  <c r="A66" i="3"/>
  <c r="P65" i="3"/>
  <c r="A65" i="3"/>
  <c r="P64" i="3"/>
  <c r="A64" i="3"/>
  <c r="P63" i="3"/>
  <c r="A63" i="3"/>
  <c r="P62" i="3"/>
  <c r="A62" i="3"/>
  <c r="P61" i="3"/>
  <c r="A61" i="3"/>
  <c r="P60" i="3"/>
  <c r="A60" i="3"/>
  <c r="P59" i="3"/>
  <c r="A59" i="3"/>
  <c r="P58" i="3"/>
  <c r="A58" i="3"/>
  <c r="P57" i="3"/>
  <c r="A57" i="3"/>
  <c r="P56" i="3"/>
  <c r="A56" i="3"/>
  <c r="P55" i="3"/>
  <c r="A55" i="3"/>
  <c r="P54" i="3"/>
  <c r="A54" i="3"/>
  <c r="P53" i="3"/>
  <c r="A53" i="3"/>
  <c r="P52" i="3"/>
  <c r="A52" i="3"/>
  <c r="P51" i="3"/>
  <c r="A51" i="3"/>
  <c r="P50" i="3"/>
  <c r="A50" i="3"/>
  <c r="P49" i="3"/>
  <c r="A49" i="3"/>
  <c r="P48" i="3"/>
  <c r="A48" i="3"/>
  <c r="P47" i="3"/>
  <c r="A47" i="3"/>
  <c r="A46" i="3"/>
  <c r="P46" i="3" s="1"/>
  <c r="A45" i="3"/>
  <c r="P45" i="3" s="1"/>
  <c r="A44" i="3"/>
  <c r="P44" i="3" s="1"/>
  <c r="A43" i="3"/>
  <c r="P43" i="3" s="1"/>
  <c r="A42" i="3"/>
  <c r="P42" i="3" s="1"/>
  <c r="A41" i="3"/>
  <c r="P41" i="3" s="1"/>
  <c r="A40" i="3"/>
  <c r="P40" i="3" s="1"/>
  <c r="A39" i="3"/>
  <c r="P39" i="3" s="1"/>
  <c r="A38" i="3"/>
  <c r="P38" i="3" s="1"/>
  <c r="A37" i="3"/>
  <c r="P37" i="3" s="1"/>
  <c r="A36" i="3"/>
  <c r="P36" i="3" s="1"/>
  <c r="A35" i="3"/>
  <c r="P35" i="3" s="1"/>
  <c r="A34" i="3"/>
  <c r="P34" i="3" s="1"/>
  <c r="A33" i="3"/>
  <c r="P33" i="3" s="1"/>
  <c r="A32" i="3"/>
  <c r="P32" i="3" s="1"/>
  <c r="A31" i="3"/>
  <c r="P31" i="3" s="1"/>
  <c r="A30" i="3"/>
  <c r="P30" i="3" s="1"/>
  <c r="A29" i="3"/>
  <c r="P29" i="3" s="1"/>
  <c r="A28" i="3"/>
  <c r="P28" i="3" s="1"/>
  <c r="A27" i="3"/>
  <c r="P27" i="3" s="1"/>
  <c r="A26" i="3"/>
  <c r="P26" i="3" s="1"/>
  <c r="A25" i="3"/>
  <c r="P25" i="3" s="1"/>
  <c r="A24" i="3"/>
  <c r="P24" i="3" s="1"/>
  <c r="A23" i="3"/>
  <c r="P23" i="3" s="1"/>
  <c r="A22" i="3"/>
  <c r="P22" i="3" s="1"/>
  <c r="A21" i="3"/>
  <c r="P21" i="3" s="1"/>
  <c r="A20" i="3"/>
  <c r="P20" i="3" s="1"/>
  <c r="A19" i="3"/>
  <c r="P19" i="3" s="1"/>
  <c r="A18" i="3"/>
  <c r="P18" i="3" s="1"/>
  <c r="A17" i="3"/>
  <c r="P17" i="3" s="1"/>
  <c r="A16" i="3"/>
  <c r="P16" i="3" s="1"/>
  <c r="A15" i="3"/>
  <c r="P15" i="3" s="1"/>
  <c r="A14" i="3"/>
  <c r="P14" i="3" s="1"/>
  <c r="A13" i="3"/>
  <c r="P13" i="3" s="1"/>
  <c r="A12" i="3"/>
  <c r="P12" i="3" s="1"/>
  <c r="A11" i="3"/>
  <c r="P11" i="3" s="1"/>
  <c r="A10" i="3"/>
  <c r="P10" i="3" s="1"/>
  <c r="A9" i="3"/>
  <c r="P9" i="3" s="1"/>
  <c r="A8" i="3"/>
  <c r="P8" i="3" s="1"/>
  <c r="A7" i="3"/>
  <c r="P7" i="3" s="1"/>
  <c r="A6" i="3"/>
  <c r="P6" i="3" s="1"/>
  <c r="A5" i="3"/>
  <c r="P5" i="3" s="1"/>
  <c r="J9" i="7" l="1"/>
  <c r="J85" i="7"/>
  <c r="J89" i="7"/>
  <c r="J93" i="7"/>
  <c r="J99" i="7"/>
  <c r="J103" i="7"/>
  <c r="J105" i="7"/>
  <c r="J107" i="7"/>
  <c r="J109" i="7"/>
  <c r="J111" i="7"/>
  <c r="J115" i="7"/>
  <c r="J131" i="7"/>
  <c r="J169" i="7"/>
  <c r="J171" i="7"/>
  <c r="J175" i="7"/>
  <c r="J177" i="7"/>
  <c r="J179" i="7"/>
  <c r="J181" i="7"/>
  <c r="J187" i="7"/>
  <c r="J191" i="7"/>
  <c r="J193" i="7"/>
  <c r="J197" i="7"/>
  <c r="J199" i="7"/>
  <c r="J215" i="7"/>
  <c r="J233" i="7"/>
  <c r="J395" i="7"/>
  <c r="J401" i="7"/>
  <c r="J407" i="7"/>
  <c r="J409" i="7"/>
  <c r="J413" i="7"/>
  <c r="J415" i="7"/>
  <c r="J421" i="7"/>
  <c r="J423" i="7"/>
  <c r="J431" i="7"/>
  <c r="J443" i="7"/>
  <c r="J445" i="7"/>
  <c r="J449" i="7"/>
  <c r="J451" i="7"/>
  <c r="J469" i="7"/>
  <c r="J473" i="7"/>
  <c r="J479" i="7"/>
  <c r="J481" i="7"/>
  <c r="J485" i="7"/>
  <c r="J487" i="7"/>
  <c r="J495" i="7"/>
  <c r="J577" i="7"/>
  <c r="J581" i="7"/>
  <c r="J583" i="7"/>
  <c r="J585" i="7"/>
  <c r="J587" i="7"/>
  <c r="J593" i="7"/>
  <c r="J635" i="7"/>
  <c r="J637" i="7"/>
  <c r="J643" i="7"/>
  <c r="J659" i="7"/>
  <c r="J679" i="7"/>
  <c r="J683" i="7"/>
  <c r="J691" i="7"/>
  <c r="J707" i="7"/>
  <c r="J709" i="7"/>
  <c r="J715" i="7"/>
  <c r="J719" i="7"/>
  <c r="J725" i="7"/>
  <c r="J731" i="7"/>
  <c r="J739" i="7"/>
  <c r="J745" i="7"/>
  <c r="J767" i="7"/>
  <c r="J769" i="7"/>
  <c r="J787" i="7"/>
  <c r="J791" i="7"/>
  <c r="J823" i="7"/>
  <c r="J1051" i="7"/>
  <c r="N247" i="8"/>
  <c r="J166" i="7"/>
  <c r="J1194" i="7"/>
  <c r="M862" i="8"/>
  <c r="J404" i="7"/>
  <c r="N951" i="8"/>
  <c r="M504" i="8"/>
  <c r="J442" i="7"/>
  <c r="M215" i="8"/>
  <c r="J440" i="7"/>
  <c r="J672" i="7"/>
  <c r="M126" i="8"/>
  <c r="M499" i="8"/>
  <c r="J84" i="7"/>
  <c r="J106" i="7"/>
  <c r="J110" i="7"/>
  <c r="J114" i="7"/>
  <c r="J710" i="7"/>
  <c r="J714" i="7"/>
  <c r="J716" i="7"/>
  <c r="J718" i="7"/>
  <c r="J720" i="7"/>
  <c r="J722" i="7"/>
  <c r="J724" i="7"/>
  <c r="J732" i="7"/>
  <c r="J734" i="7"/>
  <c r="J736" i="7"/>
  <c r="J738" i="7"/>
  <c r="J740" i="7"/>
  <c r="J758" i="7"/>
  <c r="J760" i="7"/>
  <c r="J762" i="7"/>
  <c r="J764" i="7"/>
  <c r="J768" i="7"/>
  <c r="J770" i="7"/>
  <c r="J772" i="7"/>
  <c r="J774" i="7"/>
  <c r="J776" i="7"/>
  <c r="J778" i="7"/>
  <c r="J780" i="7"/>
  <c r="J782" i="7"/>
  <c r="J784" i="7"/>
  <c r="J786" i="7"/>
  <c r="J788" i="7"/>
  <c r="J824" i="7"/>
  <c r="J828" i="7"/>
  <c r="J956" i="7"/>
  <c r="J958" i="7"/>
  <c r="J960" i="7"/>
  <c r="J962" i="7"/>
  <c r="J970" i="7"/>
  <c r="J972" i="7"/>
  <c r="J976" i="7"/>
  <c r="J978" i="7"/>
  <c r="J980" i="7"/>
  <c r="J982" i="7"/>
  <c r="J984" i="7"/>
  <c r="J992" i="7"/>
  <c r="J994" i="7"/>
  <c r="J996" i="7"/>
  <c r="J998" i="7"/>
  <c r="J1000" i="7"/>
  <c r="J1002" i="7"/>
  <c r="J1004" i="7"/>
  <c r="J1006" i="7"/>
  <c r="J1008" i="7"/>
  <c r="J1010" i="7"/>
  <c r="J1016" i="7"/>
  <c r="J1018" i="7"/>
  <c r="J1020" i="7"/>
  <c r="J1024" i="7"/>
  <c r="J1026" i="7"/>
  <c r="J1028" i="7"/>
  <c r="J1032" i="7"/>
  <c r="J1036" i="7"/>
  <c r="J1038" i="7"/>
  <c r="J1040" i="7"/>
  <c r="J1046" i="7"/>
  <c r="J1048" i="7"/>
  <c r="J1050" i="7"/>
  <c r="J1064" i="7"/>
  <c r="J1068" i="7"/>
  <c r="J1070" i="7"/>
  <c r="J1082" i="7"/>
  <c r="J1088" i="7"/>
  <c r="J1104" i="7"/>
  <c r="J1112" i="7"/>
  <c r="J1114" i="7"/>
  <c r="J1116" i="7"/>
  <c r="J1118" i="7"/>
  <c r="M78" i="8"/>
  <c r="M760" i="8"/>
  <c r="M120" i="8"/>
  <c r="M427" i="8"/>
  <c r="M762" i="8"/>
  <c r="N283" i="8"/>
  <c r="J991" i="7"/>
  <c r="J1011" i="7"/>
  <c r="J1013" i="7"/>
  <c r="J1015" i="7"/>
  <c r="J1055" i="7"/>
  <c r="J1059" i="7"/>
  <c r="J1061" i="7"/>
  <c r="J1063" i="7"/>
  <c r="N519" i="8"/>
  <c r="M575" i="8"/>
  <c r="J1198" i="7"/>
  <c r="M314" i="8"/>
  <c r="J71" i="7"/>
  <c r="J73" i="7"/>
  <c r="J133" i="7"/>
  <c r="J235" i="7"/>
  <c r="J243" i="7"/>
  <c r="J379" i="7"/>
  <c r="J503" i="7"/>
  <c r="J567" i="7"/>
  <c r="N49" i="8"/>
  <c r="M49" i="8"/>
  <c r="M693" i="8"/>
  <c r="N693" i="8"/>
  <c r="N776" i="8"/>
  <c r="M949" i="8"/>
  <c r="N175" i="8"/>
  <c r="N318" i="8"/>
  <c r="J829" i="7"/>
  <c r="J835" i="7"/>
  <c r="J837" i="7"/>
  <c r="J847" i="7"/>
  <c r="J853" i="7"/>
  <c r="J859" i="7"/>
  <c r="J877" i="7"/>
  <c r="J883" i="7"/>
  <c r="J889" i="7"/>
  <c r="J895" i="7"/>
  <c r="J907" i="7"/>
  <c r="J925" i="7"/>
  <c r="J933" i="7"/>
  <c r="J937" i="7"/>
  <c r="J943" i="7"/>
  <c r="J1075" i="7"/>
  <c r="J1077" i="7"/>
  <c r="J1105" i="7"/>
  <c r="J1111" i="7"/>
  <c r="J1123" i="7"/>
  <c r="J1129" i="7"/>
  <c r="J1135" i="7"/>
  <c r="J1141" i="7"/>
  <c r="J1147" i="7"/>
  <c r="J1149" i="7"/>
  <c r="J1153" i="7"/>
  <c r="J1159" i="7"/>
  <c r="J1165" i="7"/>
  <c r="J1171" i="7"/>
  <c r="J1177" i="7"/>
  <c r="J1181" i="7"/>
  <c r="J1183" i="7"/>
  <c r="J1187" i="7"/>
  <c r="J1189" i="7"/>
  <c r="M928" i="8"/>
  <c r="J116" i="7"/>
  <c r="J124" i="7"/>
  <c r="J126" i="7"/>
  <c r="J200" i="7"/>
  <c r="J202" i="7"/>
  <c r="J204" i="7"/>
  <c r="J206" i="7"/>
  <c r="J208" i="7"/>
  <c r="J212" i="7"/>
  <c r="J214" i="7"/>
  <c r="J216" i="7"/>
  <c r="J218" i="7"/>
  <c r="J224" i="7"/>
  <c r="J230" i="7"/>
  <c r="J240" i="7"/>
  <c r="J242" i="7"/>
  <c r="J244" i="7"/>
  <c r="J246" i="7"/>
  <c r="J248" i="7"/>
  <c r="J250" i="7"/>
  <c r="J252" i="7"/>
  <c r="J254" i="7"/>
  <c r="J256" i="7"/>
  <c r="J262" i="7"/>
  <c r="J264" i="7"/>
  <c r="J266" i="7"/>
  <c r="J270" i="7"/>
  <c r="J272" i="7"/>
  <c r="J278" i="7"/>
  <c r="J406" i="7"/>
  <c r="J432" i="7"/>
  <c r="J452" i="7"/>
  <c r="J454" i="7"/>
  <c r="J456" i="7"/>
  <c r="J458" i="7"/>
  <c r="J464" i="7"/>
  <c r="J468" i="7"/>
  <c r="J478" i="7"/>
  <c r="J480" i="7"/>
  <c r="J482" i="7"/>
  <c r="J490" i="7"/>
  <c r="J492" i="7"/>
  <c r="J494" i="7"/>
  <c r="J504" i="7"/>
  <c r="J528" i="7"/>
  <c r="J530" i="7"/>
  <c r="J532" i="7"/>
  <c r="J534" i="7"/>
  <c r="J536" i="7"/>
  <c r="J538" i="7"/>
  <c r="J544" i="7"/>
  <c r="J546" i="7"/>
  <c r="J548" i="7"/>
  <c r="J558" i="7"/>
  <c r="J560" i="7"/>
  <c r="J562" i="7"/>
  <c r="J566" i="7"/>
  <c r="J568" i="7"/>
  <c r="J576" i="7"/>
  <c r="J580" i="7"/>
  <c r="J582" i="7"/>
  <c r="J584" i="7"/>
  <c r="J592" i="7"/>
  <c r="J594" i="7"/>
  <c r="J596" i="7"/>
  <c r="J598" i="7"/>
  <c r="J600" i="7"/>
  <c r="J602" i="7"/>
  <c r="J610" i="7"/>
  <c r="J612" i="7"/>
  <c r="J614" i="7"/>
  <c r="J616" i="7"/>
  <c r="J618" i="7"/>
  <c r="J620" i="7"/>
  <c r="J638" i="7"/>
  <c r="J644" i="7"/>
  <c r="J646" i="7"/>
  <c r="J648" i="7"/>
  <c r="J650" i="7"/>
  <c r="J652" i="7"/>
  <c r="J654" i="7"/>
  <c r="J656" i="7"/>
  <c r="M540" i="8"/>
  <c r="M815" i="8"/>
  <c r="N93" i="8"/>
  <c r="N236" i="8"/>
  <c r="M461" i="8"/>
  <c r="M831" i="8"/>
  <c r="J836" i="7"/>
  <c r="J944" i="7"/>
  <c r="M105" i="8"/>
  <c r="N471" i="8"/>
  <c r="J512" i="7"/>
  <c r="J516" i="7"/>
  <c r="J572" i="7"/>
  <c r="M278" i="8"/>
  <c r="N323" i="8"/>
  <c r="M804" i="8"/>
  <c r="N843" i="8"/>
  <c r="J194" i="7"/>
  <c r="J948" i="7"/>
  <c r="M467" i="8"/>
  <c r="J663" i="7"/>
  <c r="N258" i="8"/>
  <c r="N444" i="8"/>
  <c r="M444" i="8"/>
  <c r="M934" i="8"/>
  <c r="J799" i="7"/>
  <c r="J203" i="7"/>
  <c r="J263" i="7"/>
  <c r="J267" i="7"/>
  <c r="J271" i="7"/>
  <c r="J287" i="7"/>
  <c r="J291" i="7"/>
  <c r="J293" i="7"/>
  <c r="J295" i="7"/>
  <c r="J299" i="7"/>
  <c r="J301" i="7"/>
  <c r="J305" i="7"/>
  <c r="J307" i="7"/>
  <c r="J313" i="7"/>
  <c r="J315" i="7"/>
  <c r="J323" i="7"/>
  <c r="J351" i="7"/>
  <c r="M188" i="8"/>
  <c r="M241" i="8"/>
  <c r="M280" i="8"/>
  <c r="N327" i="8"/>
  <c r="N389" i="8"/>
  <c r="M389" i="8"/>
  <c r="N717" i="8"/>
  <c r="M857" i="8"/>
  <c r="M958" i="8"/>
  <c r="J623" i="7"/>
  <c r="J797" i="7"/>
  <c r="M266" i="8"/>
  <c r="M672" i="8"/>
  <c r="M970" i="8"/>
  <c r="N972" i="8"/>
  <c r="M972" i="8"/>
  <c r="M440" i="8"/>
  <c r="J14" i="7"/>
  <c r="J24" i="7"/>
  <c r="J28" i="7"/>
  <c r="J30" i="7"/>
  <c r="J36" i="7"/>
  <c r="J40" i="7"/>
  <c r="J42" i="7"/>
  <c r="J48" i="7"/>
  <c r="J52" i="7"/>
  <c r="J54" i="7"/>
  <c r="J58" i="7"/>
  <c r="J66" i="7"/>
  <c r="J70" i="7"/>
  <c r="J72" i="7"/>
  <c r="J76" i="7"/>
  <c r="J80" i="7"/>
  <c r="J383" i="7"/>
  <c r="J387" i="7"/>
  <c r="J706" i="7"/>
  <c r="M30" i="8"/>
  <c r="N190" i="8"/>
  <c r="N249" i="8"/>
  <c r="N472" i="8"/>
  <c r="M531" i="8"/>
  <c r="M29" i="8"/>
  <c r="M518" i="8"/>
  <c r="M605" i="8"/>
  <c r="N629" i="8"/>
  <c r="M629" i="8"/>
  <c r="J647" i="7"/>
  <c r="J665" i="7"/>
  <c r="J1080" i="7"/>
  <c r="J795" i="7"/>
  <c r="N44" i="8"/>
  <c r="N490" i="8"/>
  <c r="M676" i="8"/>
  <c r="M820" i="8"/>
  <c r="N412" i="8"/>
  <c r="N303" i="8"/>
  <c r="J695" i="7"/>
  <c r="J86" i="7"/>
  <c r="J138" i="7"/>
  <c r="J144" i="7"/>
  <c r="J154" i="7"/>
  <c r="J162" i="7"/>
  <c r="J569" i="7"/>
  <c r="J848" i="7"/>
  <c r="J856" i="7"/>
  <c r="J858" i="7"/>
  <c r="J860" i="7"/>
  <c r="J862" i="7"/>
  <c r="J864" i="7"/>
  <c r="J866" i="7"/>
  <c r="J872" i="7"/>
  <c r="J876" i="7"/>
  <c r="J884" i="7"/>
  <c r="J886" i="7"/>
  <c r="J888" i="7"/>
  <c r="J896" i="7"/>
  <c r="J898" i="7"/>
  <c r="J900" i="7"/>
  <c r="J902" i="7"/>
  <c r="J904" i="7"/>
  <c r="J906" i="7"/>
  <c r="J910" i="7"/>
  <c r="J912" i="7"/>
  <c r="J920" i="7"/>
  <c r="J924" i="7"/>
  <c r="J926" i="7"/>
  <c r="J932" i="7"/>
  <c r="J934" i="7"/>
  <c r="J936" i="7"/>
  <c r="J938" i="7"/>
  <c r="J940" i="7"/>
  <c r="J942" i="7"/>
  <c r="J1199" i="7"/>
  <c r="M224" i="8"/>
  <c r="N457" i="8"/>
  <c r="M551" i="8"/>
  <c r="M684" i="8"/>
  <c r="N791" i="8"/>
  <c r="N834" i="8"/>
  <c r="M834" i="8"/>
  <c r="J634" i="7"/>
  <c r="J827" i="7"/>
  <c r="J1106" i="7"/>
  <c r="J236" i="7"/>
  <c r="J284" i="7"/>
  <c r="J286" i="7"/>
  <c r="J288" i="7"/>
  <c r="J290" i="7"/>
  <c r="J292" i="7"/>
  <c r="J294" i="7"/>
  <c r="J296" i="7"/>
  <c r="J298" i="7"/>
  <c r="J304" i="7"/>
  <c r="J316" i="7"/>
  <c r="J320" i="7"/>
  <c r="J324" i="7"/>
  <c r="J334" i="7"/>
  <c r="J336" i="7"/>
  <c r="J338" i="7"/>
  <c r="J340" i="7"/>
  <c r="J344" i="7"/>
  <c r="J346" i="7"/>
  <c r="J348" i="7"/>
  <c r="J350" i="7"/>
  <c r="J352" i="7"/>
  <c r="J356" i="7"/>
  <c r="J360" i="7"/>
  <c r="J370" i="7"/>
  <c r="J374" i="7"/>
  <c r="J455" i="7"/>
  <c r="J459" i="7"/>
  <c r="J491" i="7"/>
  <c r="J662" i="7"/>
  <c r="J664" i="7"/>
  <c r="J666" i="7"/>
  <c r="J668" i="7"/>
  <c r="J670" i="7"/>
  <c r="J949" i="7"/>
  <c r="J955" i="7"/>
  <c r="J961" i="7"/>
  <c r="J967" i="7"/>
  <c r="J969" i="7"/>
  <c r="J973" i="7"/>
  <c r="J979" i="7"/>
  <c r="J997" i="7"/>
  <c r="J1003" i="7"/>
  <c r="J1009" i="7"/>
  <c r="J1124" i="7"/>
  <c r="J1128" i="7"/>
  <c r="J1136" i="7"/>
  <c r="J1138" i="7"/>
  <c r="J1140" i="7"/>
  <c r="J1142" i="7"/>
  <c r="J1148" i="7"/>
  <c r="J1150" i="7"/>
  <c r="J1152" i="7"/>
  <c r="J1154" i="7"/>
  <c r="J1156" i="7"/>
  <c r="J1158" i="7"/>
  <c r="J1160" i="7"/>
  <c r="J1162" i="7"/>
  <c r="J1164" i="7"/>
  <c r="J1174" i="7"/>
  <c r="J1176" i="7"/>
  <c r="J1178" i="7"/>
  <c r="J1180" i="7"/>
  <c r="N228" i="8"/>
  <c r="N306" i="8"/>
  <c r="N409" i="8"/>
  <c r="M454" i="8"/>
  <c r="N483" i="8"/>
  <c r="N720" i="8"/>
  <c r="N945" i="8"/>
  <c r="M990" i="8"/>
  <c r="J13" i="7"/>
  <c r="J15" i="7"/>
  <c r="J19" i="7"/>
  <c r="J21" i="7"/>
  <c r="J25" i="7"/>
  <c r="J27" i="7"/>
  <c r="J39" i="7"/>
  <c r="J75" i="7"/>
  <c r="J77" i="7"/>
  <c r="J382" i="7"/>
  <c r="J384" i="7"/>
  <c r="J386" i="7"/>
  <c r="J388" i="7"/>
  <c r="J392" i="7"/>
  <c r="J396" i="7"/>
  <c r="J535" i="7"/>
  <c r="J539" i="7"/>
  <c r="J541" i="7"/>
  <c r="J547" i="7"/>
  <c r="J551" i="7"/>
  <c r="J553" i="7"/>
  <c r="J557" i="7"/>
  <c r="J680" i="7"/>
  <c r="J682" i="7"/>
  <c r="J684" i="7"/>
  <c r="J688" i="7"/>
  <c r="J690" i="7"/>
  <c r="J692" i="7"/>
  <c r="J694" i="7"/>
  <c r="J702" i="7"/>
  <c r="J704" i="7"/>
  <c r="J127" i="7"/>
  <c r="J145" i="7"/>
  <c r="J147" i="7"/>
  <c r="J151" i="7"/>
  <c r="J153" i="7"/>
  <c r="J155" i="7"/>
  <c r="J157" i="7"/>
  <c r="J159" i="7"/>
  <c r="J410" i="7"/>
  <c r="J575" i="7"/>
  <c r="J599" i="7"/>
  <c r="J607" i="7"/>
  <c r="J611" i="7"/>
  <c r="J617" i="7"/>
  <c r="J619" i="7"/>
  <c r="J708" i="7"/>
  <c r="J728" i="7"/>
  <c r="J752" i="7"/>
  <c r="J792" i="7"/>
  <c r="J794" i="7"/>
  <c r="J796" i="7"/>
  <c r="J798" i="7"/>
  <c r="J800" i="7"/>
  <c r="J806" i="7"/>
  <c r="J808" i="7"/>
  <c r="J810" i="7"/>
  <c r="J812" i="7"/>
  <c r="J814" i="7"/>
  <c r="J816" i="7"/>
  <c r="J1083" i="7"/>
  <c r="J1085" i="7"/>
  <c r="J1087" i="7"/>
  <c r="J1099" i="7"/>
  <c r="M91" i="8"/>
  <c r="M138" i="8"/>
  <c r="N217" i="8"/>
  <c r="M866" i="8"/>
  <c r="J399" i="7"/>
  <c r="M194" i="8"/>
  <c r="M170" i="8"/>
  <c r="N170" i="8"/>
  <c r="M576" i="8"/>
  <c r="N576" i="8"/>
  <c r="N552" i="8"/>
  <c r="M390" i="8"/>
  <c r="N390" i="8"/>
  <c r="M556" i="8"/>
  <c r="N560" i="8"/>
  <c r="M560" i="8"/>
  <c r="N938" i="8"/>
  <c r="M938" i="8"/>
  <c r="M187" i="8"/>
  <c r="N669" i="8"/>
  <c r="M364" i="8"/>
  <c r="N364" i="8"/>
  <c r="J104" i="7"/>
  <c r="N545" i="8"/>
  <c r="M545" i="8"/>
  <c r="M819" i="8"/>
  <c r="N819" i="8"/>
  <c r="M688" i="8"/>
  <c r="M690" i="8"/>
  <c r="J887" i="7"/>
  <c r="J899" i="7"/>
  <c r="J903" i="7"/>
  <c r="J905" i="7"/>
  <c r="M60" i="8"/>
  <c r="N60" i="8"/>
  <c r="M113" i="8"/>
  <c r="N325" i="8"/>
  <c r="M325" i="8"/>
  <c r="N909" i="8"/>
  <c r="J444" i="7"/>
  <c r="J446" i="7"/>
  <c r="J448" i="7"/>
  <c r="J744" i="7"/>
  <c r="J746" i="7"/>
  <c r="J748" i="7"/>
  <c r="J750" i="7"/>
  <c r="M23" i="8"/>
  <c r="N255" i="8"/>
  <c r="M198" i="8"/>
  <c r="N198" i="8"/>
  <c r="J950" i="7"/>
  <c r="G18" i="9"/>
  <c r="C18" i="9"/>
  <c r="D18" i="9" s="1"/>
  <c r="J371" i="7"/>
  <c r="J373" i="7"/>
  <c r="J377" i="7"/>
  <c r="N259" i="8"/>
  <c r="M259" i="8"/>
  <c r="N963" i="8"/>
  <c r="M963" i="8"/>
  <c r="M185" i="8"/>
  <c r="M433" i="8"/>
  <c r="N913" i="8"/>
  <c r="M913" i="8"/>
  <c r="N223" i="8"/>
  <c r="N240" i="8"/>
  <c r="N473" i="8"/>
  <c r="M473" i="8"/>
  <c r="M932" i="8"/>
  <c r="J403" i="7"/>
  <c r="J675" i="7"/>
  <c r="J911" i="7"/>
  <c r="J917" i="7"/>
  <c r="J931" i="7"/>
  <c r="N37" i="8"/>
  <c r="M37" i="8"/>
  <c r="M206" i="8"/>
  <c r="N206" i="8"/>
  <c r="M462" i="8"/>
  <c r="N462" i="8"/>
  <c r="M612" i="8"/>
  <c r="N612" i="8"/>
  <c r="M925" i="8"/>
  <c r="J8" i="7"/>
  <c r="J20" i="7"/>
  <c r="J167" i="7"/>
  <c r="J326" i="7"/>
  <c r="J947" i="7"/>
  <c r="M145" i="8"/>
  <c r="N345" i="8"/>
  <c r="N439" i="8"/>
  <c r="N810" i="8"/>
  <c r="M810" i="8"/>
  <c r="J140" i="7"/>
  <c r="N367" i="8"/>
  <c r="M367" i="8"/>
  <c r="M501" i="8"/>
  <c r="N530" i="8"/>
  <c r="M530" i="8"/>
  <c r="M69" i="8"/>
  <c r="N114" i="8"/>
  <c r="M114" i="8"/>
  <c r="M297" i="8"/>
  <c r="N297" i="8"/>
  <c r="M430" i="8"/>
  <c r="N430" i="8"/>
  <c r="M630" i="8"/>
  <c r="N630" i="8"/>
  <c r="M769" i="8"/>
  <c r="J60" i="7"/>
  <c r="J64" i="7"/>
  <c r="J239" i="7"/>
  <c r="J245" i="7"/>
  <c r="J247" i="7"/>
  <c r="J249" i="7"/>
  <c r="J251" i="7"/>
  <c r="J253" i="7"/>
  <c r="J257" i="7"/>
  <c r="J259" i="7"/>
  <c r="J467" i="7"/>
  <c r="J493" i="7"/>
  <c r="J564" i="7"/>
  <c r="J574" i="7"/>
  <c r="J625" i="7"/>
  <c r="J629" i="7"/>
  <c r="J631" i="7"/>
  <c r="J633" i="7"/>
  <c r="J801" i="7"/>
  <c r="J805" i="7"/>
  <c r="J817" i="7"/>
  <c r="J1143" i="7"/>
  <c r="J1145" i="7"/>
  <c r="N161" i="8"/>
  <c r="M167" i="8"/>
  <c r="N167" i="8"/>
  <c r="N262" i="8"/>
  <c r="M401" i="8"/>
  <c r="M478" i="8"/>
  <c r="M509" i="8"/>
  <c r="M756" i="8"/>
  <c r="M777" i="8"/>
  <c r="N777" i="8"/>
  <c r="N978" i="8"/>
  <c r="M978" i="8"/>
  <c r="B14" i="9"/>
  <c r="G14" i="9"/>
  <c r="C14" i="9"/>
  <c r="N973" i="8"/>
  <c r="M973" i="8"/>
  <c r="J677" i="7"/>
  <c r="J915" i="7"/>
  <c r="J927" i="7"/>
  <c r="J986" i="7"/>
  <c r="N800" i="8"/>
  <c r="M800" i="8"/>
  <c r="N821" i="8"/>
  <c r="M821" i="8"/>
  <c r="N915" i="8"/>
  <c r="N172" i="8"/>
  <c r="N204" i="8"/>
  <c r="M308" i="8"/>
  <c r="N435" i="8"/>
  <c r="N547" i="8"/>
  <c r="N606" i="8"/>
  <c r="J10" i="7"/>
  <c r="J16" i="7"/>
  <c r="J22" i="7"/>
  <c r="J120" i="7"/>
  <c r="J173" i="7"/>
  <c r="J332" i="7"/>
  <c r="M22" i="8"/>
  <c r="M312" i="8"/>
  <c r="N312" i="8"/>
  <c r="N426" i="8"/>
  <c r="M520" i="8"/>
  <c r="M620" i="8"/>
  <c r="M896" i="8"/>
  <c r="N931" i="8"/>
  <c r="M931" i="8"/>
  <c r="M997" i="8"/>
  <c r="M67" i="8"/>
  <c r="M176" i="8"/>
  <c r="N357" i="8"/>
  <c r="N522" i="8"/>
  <c r="N624" i="8"/>
  <c r="M724" i="8"/>
  <c r="N765" i="8"/>
  <c r="M900" i="8"/>
  <c r="N904" i="8"/>
  <c r="M904" i="8"/>
  <c r="M1003" i="8"/>
  <c r="J615" i="7"/>
  <c r="M159" i="8"/>
  <c r="N732" i="8"/>
  <c r="J281" i="7"/>
  <c r="J283" i="7"/>
  <c r="J412" i="7"/>
  <c r="J416" i="7"/>
  <c r="J418" i="7"/>
  <c r="J420" i="7"/>
  <c r="J422" i="7"/>
  <c r="J424" i="7"/>
  <c r="J428" i="7"/>
  <c r="J1033" i="7"/>
  <c r="J1039" i="7"/>
  <c r="J1041" i="7"/>
  <c r="J1096" i="7"/>
  <c r="J1098" i="7"/>
  <c r="J1100" i="7"/>
  <c r="J1102" i="7"/>
  <c r="N795" i="8"/>
  <c r="M795" i="8"/>
  <c r="M863" i="8"/>
  <c r="N865" i="8"/>
  <c r="M865" i="8"/>
  <c r="M986" i="8"/>
  <c r="J929" i="7"/>
  <c r="N8" i="8"/>
  <c r="M8" i="8"/>
  <c r="J122" i="7"/>
  <c r="J128" i="7"/>
  <c r="B13" i="9"/>
  <c r="J87" i="7"/>
  <c r="M151" i="8"/>
  <c r="C13" i="9"/>
  <c r="J97" i="7"/>
  <c r="J182" i="7"/>
  <c r="J186" i="7"/>
  <c r="J188" i="7"/>
  <c r="J190" i="7"/>
  <c r="J505" i="7"/>
  <c r="J511" i="7"/>
  <c r="J513" i="7"/>
  <c r="J515" i="7"/>
  <c r="J517" i="7"/>
  <c r="J521" i="7"/>
  <c r="J523" i="7"/>
  <c r="J527" i="7"/>
  <c r="J1108" i="7"/>
  <c r="J1110" i="7"/>
  <c r="M421" i="8"/>
  <c r="N421" i="8"/>
  <c r="N992" i="8"/>
  <c r="M992" i="8"/>
  <c r="J5" i="7"/>
  <c r="J419" i="7"/>
  <c r="J476" i="7"/>
  <c r="J713" i="7"/>
  <c r="J965" i="7"/>
  <c r="M24" i="8"/>
  <c r="N284" i="8"/>
  <c r="M445" i="8"/>
  <c r="J311" i="7"/>
  <c r="J727" i="7"/>
  <c r="J890" i="7"/>
  <c r="J1091" i="7"/>
  <c r="J1095" i="7"/>
  <c r="J1097" i="7"/>
  <c r="J1130" i="7"/>
  <c r="N5" i="8"/>
  <c r="N41" i="8"/>
  <c r="N62" i="8"/>
  <c r="M73" i="8"/>
  <c r="N102" i="8"/>
  <c r="M123" i="8"/>
  <c r="M148" i="8"/>
  <c r="N267" i="8"/>
  <c r="N292" i="8"/>
  <c r="M332" i="8"/>
  <c r="M379" i="8"/>
  <c r="M392" i="8"/>
  <c r="M425" i="8"/>
  <c r="M451" i="8"/>
  <c r="N451" i="8"/>
  <c r="N508" i="8"/>
  <c r="N555" i="8"/>
  <c r="N594" i="8"/>
  <c r="M619" i="8"/>
  <c r="M652" i="8"/>
  <c r="N696" i="8"/>
  <c r="N700" i="8"/>
  <c r="M700" i="8"/>
  <c r="M774" i="8"/>
  <c r="M801" i="8"/>
  <c r="N827" i="8"/>
  <c r="M875" i="8"/>
  <c r="N914" i="8"/>
  <c r="M914" i="8"/>
  <c r="M960" i="8"/>
  <c r="M981" i="8"/>
  <c r="J183" i="7"/>
  <c r="J362" i="7"/>
  <c r="J368" i="7"/>
  <c r="J578" i="7"/>
  <c r="J723" i="7"/>
  <c r="J878" i="7"/>
  <c r="J963" i="7"/>
  <c r="M423" i="8"/>
  <c r="N466" i="8"/>
  <c r="M466" i="8"/>
  <c r="M544" i="8"/>
  <c r="M590" i="8"/>
  <c r="N812" i="8"/>
  <c r="B16" i="11"/>
  <c r="J211" i="7"/>
  <c r="J380" i="7"/>
  <c r="J608" i="7"/>
  <c r="J651" i="7"/>
  <c r="J655" i="7"/>
  <c r="J737" i="7"/>
  <c r="J863" i="7"/>
  <c r="J908" i="7"/>
  <c r="J1103" i="7"/>
  <c r="M17" i="8"/>
  <c r="M43" i="8"/>
  <c r="M66" i="8"/>
  <c r="M250" i="8"/>
  <c r="N298" i="8"/>
  <c r="N404" i="8"/>
  <c r="M404" i="8"/>
  <c r="M468" i="8"/>
  <c r="M491" i="8"/>
  <c r="N523" i="8"/>
  <c r="M598" i="8"/>
  <c r="M660" i="8"/>
  <c r="M829" i="8"/>
  <c r="M860" i="8"/>
  <c r="M893" i="8"/>
  <c r="M985" i="8"/>
  <c r="J152" i="7"/>
  <c r="J843" i="7"/>
  <c r="J845" i="7"/>
  <c r="M246" i="8"/>
  <c r="N246" i="8"/>
  <c r="J711" i="7"/>
  <c r="M71" i="8"/>
  <c r="M609" i="8"/>
  <c r="N642" i="8"/>
  <c r="M673" i="8"/>
  <c r="M799" i="8"/>
  <c r="M979" i="8"/>
  <c r="N996" i="8"/>
  <c r="J207" i="7"/>
  <c r="J260" i="7"/>
  <c r="J317" i="7"/>
  <c r="J653" i="7"/>
  <c r="J735" i="7"/>
  <c r="J61" i="7"/>
  <c r="J63" i="7"/>
  <c r="J67" i="7"/>
  <c r="J69" i="7"/>
  <c r="J102" i="7"/>
  <c r="J129" i="7"/>
  <c r="J135" i="7"/>
  <c r="J137" i="7"/>
  <c r="J139" i="7"/>
  <c r="J141" i="7"/>
  <c r="J143" i="7"/>
  <c r="J180" i="7"/>
  <c r="J219" i="7"/>
  <c r="J223" i="7"/>
  <c r="J225" i="7"/>
  <c r="J227" i="7"/>
  <c r="J229" i="7"/>
  <c r="J274" i="7"/>
  <c r="J327" i="7"/>
  <c r="J329" i="7"/>
  <c r="J335" i="7"/>
  <c r="J337" i="7"/>
  <c r="J341" i="7"/>
  <c r="J343" i="7"/>
  <c r="J514" i="7"/>
  <c r="J518" i="7"/>
  <c r="J520" i="7"/>
  <c r="J522" i="7"/>
  <c r="J524" i="7"/>
  <c r="J526" i="7"/>
  <c r="J626" i="7"/>
  <c r="J628" i="7"/>
  <c r="J669" i="7"/>
  <c r="J671" i="7"/>
  <c r="J743" i="7"/>
  <c r="J755" i="7"/>
  <c r="J757" i="7"/>
  <c r="J818" i="7"/>
  <c r="J995" i="7"/>
  <c r="J1007" i="7"/>
  <c r="J1021" i="7"/>
  <c r="J1027" i="7"/>
  <c r="J1076" i="7"/>
  <c r="J1078" i="7"/>
  <c r="J1107" i="7"/>
  <c r="J1109" i="7"/>
  <c r="J1113" i="7"/>
  <c r="J1117" i="7"/>
  <c r="J1166" i="7"/>
  <c r="J1186" i="7"/>
  <c r="J1188" i="7"/>
  <c r="J1190" i="7"/>
  <c r="N87" i="8"/>
  <c r="M129" i="8"/>
  <c r="N129" i="8"/>
  <c r="N201" i="8"/>
  <c r="N237" i="8"/>
  <c r="M319" i="8"/>
  <c r="M348" i="8"/>
  <c r="M387" i="8"/>
  <c r="M495" i="8"/>
  <c r="M514" i="8"/>
  <c r="N529" i="8"/>
  <c r="M550" i="8"/>
  <c r="M563" i="8"/>
  <c r="N600" i="8"/>
  <c r="M778" i="8"/>
  <c r="M987" i="8"/>
  <c r="N987" i="8"/>
  <c r="J31" i="7"/>
  <c r="J35" i="7"/>
  <c r="J37" i="7"/>
  <c r="J226" i="7"/>
  <c r="J347" i="7"/>
  <c r="J435" i="7"/>
  <c r="J437" i="7"/>
  <c r="J586" i="7"/>
  <c r="J687" i="7"/>
  <c r="J689" i="7"/>
  <c r="J771" i="7"/>
  <c r="J773" i="7"/>
  <c r="J775" i="7"/>
  <c r="J783" i="7"/>
  <c r="J785" i="7"/>
  <c r="J914" i="7"/>
  <c r="J1034" i="7"/>
  <c r="J1163" i="7"/>
  <c r="M712" i="8"/>
  <c r="M768" i="8"/>
  <c r="N813" i="8"/>
  <c r="M826" i="8"/>
  <c r="M864" i="8"/>
  <c r="N897" i="8"/>
  <c r="M952" i="8"/>
  <c r="G16" i="9"/>
  <c r="J47" i="7"/>
  <c r="J49" i="7"/>
  <c r="J51" i="7"/>
  <c r="J53" i="7"/>
  <c r="J57" i="7"/>
  <c r="J82" i="7"/>
  <c r="J88" i="7"/>
  <c r="J123" i="7"/>
  <c r="J125" i="7"/>
  <c r="J158" i="7"/>
  <c r="J195" i="7"/>
  <c r="J201" i="7"/>
  <c r="J273" i="7"/>
  <c r="J275" i="7"/>
  <c r="J277" i="7"/>
  <c r="J302" i="7"/>
  <c r="J308" i="7"/>
  <c r="J310" i="7"/>
  <c r="J312" i="7"/>
  <c r="J314" i="7"/>
  <c r="J353" i="7"/>
  <c r="J359" i="7"/>
  <c r="J361" i="7"/>
  <c r="J365" i="7"/>
  <c r="J457" i="7"/>
  <c r="J496" i="7"/>
  <c r="J498" i="7"/>
  <c r="J500" i="7"/>
  <c r="J563" i="7"/>
  <c r="J697" i="7"/>
  <c r="J701" i="7"/>
  <c r="J703" i="7"/>
  <c r="J730" i="7"/>
  <c r="J838" i="7"/>
  <c r="J840" i="7"/>
  <c r="J844" i="7"/>
  <c r="J846" i="7"/>
  <c r="J867" i="7"/>
  <c r="J869" i="7"/>
  <c r="J873" i="7"/>
  <c r="J985" i="7"/>
  <c r="J1044" i="7"/>
  <c r="J1052" i="7"/>
  <c r="J1054" i="7"/>
  <c r="J1056" i="7"/>
  <c r="J1060" i="7"/>
  <c r="J1062" i="7"/>
  <c r="J1191" i="7"/>
  <c r="J1197" i="7"/>
  <c r="N137" i="8"/>
  <c r="M197" i="8"/>
  <c r="M599" i="8"/>
  <c r="M614" i="8"/>
  <c r="M641" i="8"/>
  <c r="M714" i="8"/>
  <c r="M789" i="8"/>
  <c r="M920" i="8"/>
  <c r="M937" i="8"/>
  <c r="M956" i="8"/>
  <c r="N969" i="8"/>
  <c r="M991" i="8"/>
  <c r="D10" i="9"/>
  <c r="H22" i="9" s="1"/>
  <c r="N19" i="8"/>
  <c r="M19" i="8"/>
  <c r="J68" i="7"/>
  <c r="J471" i="7"/>
  <c r="J543" i="7"/>
  <c r="M664" i="8"/>
  <c r="N940" i="8"/>
  <c r="M940" i="8"/>
  <c r="M666" i="8"/>
  <c r="N929" i="8"/>
  <c r="M929" i="8"/>
  <c r="N964" i="8"/>
  <c r="M964" i="8"/>
  <c r="J189" i="7"/>
  <c r="J1019" i="7"/>
  <c r="J1023" i="7"/>
  <c r="J1025" i="7"/>
  <c r="J1167" i="7"/>
  <c r="J1169" i="7"/>
  <c r="M150" i="8"/>
  <c r="M169" i="8"/>
  <c r="M178" i="8"/>
  <c r="N178" i="8"/>
  <c r="M251" i="8"/>
  <c r="M647" i="8"/>
  <c r="M946" i="8"/>
  <c r="M957" i="8"/>
  <c r="N51" i="8"/>
  <c r="M51" i="8"/>
  <c r="N794" i="8"/>
  <c r="J26" i="7"/>
  <c r="J55" i="7"/>
  <c r="J130" i="7"/>
  <c r="J300" i="7"/>
  <c r="J325" i="7"/>
  <c r="J408" i="7"/>
  <c r="J433" i="7"/>
  <c r="N152" i="8"/>
  <c r="M152" i="8"/>
  <c r="N212" i="8"/>
  <c r="M212" i="8"/>
  <c r="M285" i="8"/>
  <c r="N285" i="8"/>
  <c r="N525" i="8"/>
  <c r="M525" i="8"/>
  <c r="M320" i="8"/>
  <c r="J367" i="7"/>
  <c r="M307" i="8"/>
  <c r="N6" i="8"/>
  <c r="M6" i="8"/>
  <c r="M955" i="8"/>
  <c r="M309" i="8"/>
  <c r="N309" i="8"/>
  <c r="J32" i="7"/>
  <c r="J34" i="7"/>
  <c r="J176" i="7"/>
  <c r="J178" i="7"/>
  <c r="J331" i="7"/>
  <c r="J439" i="7"/>
  <c r="M139" i="8"/>
  <c r="N141" i="8"/>
  <c r="M141" i="8"/>
  <c r="N294" i="8"/>
  <c r="J363" i="7"/>
  <c r="N40" i="8"/>
  <c r="M40" i="8"/>
  <c r="J1073" i="7"/>
  <c r="J7" i="7"/>
  <c r="J11" i="7"/>
  <c r="J92" i="7"/>
  <c r="J507" i="7"/>
  <c r="J509" i="7"/>
  <c r="M486" i="8"/>
  <c r="N486" i="8"/>
  <c r="M503" i="8"/>
  <c r="N533" i="8"/>
  <c r="M533" i="8"/>
  <c r="N859" i="8"/>
  <c r="M859" i="8"/>
  <c r="N870" i="8"/>
  <c r="M870" i="8"/>
  <c r="J545" i="7"/>
  <c r="J1071" i="7"/>
  <c r="J17" i="7"/>
  <c r="J94" i="7"/>
  <c r="J96" i="7"/>
  <c r="J98" i="7"/>
  <c r="J113" i="7"/>
  <c r="J232" i="7"/>
  <c r="J372" i="7"/>
  <c r="J397" i="7"/>
  <c r="J484" i="7"/>
  <c r="J486" i="7"/>
  <c r="J657" i="7"/>
  <c r="J699" i="7"/>
  <c r="N130" i="8"/>
  <c r="M130" i="8"/>
  <c r="M432" i="8"/>
  <c r="M830" i="8"/>
  <c r="N830" i="8"/>
  <c r="M681" i="8"/>
  <c r="N681" i="8"/>
  <c r="J5" i="11"/>
  <c r="J161" i="7"/>
  <c r="J163" i="7"/>
  <c r="J165" i="7"/>
  <c r="J234" i="7"/>
  <c r="J297" i="7"/>
  <c r="J376" i="7"/>
  <c r="J488" i="7"/>
  <c r="J636" i="7"/>
  <c r="J661" i="7"/>
  <c r="J667" i="7"/>
  <c r="J826" i="7"/>
  <c r="J865" i="7"/>
  <c r="M296" i="8"/>
  <c r="N764" i="8"/>
  <c r="M764" i="8"/>
  <c r="M189" i="8"/>
  <c r="N189" i="8"/>
  <c r="J79" i="7"/>
  <c r="J81" i="7"/>
  <c r="J83" i="7"/>
  <c r="J146" i="7"/>
  <c r="J150" i="7"/>
  <c r="J217" i="7"/>
  <c r="J238" i="7"/>
  <c r="J280" i="7"/>
  <c r="J282" i="7"/>
  <c r="J640" i="7"/>
  <c r="J642" i="7"/>
  <c r="J793" i="7"/>
  <c r="J830" i="7"/>
  <c r="J832" i="7"/>
  <c r="J834" i="7"/>
  <c r="J871" i="7"/>
  <c r="N408" i="8"/>
  <c r="M408" i="8"/>
  <c r="N823" i="8"/>
  <c r="M823" i="8"/>
  <c r="J747" i="7"/>
  <c r="J1175" i="7"/>
  <c r="J1179" i="7"/>
  <c r="M231" i="8"/>
  <c r="N231" i="8"/>
  <c r="N235" i="8"/>
  <c r="M235" i="8"/>
  <c r="N950" i="8"/>
  <c r="M950" i="8"/>
  <c r="J23" i="7"/>
  <c r="J59" i="7"/>
  <c r="J117" i="7"/>
  <c r="J119" i="7"/>
  <c r="J121" i="7"/>
  <c r="J132" i="7"/>
  <c r="J460" i="7"/>
  <c r="M134" i="8"/>
  <c r="N287" i="8"/>
  <c r="N289" i="8"/>
  <c r="M289" i="8"/>
  <c r="N361" i="8"/>
  <c r="M361" i="8"/>
  <c r="M384" i="8"/>
  <c r="N573" i="8"/>
  <c r="M573" i="8"/>
  <c r="N611" i="8"/>
  <c r="M611" i="8"/>
  <c r="M745" i="8"/>
  <c r="M922" i="8"/>
  <c r="N55" i="8"/>
  <c r="M55" i="8"/>
  <c r="N418" i="8"/>
  <c r="M418" i="8"/>
  <c r="N994" i="8"/>
  <c r="M994" i="8"/>
  <c r="A9" i="11"/>
  <c r="J6" i="7"/>
  <c r="J12" i="7"/>
  <c r="J44" i="7"/>
  <c r="J46" i="7"/>
  <c r="J65" i="7"/>
  <c r="J591" i="7"/>
  <c r="J759" i="7"/>
  <c r="J761" i="7"/>
  <c r="J763" i="7"/>
  <c r="J971" i="7"/>
  <c r="N42" i="8"/>
  <c r="M42" i="8"/>
  <c r="M222" i="8"/>
  <c r="N222" i="8"/>
  <c r="N397" i="8"/>
  <c r="M397" i="8"/>
  <c r="N498" i="8"/>
  <c r="M498" i="8"/>
  <c r="M511" i="8"/>
  <c r="N511" i="8"/>
  <c r="N632" i="8"/>
  <c r="M632" i="8"/>
  <c r="M783" i="8"/>
  <c r="N783" i="8"/>
  <c r="M911" i="8"/>
  <c r="N924" i="8"/>
  <c r="J627" i="7"/>
  <c r="J134" i="7"/>
  <c r="J279" i="7"/>
  <c r="J322" i="7"/>
  <c r="J358" i="7"/>
  <c r="J394" i="7"/>
  <c r="J430" i="7"/>
  <c r="J466" i="7"/>
  <c r="J502" i="7"/>
  <c r="J519" i="7"/>
  <c r="J540" i="7"/>
  <c r="J595" i="7"/>
  <c r="N125" i="8"/>
  <c r="M125" i="8"/>
  <c r="M203" i="8"/>
  <c r="M475" i="8"/>
  <c r="N475" i="8"/>
  <c r="N757" i="8"/>
  <c r="M757" i="8"/>
  <c r="M879" i="8"/>
  <c r="N879" i="8"/>
  <c r="J475" i="7"/>
  <c r="J751" i="7"/>
  <c r="J29" i="7"/>
  <c r="J33" i="7"/>
  <c r="J91" i="7"/>
  <c r="J95" i="7"/>
  <c r="J108" i="7"/>
  <c r="J164" i="7"/>
  <c r="J192" i="7"/>
  <c r="J205" i="7"/>
  <c r="J231" i="7"/>
  <c r="J255" i="7"/>
  <c r="J303" i="7"/>
  <c r="J328" i="7"/>
  <c r="J339" i="7"/>
  <c r="J364" i="7"/>
  <c r="J375" i="7"/>
  <c r="J398" i="7"/>
  <c r="J400" i="7"/>
  <c r="J411" i="7"/>
  <c r="J434" i="7"/>
  <c r="J436" i="7"/>
  <c r="J447" i="7"/>
  <c r="J470" i="7"/>
  <c r="J565" i="7"/>
  <c r="J622" i="7"/>
  <c r="J660" i="7"/>
  <c r="J721" i="7"/>
  <c r="J742" i="7"/>
  <c r="J874" i="7"/>
  <c r="J913" i="7"/>
  <c r="J919" i="7"/>
  <c r="J952" i="7"/>
  <c r="J954" i="7"/>
  <c r="J1084" i="7"/>
  <c r="J1086" i="7"/>
  <c r="M31" i="8"/>
  <c r="M33" i="8"/>
  <c r="N33" i="8"/>
  <c r="N80" i="8"/>
  <c r="M80" i="8"/>
  <c r="N101" i="8"/>
  <c r="N205" i="8"/>
  <c r="M205" i="8"/>
  <c r="M338" i="8"/>
  <c r="N373" i="8"/>
  <c r="M373" i="8"/>
  <c r="M459" i="8"/>
  <c r="M581" i="8"/>
  <c r="M885" i="8"/>
  <c r="M902" i="8"/>
  <c r="J168" i="7"/>
  <c r="J196" i="7"/>
  <c r="J198" i="7"/>
  <c r="J209" i="7"/>
  <c r="J222" i="7"/>
  <c r="J261" i="7"/>
  <c r="J529" i="7"/>
  <c r="J550" i="7"/>
  <c r="J554" i="7"/>
  <c r="J556" i="7"/>
  <c r="J571" i="7"/>
  <c r="J601" i="7"/>
  <c r="J685" i="7"/>
  <c r="J779" i="7"/>
  <c r="J802" i="7"/>
  <c r="J804" i="7"/>
  <c r="J880" i="7"/>
  <c r="J882" i="7"/>
  <c r="J1090" i="7"/>
  <c r="J1092" i="7"/>
  <c r="N271" i="8"/>
  <c r="M271" i="8"/>
  <c r="N558" i="8"/>
  <c r="M585" i="8"/>
  <c r="N587" i="8"/>
  <c r="M587" i="8"/>
  <c r="N841" i="8"/>
  <c r="M841" i="8"/>
  <c r="J18" i="7"/>
  <c r="J56" i="7"/>
  <c r="J101" i="7"/>
  <c r="J112" i="7"/>
  <c r="J349" i="7"/>
  <c r="J385" i="7"/>
  <c r="N13" i="8"/>
  <c r="M13" i="8"/>
  <c r="N26" i="8"/>
  <c r="M26" i="8"/>
  <c r="M90" i="8"/>
  <c r="M352" i="8"/>
  <c r="N352" i="8"/>
  <c r="N446" i="8"/>
  <c r="M446" i="8"/>
  <c r="N562" i="8"/>
  <c r="M562" i="8"/>
  <c r="N736" i="8"/>
  <c r="M736" i="8"/>
  <c r="M895" i="8"/>
  <c r="N906" i="8"/>
  <c r="J749" i="7"/>
  <c r="J41" i="7"/>
  <c r="J43" i="7"/>
  <c r="J45" i="7"/>
  <c r="J118" i="7"/>
  <c r="J172" i="7"/>
  <c r="J185" i="7"/>
  <c r="J213" i="7"/>
  <c r="J241" i="7"/>
  <c r="J265" i="7"/>
  <c r="J289" i="7"/>
  <c r="J319" i="7"/>
  <c r="J355" i="7"/>
  <c r="J389" i="7"/>
  <c r="J391" i="7"/>
  <c r="J425" i="7"/>
  <c r="J427" i="7"/>
  <c r="J461" i="7"/>
  <c r="J463" i="7"/>
  <c r="J497" i="7"/>
  <c r="J499" i="7"/>
  <c r="J531" i="7"/>
  <c r="J533" i="7"/>
  <c r="J588" i="7"/>
  <c r="J590" i="7"/>
  <c r="J603" i="7"/>
  <c r="J605" i="7"/>
  <c r="J632" i="7"/>
  <c r="J649" i="7"/>
  <c r="J674" i="7"/>
  <c r="J676" i="7"/>
  <c r="J678" i="7"/>
  <c r="J712" i="7"/>
  <c r="J756" i="7"/>
  <c r="J851" i="7"/>
  <c r="J855" i="7"/>
  <c r="J857" i="7"/>
  <c r="J861" i="7"/>
  <c r="J892" i="7"/>
  <c r="J894" i="7"/>
  <c r="J968" i="7"/>
  <c r="J1042" i="7"/>
  <c r="J1067" i="7"/>
  <c r="J1069" i="7"/>
  <c r="J1200" i="7"/>
  <c r="J1202" i="7"/>
  <c r="N316" i="8"/>
  <c r="M316" i="8"/>
  <c r="M437" i="8"/>
  <c r="N566" i="8"/>
  <c r="M566" i="8"/>
  <c r="M806" i="8"/>
  <c r="M847" i="8"/>
  <c r="J975" i="7"/>
  <c r="J977" i="7"/>
  <c r="J1031" i="7"/>
  <c r="J1127" i="7"/>
  <c r="J1193" i="7"/>
  <c r="M68" i="8"/>
  <c r="N68" i="8"/>
  <c r="M300" i="8"/>
  <c r="N300" i="8"/>
  <c r="M375" i="8"/>
  <c r="N375" i="8"/>
  <c r="M388" i="8"/>
  <c r="N388" i="8"/>
  <c r="N463" i="8"/>
  <c r="M463" i="8"/>
  <c r="N546" i="8"/>
  <c r="M546" i="8"/>
  <c r="N591" i="8"/>
  <c r="M591" i="8"/>
  <c r="M657" i="8"/>
  <c r="N657" i="8"/>
  <c r="N814" i="8"/>
  <c r="M814" i="8"/>
  <c r="M861" i="8"/>
  <c r="N861" i="8"/>
  <c r="J579" i="7"/>
  <c r="J624" i="7"/>
  <c r="J803" i="7"/>
  <c r="J807" i="7"/>
  <c r="J809" i="7"/>
  <c r="J811" i="7"/>
  <c r="J815" i="7"/>
  <c r="J842" i="7"/>
  <c r="J983" i="7"/>
  <c r="J1131" i="7"/>
  <c r="J1133" i="7"/>
  <c r="N21" i="8"/>
  <c r="M35" i="8"/>
  <c r="N57" i="8"/>
  <c r="M79" i="8"/>
  <c r="N94" i="8"/>
  <c r="M94" i="8"/>
  <c r="M116" i="8"/>
  <c r="N162" i="8"/>
  <c r="N211" i="8"/>
  <c r="M248" i="8"/>
  <c r="M253" i="8"/>
  <c r="M260" i="8"/>
  <c r="N273" i="8"/>
  <c r="M291" i="8"/>
  <c r="N291" i="8"/>
  <c r="M337" i="8"/>
  <c r="M360" i="8"/>
  <c r="M485" i="8"/>
  <c r="M535" i="8"/>
  <c r="M572" i="8"/>
  <c r="M621" i="8"/>
  <c r="M634" i="8"/>
  <c r="M708" i="8"/>
  <c r="M738" i="8"/>
  <c r="M785" i="8"/>
  <c r="M798" i="8"/>
  <c r="N805" i="8"/>
  <c r="M805" i="8"/>
  <c r="N840" i="8"/>
  <c r="M878" i="8"/>
  <c r="M1004" i="8"/>
  <c r="C15" i="11"/>
  <c r="B15" i="11"/>
  <c r="J472" i="7"/>
  <c r="J483" i="7"/>
  <c r="J506" i="7"/>
  <c r="J508" i="7"/>
  <c r="J510" i="7"/>
  <c r="J525" i="7"/>
  <c r="J555" i="7"/>
  <c r="J559" i="7"/>
  <c r="J570" i="7"/>
  <c r="J613" i="7"/>
  <c r="J630" i="7"/>
  <c r="J639" i="7"/>
  <c r="J641" i="7"/>
  <c r="J658" i="7"/>
  <c r="J673" i="7"/>
  <c r="J686" i="7"/>
  <c r="J733" i="7"/>
  <c r="J754" i="7"/>
  <c r="J790" i="7"/>
  <c r="J819" i="7"/>
  <c r="J821" i="7"/>
  <c r="J850" i="7"/>
  <c r="J852" i="7"/>
  <c r="J916" i="7"/>
  <c r="J918" i="7"/>
  <c r="J935" i="7"/>
  <c r="J939" i="7"/>
  <c r="J941" i="7"/>
  <c r="J964" i="7"/>
  <c r="J966" i="7"/>
  <c r="J987" i="7"/>
  <c r="J989" i="7"/>
  <c r="J1012" i="7"/>
  <c r="J1014" i="7"/>
  <c r="J1093" i="7"/>
  <c r="J1139" i="7"/>
  <c r="J1168" i="7"/>
  <c r="J1170" i="7"/>
  <c r="M12" i="8"/>
  <c r="M85" i="8"/>
  <c r="M107" i="8"/>
  <c r="N127" i="8"/>
  <c r="M127" i="8"/>
  <c r="N213" i="8"/>
  <c r="M277" i="8"/>
  <c r="N315" i="8"/>
  <c r="N324" i="8"/>
  <c r="N343" i="8"/>
  <c r="M343" i="8"/>
  <c r="M489" i="8"/>
  <c r="M526" i="8"/>
  <c r="N539" i="8"/>
  <c r="M539" i="8"/>
  <c r="M623" i="8"/>
  <c r="M638" i="8"/>
  <c r="M721" i="8"/>
  <c r="N744" i="8"/>
  <c r="M787" i="8"/>
  <c r="M842" i="8"/>
  <c r="M882" i="8"/>
  <c r="N884" i="8"/>
  <c r="M884" i="8"/>
  <c r="M943" i="8"/>
  <c r="N954" i="8"/>
  <c r="M954" i="8"/>
  <c r="J645" i="7"/>
  <c r="J825" i="7"/>
  <c r="J922" i="7"/>
  <c r="J1072" i="7"/>
  <c r="J1074" i="7"/>
  <c r="J1120" i="7"/>
  <c r="J1122" i="7"/>
  <c r="J1172" i="7"/>
  <c r="N89" i="8"/>
  <c r="M89" i="8"/>
  <c r="M168" i="8"/>
  <c r="N168" i="8"/>
  <c r="M264" i="8"/>
  <c r="N264" i="8"/>
  <c r="N424" i="8"/>
  <c r="M424" i="8"/>
  <c r="N578" i="8"/>
  <c r="M578" i="8"/>
  <c r="M729" i="8"/>
  <c r="N729" i="8"/>
  <c r="N846" i="8"/>
  <c r="M846" i="8"/>
  <c r="N888" i="8"/>
  <c r="M888" i="8"/>
  <c r="M453" i="8"/>
  <c r="N453" i="8"/>
  <c r="N493" i="8"/>
  <c r="M493" i="8"/>
  <c r="M582" i="8"/>
  <c r="N582" i="8"/>
  <c r="N793" i="8"/>
  <c r="M793" i="8"/>
  <c r="N848" i="8"/>
  <c r="M848" i="8"/>
  <c r="M988" i="8"/>
  <c r="M999" i="8"/>
  <c r="J542" i="7"/>
  <c r="J589" i="7"/>
  <c r="J604" i="7"/>
  <c r="J606" i="7"/>
  <c r="J621" i="7"/>
  <c r="J696" i="7"/>
  <c r="J698" i="7"/>
  <c r="J700" i="7"/>
  <c r="J726" i="7"/>
  <c r="J741" i="7"/>
  <c r="J766" i="7"/>
  <c r="J781" i="7"/>
  <c r="J831" i="7"/>
  <c r="J833" i="7"/>
  <c r="J868" i="7"/>
  <c r="J870" i="7"/>
  <c r="J891" i="7"/>
  <c r="J893" i="7"/>
  <c r="J897" i="7"/>
  <c r="J901" i="7"/>
  <c r="J928" i="7"/>
  <c r="J930" i="7"/>
  <c r="J951" i="7"/>
  <c r="J953" i="7"/>
  <c r="J974" i="7"/>
  <c r="J1030" i="7"/>
  <c r="J1047" i="7"/>
  <c r="J1049" i="7"/>
  <c r="J1057" i="7"/>
  <c r="J1126" i="7"/>
  <c r="J1151" i="7"/>
  <c r="M7" i="8"/>
  <c r="M18" i="8"/>
  <c r="N54" i="8"/>
  <c r="M76" i="8"/>
  <c r="N104" i="8"/>
  <c r="M179" i="8"/>
  <c r="M199" i="8"/>
  <c r="M208" i="8"/>
  <c r="M232" i="8"/>
  <c r="M349" i="8"/>
  <c r="N368" i="8"/>
  <c r="M368" i="8"/>
  <c r="M396" i="8"/>
  <c r="N415" i="8"/>
  <c r="M417" i="8"/>
  <c r="N417" i="8"/>
  <c r="M442" i="8"/>
  <c r="M469" i="8"/>
  <c r="M480" i="8"/>
  <c r="M521" i="8"/>
  <c r="M567" i="8"/>
  <c r="M601" i="8"/>
  <c r="M697" i="8"/>
  <c r="M780" i="8"/>
  <c r="M927" i="8"/>
  <c r="M936" i="8"/>
  <c r="M965" i="8"/>
  <c r="M974" i="8"/>
  <c r="N1001" i="8"/>
  <c r="M1001" i="8"/>
  <c r="J1132" i="7"/>
  <c r="J1134" i="7"/>
  <c r="J1196" i="7"/>
  <c r="N115" i="8"/>
  <c r="M115" i="8"/>
  <c r="M210" i="8"/>
  <c r="N210" i="8"/>
  <c r="N359" i="8"/>
  <c r="M359" i="8"/>
  <c r="N516" i="8"/>
  <c r="M516" i="8"/>
  <c r="M534" i="8"/>
  <c r="N534" i="8"/>
  <c r="N569" i="8"/>
  <c r="M569" i="8"/>
  <c r="M705" i="8"/>
  <c r="N705" i="8"/>
  <c r="N839" i="8"/>
  <c r="M839" i="8"/>
  <c r="N877" i="8"/>
  <c r="M877" i="8"/>
  <c r="M918" i="8"/>
  <c r="M967" i="8"/>
  <c r="M976" i="8"/>
  <c r="M983" i="8"/>
  <c r="J1185" i="7"/>
  <c r="B16" i="9"/>
  <c r="D16" i="9" s="1"/>
  <c r="J854" i="7"/>
  <c r="J875" i="7"/>
  <c r="J959" i="7"/>
  <c r="J1035" i="7"/>
  <c r="J1037" i="7"/>
  <c r="J1094" i="7"/>
  <c r="J1115" i="7"/>
  <c r="J1195" i="7"/>
  <c r="M65" i="8"/>
  <c r="M77" i="8"/>
  <c r="M96" i="8"/>
  <c r="M112" i="8"/>
  <c r="M149" i="8"/>
  <c r="M163" i="8"/>
  <c r="M221" i="8"/>
  <c r="M226" i="8"/>
  <c r="M242" i="8"/>
  <c r="M295" i="8"/>
  <c r="N311" i="8"/>
  <c r="N321" i="8"/>
  <c r="N328" i="8"/>
  <c r="M354" i="8"/>
  <c r="N363" i="8"/>
  <c r="N370" i="8"/>
  <c r="N399" i="8"/>
  <c r="M410" i="8"/>
  <c r="M436" i="8"/>
  <c r="M448" i="8"/>
  <c r="M460" i="8"/>
  <c r="M488" i="8"/>
  <c r="M513" i="8"/>
  <c r="M541" i="8"/>
  <c r="M584" i="8"/>
  <c r="M602" i="8"/>
  <c r="M635" i="8"/>
  <c r="N648" i="8"/>
  <c r="M661" i="8"/>
  <c r="M685" i="8"/>
  <c r="M709" i="8"/>
  <c r="M733" i="8"/>
  <c r="M748" i="8"/>
  <c r="M763" i="8"/>
  <c r="M779" i="8"/>
  <c r="M816" i="8"/>
  <c r="M825" i="8"/>
  <c r="M852" i="8"/>
  <c r="M881" i="8"/>
  <c r="M901" i="8"/>
  <c r="M919" i="8"/>
  <c r="N933" i="8"/>
  <c r="M942" i="8"/>
  <c r="M947" i="8"/>
  <c r="M961" i="8"/>
  <c r="M968" i="8"/>
  <c r="M982" i="8"/>
  <c r="J879" i="7"/>
  <c r="J881" i="7"/>
  <c r="J923" i="7"/>
  <c r="J999" i="7"/>
  <c r="J1001" i="7"/>
  <c r="J1058" i="7"/>
  <c r="J1079" i="7"/>
  <c r="J1081" i="7"/>
  <c r="J1155" i="7"/>
  <c r="J1157" i="7"/>
  <c r="M15" i="8"/>
  <c r="M53" i="8"/>
  <c r="M58" i="8"/>
  <c r="M84" i="8"/>
  <c r="M98" i="8"/>
  <c r="M103" i="8"/>
  <c r="N140" i="8"/>
  <c r="J820" i="7"/>
  <c r="J822" i="7"/>
  <c r="J839" i="7"/>
  <c r="J841" i="7"/>
  <c r="J946" i="7"/>
  <c r="J988" i="7"/>
  <c r="J990" i="7"/>
  <c r="J1005" i="7"/>
  <c r="J1022" i="7"/>
  <c r="J1043" i="7"/>
  <c r="J1045" i="7"/>
  <c r="J1066" i="7"/>
  <c r="J1119" i="7"/>
  <c r="J1121" i="7"/>
  <c r="J1144" i="7"/>
  <c r="J1146" i="7"/>
  <c r="J1182" i="7"/>
  <c r="J1184" i="7"/>
  <c r="J1201" i="7"/>
  <c r="J1203" i="7"/>
  <c r="N32" i="8"/>
  <c r="N165" i="8"/>
  <c r="N177" i="8"/>
  <c r="M374" i="8"/>
  <c r="M385" i="8"/>
  <c r="N414" i="8"/>
  <c r="N450" i="8"/>
  <c r="M497" i="8"/>
  <c r="M538" i="8"/>
  <c r="M568" i="8"/>
  <c r="M586" i="8"/>
  <c r="M617" i="8"/>
  <c r="M639" i="8"/>
  <c r="M654" i="8"/>
  <c r="M678" i="8"/>
  <c r="M702" i="8"/>
  <c r="M726" i="8"/>
  <c r="M790" i="8"/>
  <c r="M845" i="8"/>
  <c r="N876" i="8"/>
  <c r="M883" i="8"/>
  <c r="M1000" i="8"/>
  <c r="J50" i="7"/>
  <c r="J170" i="7"/>
  <c r="J74" i="7"/>
  <c r="J156" i="7"/>
  <c r="J237" i="7"/>
  <c r="J285" i="7"/>
  <c r="J38" i="7"/>
  <c r="J149" i="7"/>
  <c r="J228" i="7"/>
  <c r="J276" i="7"/>
  <c r="J62" i="7"/>
  <c r="J100" i="7"/>
  <c r="J142" i="7"/>
  <c r="J221" i="7"/>
  <c r="J269" i="7"/>
  <c r="J552" i="7"/>
  <c r="J537" i="7"/>
  <c r="J681" i="7"/>
  <c r="J909" i="7"/>
  <c r="J945" i="7"/>
  <c r="J981" i="7"/>
  <c r="J1017" i="7"/>
  <c r="J1053" i="7"/>
  <c r="J1089" i="7"/>
  <c r="J1125" i="7"/>
  <c r="J1161" i="7"/>
  <c r="N56" i="8"/>
  <c r="M56" i="8"/>
  <c r="N20" i="8"/>
  <c r="M20" i="8"/>
  <c r="N106" i="8"/>
  <c r="M106" i="8"/>
  <c r="N164" i="8"/>
  <c r="M164" i="8"/>
  <c r="N299" i="8"/>
  <c r="M299" i="8"/>
  <c r="J561" i="7"/>
  <c r="J705" i="7"/>
  <c r="J777" i="7"/>
  <c r="J184" i="7"/>
  <c r="J321" i="7"/>
  <c r="J330" i="7"/>
  <c r="J357" i="7"/>
  <c r="J366" i="7"/>
  <c r="J393" i="7"/>
  <c r="J402" i="7"/>
  <c r="J429" i="7"/>
  <c r="J438" i="7"/>
  <c r="J465" i="7"/>
  <c r="J474" i="7"/>
  <c r="J501" i="7"/>
  <c r="N70" i="8"/>
  <c r="M70" i="8"/>
  <c r="N371" i="8"/>
  <c r="M371" i="8"/>
  <c r="N411" i="8"/>
  <c r="M411" i="8"/>
  <c r="N528" i="8"/>
  <c r="M528" i="8"/>
  <c r="N603" i="8"/>
  <c r="M603" i="8"/>
  <c r="J729" i="7"/>
  <c r="J753" i="7"/>
  <c r="J813" i="7"/>
  <c r="J849" i="7"/>
  <c r="J885" i="7"/>
  <c r="J921" i="7"/>
  <c r="J957" i="7"/>
  <c r="J993" i="7"/>
  <c r="J1029" i="7"/>
  <c r="J1065" i="7"/>
  <c r="J1101" i="7"/>
  <c r="J1137" i="7"/>
  <c r="J1173" i="7"/>
  <c r="J1192" i="7"/>
  <c r="N34" i="8"/>
  <c r="M34" i="8"/>
  <c r="M48" i="8"/>
  <c r="M131" i="8"/>
  <c r="M275" i="8"/>
  <c r="N275" i="8"/>
  <c r="N505" i="8"/>
  <c r="M505" i="8"/>
  <c r="N117" i="8"/>
  <c r="M117" i="8"/>
  <c r="M180" i="8"/>
  <c r="N180" i="8"/>
  <c r="M238" i="8"/>
  <c r="N238" i="8"/>
  <c r="J90" i="7"/>
  <c r="J174" i="7"/>
  <c r="J609" i="7"/>
  <c r="M156" i="8"/>
  <c r="M233" i="8"/>
  <c r="J78" i="7"/>
  <c r="J160" i="7"/>
  <c r="J220" i="7"/>
  <c r="J268" i="7"/>
  <c r="J309" i="7"/>
  <c r="J318" i="7"/>
  <c r="J345" i="7"/>
  <c r="J354" i="7"/>
  <c r="J381" i="7"/>
  <c r="J390" i="7"/>
  <c r="J417" i="7"/>
  <c r="J426" i="7"/>
  <c r="J453" i="7"/>
  <c r="J462" i="7"/>
  <c r="J489" i="7"/>
  <c r="J549" i="7"/>
  <c r="J693" i="7"/>
  <c r="J789" i="7"/>
  <c r="N128" i="8"/>
  <c r="M128" i="8"/>
  <c r="N200" i="8"/>
  <c r="M200" i="8"/>
  <c r="N339" i="8"/>
  <c r="M339" i="8"/>
  <c r="N81" i="8"/>
  <c r="M81" i="8"/>
  <c r="M95" i="8"/>
  <c r="N142" i="8"/>
  <c r="M142" i="8"/>
  <c r="N268" i="8"/>
  <c r="M268" i="8"/>
  <c r="J148" i="7"/>
  <c r="J573" i="7"/>
  <c r="J717" i="7"/>
  <c r="J765" i="7"/>
  <c r="N45" i="8"/>
  <c r="M45" i="8"/>
  <c r="M59" i="8"/>
  <c r="M109" i="8"/>
  <c r="N195" i="8"/>
  <c r="N9" i="8"/>
  <c r="M9" i="8"/>
  <c r="M216" i="8"/>
  <c r="N216" i="8"/>
  <c r="M261" i="8"/>
  <c r="N261" i="8"/>
  <c r="N313" i="8"/>
  <c r="M313" i="8"/>
  <c r="J136" i="7"/>
  <c r="J210" i="7"/>
  <c r="J258" i="7"/>
  <c r="J306" i="7"/>
  <c r="J333" i="7"/>
  <c r="J342" i="7"/>
  <c r="J369" i="7"/>
  <c r="J378" i="7"/>
  <c r="J405" i="7"/>
  <c r="J414" i="7"/>
  <c r="J441" i="7"/>
  <c r="J450" i="7"/>
  <c r="J477" i="7"/>
  <c r="J597" i="7"/>
  <c r="N92" i="8"/>
  <c r="M92" i="8"/>
  <c r="N153" i="8"/>
  <c r="M153" i="8"/>
  <c r="N256" i="8"/>
  <c r="N27" i="8"/>
  <c r="N38" i="8"/>
  <c r="N63" i="8"/>
  <c r="N74" i="8"/>
  <c r="N99" i="8"/>
  <c r="N110" i="8"/>
  <c r="M121" i="8"/>
  <c r="M132" i="8"/>
  <c r="N135" i="8"/>
  <c r="M143" i="8"/>
  <c r="N146" i="8"/>
  <c r="M157" i="8"/>
  <c r="N173" i="8"/>
  <c r="N181" i="8"/>
  <c r="M214" i="8"/>
  <c r="N219" i="8"/>
  <c r="N229" i="8"/>
  <c r="M229" i="8"/>
  <c r="M239" i="8"/>
  <c r="M244" i="8"/>
  <c r="M252" i="8"/>
  <c r="N252" i="8"/>
  <c r="N269" i="8"/>
  <c r="M288" i="8"/>
  <c r="N288" i="8"/>
  <c r="M302" i="8"/>
  <c r="N322" i="8"/>
  <c r="M342" i="8"/>
  <c r="N376" i="8"/>
  <c r="M376" i="8"/>
  <c r="M10" i="8"/>
  <c r="M46" i="8"/>
  <c r="M82" i="8"/>
  <c r="M118" i="8"/>
  <c r="M154" i="8"/>
  <c r="N183" i="8"/>
  <c r="N191" i="8"/>
  <c r="N333" i="8"/>
  <c r="M333" i="8"/>
  <c r="N335" i="8"/>
  <c r="M335" i="8"/>
  <c r="J1204" i="7"/>
  <c r="N193" i="8"/>
  <c r="M193" i="8"/>
  <c r="N254" i="8"/>
  <c r="M254" i="8"/>
  <c r="N353" i="8"/>
  <c r="M353" i="8"/>
  <c r="N362" i="8"/>
  <c r="M362" i="8"/>
  <c r="M382" i="8"/>
  <c r="N382" i="8"/>
  <c r="N218" i="8"/>
  <c r="M218" i="8"/>
  <c r="M243" i="8"/>
  <c r="N243" i="8"/>
  <c r="N406" i="8"/>
  <c r="M406" i="8"/>
  <c r="N182" i="8"/>
  <c r="M182" i="8"/>
  <c r="M270" i="8"/>
  <c r="N270" i="8"/>
  <c r="M14" i="8"/>
  <c r="M28" i="8"/>
  <c r="M39" i="8"/>
  <c r="M50" i="8"/>
  <c r="M64" i="8"/>
  <c r="M75" i="8"/>
  <c r="M86" i="8"/>
  <c r="M100" i="8"/>
  <c r="M111" i="8"/>
  <c r="M122" i="8"/>
  <c r="M136" i="8"/>
  <c r="M147" i="8"/>
  <c r="M158" i="8"/>
  <c r="N174" i="8"/>
  <c r="N220" i="8"/>
  <c r="M230" i="8"/>
  <c r="N263" i="8"/>
  <c r="N334" i="8"/>
  <c r="M334" i="8"/>
  <c r="N350" i="8"/>
  <c r="M350" i="8"/>
  <c r="M11" i="8"/>
  <c r="M25" i="8"/>
  <c r="M36" i="8"/>
  <c r="M47" i="8"/>
  <c r="M61" i="8"/>
  <c r="M72" i="8"/>
  <c r="M83" i="8"/>
  <c r="M97" i="8"/>
  <c r="M108" i="8"/>
  <c r="M119" i="8"/>
  <c r="M133" i="8"/>
  <c r="M144" i="8"/>
  <c r="M155" i="8"/>
  <c r="N166" i="8"/>
  <c r="M171" i="8"/>
  <c r="N171" i="8"/>
  <c r="M184" i="8"/>
  <c r="N192" i="8"/>
  <c r="N202" i="8"/>
  <c r="M207" i="8"/>
  <c r="N207" i="8"/>
  <c r="N225" i="8"/>
  <c r="N245" i="8"/>
  <c r="N265" i="8"/>
  <c r="M265" i="8"/>
  <c r="M272" i="8"/>
  <c r="M305" i="8"/>
  <c r="N310" i="8"/>
  <c r="M310" i="8"/>
  <c r="M429" i="8"/>
  <c r="N429" i="8"/>
  <c r="N477" i="8"/>
  <c r="M477" i="8"/>
  <c r="G9" i="11"/>
  <c r="J9" i="11"/>
  <c r="N372" i="8"/>
  <c r="M372" i="8"/>
  <c r="N465" i="8"/>
  <c r="M465" i="8"/>
  <c r="N470" i="8"/>
  <c r="M470" i="8"/>
  <c r="N274" i="8"/>
  <c r="M274" i="8"/>
  <c r="N347" i="8"/>
  <c r="M347" i="8"/>
  <c r="N403" i="8"/>
  <c r="M403" i="8"/>
  <c r="N419" i="8"/>
  <c r="M419" i="8"/>
  <c r="M16" i="8"/>
  <c r="M52" i="8"/>
  <c r="M88" i="8"/>
  <c r="M124" i="8"/>
  <c r="M160" i="8"/>
  <c r="N186" i="8"/>
  <c r="M196" i="8"/>
  <c r="N209" i="8"/>
  <c r="N227" i="8"/>
  <c r="M234" i="8"/>
  <c r="N234" i="8"/>
  <c r="M257" i="8"/>
  <c r="N281" i="8"/>
  <c r="N286" i="8"/>
  <c r="N317" i="8"/>
  <c r="N340" i="8"/>
  <c r="N365" i="8"/>
  <c r="M365" i="8"/>
  <c r="N455" i="8"/>
  <c r="M455" i="8"/>
  <c r="N492" i="8"/>
  <c r="M492" i="8"/>
  <c r="N570" i="8"/>
  <c r="M570" i="8"/>
  <c r="N394" i="8"/>
  <c r="M394" i="8"/>
  <c r="M447" i="8"/>
  <c r="M487" i="8"/>
  <c r="N510" i="8"/>
  <c r="M510" i="8"/>
  <c r="N565" i="8"/>
  <c r="M565" i="8"/>
  <c r="N369" i="8"/>
  <c r="M369" i="8"/>
  <c r="M482" i="8"/>
  <c r="N537" i="8"/>
  <c r="M537" i="8"/>
  <c r="N596" i="8"/>
  <c r="M596" i="8"/>
  <c r="M381" i="8"/>
  <c r="M386" i="8"/>
  <c r="M398" i="8"/>
  <c r="M434" i="8"/>
  <c r="N405" i="8"/>
  <c r="M405" i="8"/>
  <c r="N441" i="8"/>
  <c r="M441" i="8"/>
  <c r="N532" i="8"/>
  <c r="M532" i="8"/>
  <c r="N282" i="8"/>
  <c r="M293" i="8"/>
  <c r="M304" i="8"/>
  <c r="M329" i="8"/>
  <c r="M336" i="8"/>
  <c r="M378" i="8"/>
  <c r="N383" i="8"/>
  <c r="M383" i="8"/>
  <c r="N393" i="8"/>
  <c r="M400" i="8"/>
  <c r="M420" i="8"/>
  <c r="M431" i="8"/>
  <c r="M456" i="8"/>
  <c r="N502" i="8"/>
  <c r="M502" i="8"/>
  <c r="N279" i="8"/>
  <c r="M290" i="8"/>
  <c r="M301" i="8"/>
  <c r="M326" i="8"/>
  <c r="M331" i="8"/>
  <c r="M351" i="8"/>
  <c r="M356" i="8"/>
  <c r="M395" i="8"/>
  <c r="N407" i="8"/>
  <c r="M407" i="8"/>
  <c r="N443" i="8"/>
  <c r="M443" i="8"/>
  <c r="N276" i="8"/>
  <c r="N346" i="8"/>
  <c r="N358" i="8"/>
  <c r="M358" i="8"/>
  <c r="M428" i="8"/>
  <c r="M464" i="8"/>
  <c r="N543" i="8"/>
  <c r="M543" i="8"/>
  <c r="M422" i="8"/>
  <c r="M458" i="8"/>
  <c r="N515" i="8"/>
  <c r="M515" i="8"/>
  <c r="N577" i="8"/>
  <c r="M577" i="8"/>
  <c r="M608" i="8"/>
  <c r="N548" i="8"/>
  <c r="M548" i="8"/>
  <c r="N553" i="8"/>
  <c r="M553" i="8"/>
  <c r="N579" i="8"/>
  <c r="M579" i="8"/>
  <c r="M622" i="8"/>
  <c r="N631" i="8"/>
  <c r="M631" i="8"/>
  <c r="N649" i="8"/>
  <c r="M649" i="8"/>
  <c r="N651" i="8"/>
  <c r="M651" i="8"/>
  <c r="N867" i="8"/>
  <c r="M867" i="8"/>
  <c r="N610" i="8"/>
  <c r="M610" i="8"/>
  <c r="N633" i="8"/>
  <c r="M633" i="8"/>
  <c r="M849" i="8"/>
  <c r="N817" i="8"/>
  <c r="M817" i="8"/>
  <c r="N844" i="8"/>
  <c r="M844" i="8"/>
  <c r="N574" i="8"/>
  <c r="M574" i="8"/>
  <c r="M593" i="8"/>
  <c r="M626" i="8"/>
  <c r="N659" i="8"/>
  <c r="M659" i="8"/>
  <c r="N683" i="8"/>
  <c r="M683" i="8"/>
  <c r="N707" i="8"/>
  <c r="M707" i="8"/>
  <c r="N731" i="8"/>
  <c r="M731" i="8"/>
  <c r="M330" i="8"/>
  <c r="M344" i="8"/>
  <c r="M355" i="8"/>
  <c r="M366" i="8"/>
  <c r="M380" i="8"/>
  <c r="M391" i="8"/>
  <c r="M402" i="8"/>
  <c r="M416" i="8"/>
  <c r="M438" i="8"/>
  <c r="M452" i="8"/>
  <c r="M474" i="8"/>
  <c r="M507" i="8"/>
  <c r="M527" i="8"/>
  <c r="N542" i="8"/>
  <c r="M542" i="8"/>
  <c r="N564" i="8"/>
  <c r="M583" i="8"/>
  <c r="M588" i="8"/>
  <c r="N595" i="8"/>
  <c r="M595" i="8"/>
  <c r="N628" i="8"/>
  <c r="M628" i="8"/>
  <c r="M644" i="8"/>
  <c r="N646" i="8"/>
  <c r="M646" i="8"/>
  <c r="M341" i="8"/>
  <c r="M377" i="8"/>
  <c r="M413" i="8"/>
  <c r="M449" i="8"/>
  <c r="M479" i="8"/>
  <c r="M484" i="8"/>
  <c r="M494" i="8"/>
  <c r="N512" i="8"/>
  <c r="M512" i="8"/>
  <c r="N517" i="8"/>
  <c r="M517" i="8"/>
  <c r="M557" i="8"/>
  <c r="N597" i="8"/>
  <c r="M597" i="8"/>
  <c r="M616" i="8"/>
  <c r="N807" i="8"/>
  <c r="M807" i="8"/>
  <c r="N809" i="8"/>
  <c r="M809" i="8"/>
  <c r="N559" i="8"/>
  <c r="M559" i="8"/>
  <c r="M476" i="8"/>
  <c r="N481" i="8"/>
  <c r="M481" i="8"/>
  <c r="M496" i="8"/>
  <c r="M524" i="8"/>
  <c r="M549" i="8"/>
  <c r="M554" i="8"/>
  <c r="N561" i="8"/>
  <c r="M561" i="8"/>
  <c r="M580" i="8"/>
  <c r="M604" i="8"/>
  <c r="N618" i="8"/>
  <c r="M750" i="8"/>
  <c r="M788" i="8"/>
  <c r="N788" i="8"/>
  <c r="N592" i="8"/>
  <c r="M592" i="8"/>
  <c r="N656" i="8"/>
  <c r="M656" i="8"/>
  <c r="N743" i="8"/>
  <c r="M743" i="8"/>
  <c r="N506" i="8"/>
  <c r="M506" i="8"/>
  <c r="N613" i="8"/>
  <c r="M613" i="8"/>
  <c r="N671" i="8"/>
  <c r="M671" i="8"/>
  <c r="N695" i="8"/>
  <c r="M695" i="8"/>
  <c r="N719" i="8"/>
  <c r="M719" i="8"/>
  <c r="N903" i="8"/>
  <c r="M903" i="8"/>
  <c r="N615" i="8"/>
  <c r="M615" i="8"/>
  <c r="N627" i="8"/>
  <c r="N636" i="8"/>
  <c r="N767" i="8"/>
  <c r="M767" i="8"/>
  <c r="N645" i="8"/>
  <c r="M650" i="8"/>
  <c r="M655" i="8"/>
  <c r="N662" i="8"/>
  <c r="M662" i="8"/>
  <c r="M667" i="8"/>
  <c r="N674" i="8"/>
  <c r="M674" i="8"/>
  <c r="M679" i="8"/>
  <c r="N686" i="8"/>
  <c r="M686" i="8"/>
  <c r="M691" i="8"/>
  <c r="N698" i="8"/>
  <c r="M698" i="8"/>
  <c r="M703" i="8"/>
  <c r="N710" i="8"/>
  <c r="M710" i="8"/>
  <c r="M715" i="8"/>
  <c r="N722" i="8"/>
  <c r="M722" i="8"/>
  <c r="M727" i="8"/>
  <c r="N734" i="8"/>
  <c r="M734" i="8"/>
  <c r="M739" i="8"/>
  <c r="M751" i="8"/>
  <c r="N782" i="8"/>
  <c r="M782" i="8"/>
  <c r="N796" i="8"/>
  <c r="M796" i="8"/>
  <c r="N803" i="8"/>
  <c r="M803" i="8"/>
  <c r="N854" i="8"/>
  <c r="M854" i="8"/>
  <c r="N886" i="8"/>
  <c r="M886" i="8"/>
  <c r="M637" i="8"/>
  <c r="M741" i="8"/>
  <c r="M753" i="8"/>
  <c r="M770" i="8"/>
  <c r="N872" i="8"/>
  <c r="M872" i="8"/>
  <c r="N962" i="8"/>
  <c r="M962" i="8"/>
  <c r="M784" i="8"/>
  <c r="N824" i="8"/>
  <c r="N858" i="8"/>
  <c r="N890" i="8"/>
  <c r="M890" i="8"/>
  <c r="N908" i="8"/>
  <c r="M908" i="8"/>
  <c r="N835" i="8"/>
  <c r="M835" i="8"/>
  <c r="N837" i="8"/>
  <c r="M837" i="8"/>
  <c r="N926" i="8"/>
  <c r="M926" i="8"/>
  <c r="N980" i="8"/>
  <c r="M980" i="8"/>
  <c r="N668" i="8"/>
  <c r="M668" i="8"/>
  <c r="N680" i="8"/>
  <c r="M680" i="8"/>
  <c r="N692" i="8"/>
  <c r="M692" i="8"/>
  <c r="N704" i="8"/>
  <c r="M704" i="8"/>
  <c r="N716" i="8"/>
  <c r="M716" i="8"/>
  <c r="N728" i="8"/>
  <c r="M728" i="8"/>
  <c r="N740" i="8"/>
  <c r="M740" i="8"/>
  <c r="N781" i="8"/>
  <c r="M781" i="8"/>
  <c r="N802" i="8"/>
  <c r="M802" i="8"/>
  <c r="N828" i="8"/>
  <c r="M828" i="8"/>
  <c r="N853" i="8"/>
  <c r="M853" i="8"/>
  <c r="N855" i="8"/>
  <c r="M855" i="8"/>
  <c r="M663" i="8"/>
  <c r="M675" i="8"/>
  <c r="M687" i="8"/>
  <c r="M699" i="8"/>
  <c r="M711" i="8"/>
  <c r="M723" i="8"/>
  <c r="M735" i="8"/>
  <c r="M747" i="8"/>
  <c r="M759" i="8"/>
  <c r="N771" i="8"/>
  <c r="M771" i="8"/>
  <c r="N871" i="8"/>
  <c r="M871" i="8"/>
  <c r="N873" i="8"/>
  <c r="M873" i="8"/>
  <c r="M880" i="8"/>
  <c r="M898" i="8"/>
  <c r="M921" i="8"/>
  <c r="M975" i="8"/>
  <c r="M773" i="8"/>
  <c r="N891" i="8"/>
  <c r="M891" i="8"/>
  <c r="N998" i="8"/>
  <c r="M998" i="8"/>
  <c r="M500" i="8"/>
  <c r="M536" i="8"/>
  <c r="M571" i="8"/>
  <c r="M589" i="8"/>
  <c r="M607" i="8"/>
  <c r="M625" i="8"/>
  <c r="M643" i="8"/>
  <c r="N653" i="8"/>
  <c r="M653" i="8"/>
  <c r="M658" i="8"/>
  <c r="N665" i="8"/>
  <c r="M665" i="8"/>
  <c r="M670" i="8"/>
  <c r="N677" i="8"/>
  <c r="M677" i="8"/>
  <c r="M682" i="8"/>
  <c r="N689" i="8"/>
  <c r="M689" i="8"/>
  <c r="M694" i="8"/>
  <c r="N701" i="8"/>
  <c r="M701" i="8"/>
  <c r="M706" i="8"/>
  <c r="N713" i="8"/>
  <c r="M713" i="8"/>
  <c r="M718" i="8"/>
  <c r="N725" i="8"/>
  <c r="M725" i="8"/>
  <c r="M730" i="8"/>
  <c r="N737" i="8"/>
  <c r="M737" i="8"/>
  <c r="M742" i="8"/>
  <c r="M754" i="8"/>
  <c r="N766" i="8"/>
  <c r="M766" i="8"/>
  <c r="N792" i="8"/>
  <c r="M792" i="8"/>
  <c r="N818" i="8"/>
  <c r="M818" i="8"/>
  <c r="N832" i="8"/>
  <c r="M832" i="8"/>
  <c r="M916" i="8"/>
  <c r="N944" i="8"/>
  <c r="M944" i="8"/>
  <c r="N850" i="8"/>
  <c r="M850" i="8"/>
  <c r="M640" i="8"/>
  <c r="N836" i="8"/>
  <c r="M836" i="8"/>
  <c r="N868" i="8"/>
  <c r="M868" i="8"/>
  <c r="M939" i="8"/>
  <c r="M993" i="8"/>
  <c r="C15" i="9"/>
  <c r="D15" i="9" s="1"/>
  <c r="G15" i="9"/>
  <c r="M746" i="8"/>
  <c r="M749" i="8"/>
  <c r="M752" i="8"/>
  <c r="M755" i="8"/>
  <c r="M758" i="8"/>
  <c r="M761" i="8"/>
  <c r="M775" i="8"/>
  <c r="M786" i="8"/>
  <c r="M797" i="8"/>
  <c r="M811" i="8"/>
  <c r="M822" i="8"/>
  <c r="M833" i="8"/>
  <c r="M851" i="8"/>
  <c r="M869" i="8"/>
  <c r="M887" i="8"/>
  <c r="M905" i="8"/>
  <c r="M923" i="8"/>
  <c r="M941" i="8"/>
  <c r="M959" i="8"/>
  <c r="M977" i="8"/>
  <c r="M995" i="8"/>
  <c r="M772" i="8"/>
  <c r="M808" i="8"/>
  <c r="M838" i="8"/>
  <c r="M856" i="8"/>
  <c r="M874" i="8"/>
  <c r="M892" i="8"/>
  <c r="M910" i="8"/>
  <c r="M889" i="8"/>
  <c r="M894" i="8"/>
  <c r="M907" i="8"/>
  <c r="M912" i="8"/>
  <c r="M930" i="8"/>
  <c r="M948" i="8"/>
  <c r="M966" i="8"/>
  <c r="M984" i="8"/>
  <c r="M1002" i="8"/>
  <c r="M899" i="8"/>
  <c r="M917" i="8"/>
  <c r="M935" i="8"/>
  <c r="M953" i="8"/>
  <c r="M971" i="8"/>
  <c r="M989" i="8"/>
  <c r="C17" i="9"/>
  <c r="D17" i="9" s="1"/>
  <c r="B19" i="9"/>
  <c r="C19" i="9"/>
  <c r="B14" i="11"/>
  <c r="B17" i="11"/>
  <c r="G17" i="9"/>
  <c r="B18" i="11"/>
  <c r="B19" i="11"/>
  <c r="F18" i="9" l="1"/>
  <c r="E18" i="9"/>
  <c r="D19" i="9"/>
  <c r="F19" i="9" s="1"/>
  <c r="D14" i="9"/>
  <c r="F17" i="11"/>
  <c r="D13" i="9"/>
  <c r="E16" i="9"/>
  <c r="F16" i="9"/>
  <c r="F14" i="11"/>
  <c r="F15" i="9"/>
  <c r="E15" i="9"/>
  <c r="F17" i="9"/>
  <c r="E17" i="9"/>
  <c r="F15" i="11"/>
  <c r="F18" i="11"/>
  <c r="F16" i="11"/>
  <c r="B22" i="9" l="1"/>
  <c r="E19" i="9"/>
  <c r="F14" i="9"/>
  <c r="E14" i="9"/>
  <c r="E13" i="9"/>
  <c r="F13" i="9"/>
  <c r="E22" i="9" l="1"/>
  <c r="B24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4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Enter the school's admission number. Student ID is generated automatically.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G4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Use School for normal Saturday/Sunday tuition and Vacation for Monday-Wednesday vacation attendance.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4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Enter the raw CA mark from 0 to 100. The system applies the 30% CA weight.</t>
        </r>
      </text>
    </comment>
    <comment ref="I4" authorId="0" shapeId="0" xr:uid="{00000000-0006-0000-0700-000002000000}">
      <text>
        <r>
          <rPr>
            <sz val="11"/>
            <color theme="1"/>
            <rFont val="Calibri"/>
            <family val="2"/>
            <scheme val="minor"/>
          </rPr>
          <t>Enter the raw exam mark from 0 to 100. The system applies the 70% exam weight.</t>
        </r>
      </text>
    </comment>
  </commentList>
</comments>
</file>

<file path=xl/sharedStrings.xml><?xml version="1.0" encoding="utf-8"?>
<sst xmlns="http://schemas.openxmlformats.org/spreadsheetml/2006/main" count="524" uniqueCount="250">
  <si>
    <t>MNA Management System</t>
  </si>
  <si>
    <t>Madrasatul Nurul Absear • Private Basic Islamic School • Ghana</t>
  </si>
  <si>
    <t>Area</t>
  </si>
  <si>
    <t>What to do</t>
  </si>
  <si>
    <t>Purpose</t>
  </si>
  <si>
    <t>A single-workbook management system for student records, staff, attendance, fees, results, report cards, receipts and dashboards.</t>
  </si>
  <si>
    <t>1. Configure</t>
  </si>
  <si>
    <t>Open SETTINGS first. Enter your six class names, academic year, school details and any fee/exam charges.</t>
  </si>
  <si>
    <t>2. Register</t>
  </si>
  <si>
    <t>Enter every student once in STUDENTS. The system creates a Student ID automatically from the admission number.</t>
  </si>
  <si>
    <t>3. Teachers</t>
  </si>
  <si>
    <t>Enter administrator/teacher records in TEACHERS and assign subjects/classes.</t>
  </si>
  <si>
    <t>4. Fees</t>
  </si>
  <si>
    <t>Record each student's daily tuition in FEES. Saturday/Sunday = GH₵5/day; vacation Monday-Wednesday = GH₵3/day. Examination payments go in EXAM FEES.</t>
  </si>
  <si>
    <t>5. Attendance</t>
  </si>
  <si>
    <t>Use ATTENDANCE for daily Present/Absent records. Summary is calculated automatically.</t>
  </si>
  <si>
    <t>6. Results</t>
  </si>
  <si>
    <t>The administrator enters CA and Exam marks in RESULTS. CA is 30%; Exam is 70%. Marks above 100 are blocked.</t>
  </si>
  <si>
    <t>7. Report card</t>
  </si>
  <si>
    <t>Choose a Student ID and academic period on REPORT CARD. The page pulls results, attendance and remarks automatically and is formatted for printing.</t>
  </si>
  <si>
    <t>8. Dashboard</t>
  </si>
  <si>
    <t>DASHBOARD gives a management overview of enrollment, attendance, fees and academic performance.</t>
  </si>
  <si>
    <t>Security</t>
  </si>
  <si>
    <t>Sheet protection is included as a basic barrier. It is not equivalent to database security. Change the protection password before operational use.</t>
  </si>
  <si>
    <t>Built for Microsoft Excel on Windows. No macros are required for the core system.</t>
  </si>
  <si>
    <t>SETTINGS</t>
  </si>
  <si>
    <t>Edit the green input cells. These values drive the rest of the workbook.</t>
  </si>
  <si>
    <t>Setting</t>
  </si>
  <si>
    <t>Value</t>
  </si>
  <si>
    <t>Notes</t>
  </si>
  <si>
    <t>School Name</t>
  </si>
  <si>
    <t>Madrasatul Nurul Absear</t>
  </si>
  <si>
    <t>Official school name</t>
  </si>
  <si>
    <t>System Name</t>
  </si>
  <si>
    <t>Workbook title</t>
  </si>
  <si>
    <t>Country</t>
  </si>
  <si>
    <t>Ghana</t>
  </si>
  <si>
    <t>Education system</t>
  </si>
  <si>
    <t>Academic Year</t>
  </si>
  <si>
    <t>2026/2027</t>
  </si>
  <si>
    <t>Change each academic year</t>
  </si>
  <si>
    <t>CA Weight</t>
  </si>
  <si>
    <t>Continuous Assessment</t>
  </si>
  <si>
    <t>Exam Weight</t>
  </si>
  <si>
    <t>Final examination</t>
  </si>
  <si>
    <t>Saturday Tuition</t>
  </si>
  <si>
    <t>GH₵ per student per day</t>
  </si>
  <si>
    <t>Sunday Tuition</t>
  </si>
  <si>
    <t>Vacation Mon-Wed Tuition</t>
  </si>
  <si>
    <t>Currency</t>
  </si>
  <si>
    <t>GH₵</t>
  </si>
  <si>
    <t>Display currency</t>
  </si>
  <si>
    <t>Protection Password</t>
  </si>
  <si>
    <t>MNA2026</t>
  </si>
  <si>
    <t>Change this password</t>
  </si>
  <si>
    <t>No.</t>
  </si>
  <si>
    <t>Class Name</t>
  </si>
  <si>
    <t>Subject</t>
  </si>
  <si>
    <t>Applies To</t>
  </si>
  <si>
    <t>Class 1</t>
  </si>
  <si>
    <t>Arabic Alphabet</t>
  </si>
  <si>
    <t>All Classes</t>
  </si>
  <si>
    <t>Class 2</t>
  </si>
  <si>
    <t>Quran</t>
  </si>
  <si>
    <t>Class 3</t>
  </si>
  <si>
    <t>Arabic Language</t>
  </si>
  <si>
    <t>Class 4</t>
  </si>
  <si>
    <t>Hadith</t>
  </si>
  <si>
    <t>Class 5</t>
  </si>
  <si>
    <t>Seerat</t>
  </si>
  <si>
    <t>Class 6</t>
  </si>
  <si>
    <t>Tajweed</t>
  </si>
  <si>
    <t>Fiqh</t>
  </si>
  <si>
    <t>STUDENT REGISTER</t>
  </si>
  <si>
    <t>Master student database • enter one row per student</t>
  </si>
  <si>
    <t>Student ID</t>
  </si>
  <si>
    <t>Admission No.</t>
  </si>
  <si>
    <t>Full Name</t>
  </si>
  <si>
    <t>Photograph / File Path</t>
  </si>
  <si>
    <t>Gender</t>
  </si>
  <si>
    <t>Date of Birth</t>
  </si>
  <si>
    <t>Address</t>
  </si>
  <si>
    <t>Contact</t>
  </si>
  <si>
    <t>Parent / Guardian</t>
  </si>
  <si>
    <t>Emergency Contact</t>
  </si>
  <si>
    <t>Date Admitted</t>
  </si>
  <si>
    <t>Class</t>
  </si>
  <si>
    <t>Status</t>
  </si>
  <si>
    <t>Current Academic Year</t>
  </si>
  <si>
    <t>Search Key</t>
  </si>
  <si>
    <t>TEACHERS &amp; STAFF</t>
  </si>
  <si>
    <t>Teacher records and teaching assignments</t>
  </si>
  <si>
    <t>Teacher ID</t>
  </si>
  <si>
    <t>Name</t>
  </si>
  <si>
    <t>Date Joined</t>
  </si>
  <si>
    <t>DAILY TUITION LEDGER</t>
  </si>
  <si>
    <t>Record actual attendance/tuition days. Saturday &amp; Sunday default to GH₵5; vacation Mon-Wed default to GH₵3.</t>
  </si>
  <si>
    <t>Transaction ID</t>
  </si>
  <si>
    <t>Date</t>
  </si>
  <si>
    <t>Student Name</t>
  </si>
  <si>
    <t>Day</t>
  </si>
  <si>
    <t>School/Vacation</t>
  </si>
  <si>
    <t>Rate (GH₵)</t>
  </si>
  <si>
    <t>Amount Paid (GH₵)</t>
  </si>
  <si>
    <t>Balance / Note</t>
  </si>
  <si>
    <t>EXAMINATION FEES</t>
  </si>
  <si>
    <t>Only examination payments are receipted here.</t>
  </si>
  <si>
    <t>Receipt No.</t>
  </si>
  <si>
    <t>Exam / Term</t>
  </si>
  <si>
    <t>Amount Due (GH₵)</t>
  </si>
  <si>
    <t>Balance (GH₵)</t>
  </si>
  <si>
    <t>ATTENDANCE</t>
  </si>
  <si>
    <t>Daily Present/Absent register. Enter one record per student per day.</t>
  </si>
  <si>
    <t>Record ID</t>
  </si>
  <si>
    <t>Present Days</t>
  </si>
  <si>
    <t>Absent Days</t>
  </si>
  <si>
    <t>Attendance %</t>
  </si>
  <si>
    <t>RESULTS ENTRY</t>
  </si>
  <si>
    <t>Administrator-only result entry • CA 30% + Exam 70% • marks must be 0–100</t>
  </si>
  <si>
    <t>Result ID</t>
  </si>
  <si>
    <t>Term</t>
  </si>
  <si>
    <t>CA Mark</t>
  </si>
  <si>
    <t>Exam Mark</t>
  </si>
  <si>
    <t>Weighted CA</t>
  </si>
  <si>
    <t>Weighted Exam</t>
  </si>
  <si>
    <t>Total</t>
  </si>
  <si>
    <t>Grade</t>
  </si>
  <si>
    <t>Position</t>
  </si>
  <si>
    <t>Teacher Remark</t>
  </si>
  <si>
    <t>MNA REPORT CARD</t>
  </si>
  <si>
    <t>Select a Student ID and term below. The report pulls results and attendance automatically.</t>
  </si>
  <si>
    <t>Attendance</t>
  </si>
  <si>
    <t>CA (30%)</t>
  </si>
  <si>
    <t>Exam (70%)</t>
  </si>
  <si>
    <t>Overall Average</t>
  </si>
  <si>
    <t>Overall Grade</t>
  </si>
  <si>
    <t>Teacher's General Remark</t>
  </si>
  <si>
    <t>Administrator's Signature: ______________________________</t>
  </si>
  <si>
    <t>Date: __________________</t>
  </si>
  <si>
    <t>EXAMINATION FEE RECEIPT</t>
  </si>
  <si>
    <t>Printable receipt • enter/select a Receipt No.</t>
  </si>
  <si>
    <t>Amount Paid</t>
  </si>
  <si>
    <t>Received with thanks for examination fees.</t>
  </si>
  <si>
    <t>Administrator: ______________________________</t>
  </si>
  <si>
    <t>MNA MANAGEMENT DASHBOARD</t>
  </si>
  <si>
    <t>Management overview • formulas update when records are entered</t>
  </si>
  <si>
    <t>Total Students</t>
  </si>
  <si>
    <t>Active Students</t>
  </si>
  <si>
    <t>Teachers</t>
  </si>
  <si>
    <t>Fees Collected</t>
  </si>
  <si>
    <t>Outstanding Exam Fees</t>
  </si>
  <si>
    <t>Results Entered</t>
  </si>
  <si>
    <t>Average Result</t>
  </si>
  <si>
    <t>ENROLLMENT BY CLASS</t>
  </si>
  <si>
    <t>GRADE DISTRIBUTION</t>
  </si>
  <si>
    <t>Count</t>
  </si>
  <si>
    <t>A</t>
  </si>
  <si>
    <t>B</t>
  </si>
  <si>
    <t>C</t>
  </si>
  <si>
    <t>D</t>
  </si>
  <si>
    <t>F</t>
  </si>
  <si>
    <t>Mariam Abdul Wasiu</t>
  </si>
  <si>
    <t>PARENT</t>
  </si>
  <si>
    <t>Active</t>
  </si>
  <si>
    <t>Abdul Wahab Usmanu</t>
  </si>
  <si>
    <t>Female</t>
  </si>
  <si>
    <t>Male</t>
  </si>
  <si>
    <t>Adama Jallo</t>
  </si>
  <si>
    <t>Marzooq Wakilu</t>
  </si>
  <si>
    <t>Jawhar Adam Dawuni</t>
  </si>
  <si>
    <t>Amina Yahaya</t>
  </si>
  <si>
    <t>GUARDIAN</t>
  </si>
  <si>
    <t>Fatima Mohammed</t>
  </si>
  <si>
    <t>Fuseini Sumaila</t>
  </si>
  <si>
    <t>Mohammed Mukafa</t>
  </si>
  <si>
    <t>Rahanatu Kujo Rabiu</t>
  </si>
  <si>
    <t>Abdul Hayyu Ibrahim</t>
  </si>
  <si>
    <t>Ayishetu Abdul Fatawu</t>
  </si>
  <si>
    <t>Mohammed Mudasir Kassim</t>
  </si>
  <si>
    <t>Abdul Rahman Yakubu</t>
  </si>
  <si>
    <t xml:space="preserve">Tofiq Mohammed </t>
  </si>
  <si>
    <t>Mustafa Abubakar</t>
  </si>
  <si>
    <t>Abdul Muhaimin</t>
  </si>
  <si>
    <t xml:space="preserve">Rashida Mohammed </t>
  </si>
  <si>
    <t>Rukaya Mohammed</t>
  </si>
  <si>
    <t>Farida Abdul Rashid</t>
  </si>
  <si>
    <t>Hayat Abubakar</t>
  </si>
  <si>
    <t>Widad Ibrahim</t>
  </si>
  <si>
    <t>Faruk Abubakar</t>
  </si>
  <si>
    <t>Hidr Mustafa</t>
  </si>
  <si>
    <t>Hussein Humu</t>
  </si>
  <si>
    <t>Mustapha Abubakar</t>
  </si>
  <si>
    <t>Mariam Awal</t>
  </si>
  <si>
    <t>Alhassan Abdullah</t>
  </si>
  <si>
    <t>Ibrahim Mubarik</t>
  </si>
  <si>
    <t>Ibrahim Umar</t>
  </si>
  <si>
    <t>Abdul Majid Fatawu</t>
  </si>
  <si>
    <t>Al-had Mohammed</t>
  </si>
  <si>
    <t>Mohammed Fadiga</t>
  </si>
  <si>
    <t>Abdul Rahman Abdul Fatawu</t>
  </si>
  <si>
    <t>Salamatu Jallo</t>
  </si>
  <si>
    <t>Salma Salifu</t>
  </si>
  <si>
    <t>Samira Abubakar</t>
  </si>
  <si>
    <t>Fadila Mudasir</t>
  </si>
  <si>
    <t>Ayisha Zayyanu</t>
  </si>
  <si>
    <t>Hadija Mohammad</t>
  </si>
  <si>
    <t>Alima Mubarik</t>
  </si>
  <si>
    <t>Hafsah Issah</t>
  </si>
  <si>
    <t>MNA1</t>
  </si>
  <si>
    <t>MNA2</t>
  </si>
  <si>
    <t>MNA3</t>
  </si>
  <si>
    <t>MNA4</t>
  </si>
  <si>
    <t>MNA5</t>
  </si>
  <si>
    <t>MNA6</t>
  </si>
  <si>
    <t>MNA7</t>
  </si>
  <si>
    <t>MNA8</t>
  </si>
  <si>
    <t>MNA9</t>
  </si>
  <si>
    <t>MNA10</t>
  </si>
  <si>
    <t>MNA11</t>
  </si>
  <si>
    <t>MNA12</t>
  </si>
  <si>
    <t>MNA13</t>
  </si>
  <si>
    <t>MNA14</t>
  </si>
  <si>
    <t>MNA15</t>
  </si>
  <si>
    <t>MNA16</t>
  </si>
  <si>
    <t>MNA17</t>
  </si>
  <si>
    <t>MNA18</t>
  </si>
  <si>
    <t>MNA19</t>
  </si>
  <si>
    <t>MNA20</t>
  </si>
  <si>
    <t>MNA21</t>
  </si>
  <si>
    <t>MNA22</t>
  </si>
  <si>
    <t>MNA23</t>
  </si>
  <si>
    <t>MNA24</t>
  </si>
  <si>
    <t>MNA25</t>
  </si>
  <si>
    <t>MNA26</t>
  </si>
  <si>
    <t>MNA27</t>
  </si>
  <si>
    <t>MNA28</t>
  </si>
  <si>
    <t>MNA29</t>
  </si>
  <si>
    <t>MNA30</t>
  </si>
  <si>
    <t>MNA31</t>
  </si>
  <si>
    <t>MNA32</t>
  </si>
  <si>
    <t>MNA33</t>
  </si>
  <si>
    <t>MNA34</t>
  </si>
  <si>
    <t>MNA35</t>
  </si>
  <si>
    <t>MNA36</t>
  </si>
  <si>
    <t>MNA37</t>
  </si>
  <si>
    <t>MNA38</t>
  </si>
  <si>
    <t>MNA39</t>
  </si>
  <si>
    <t>MNA40</t>
  </si>
  <si>
    <t>MNA41</t>
  </si>
  <si>
    <t>MNA42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</si>
</sst>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yy"/>
    <numFmt numFmtId="165" formatCode="&quot;GH₵&quot;\ #,##0.00"/>
    <numFmt numFmtId="166" formatCode="0.0%"/>
  </numFmts>
  <fonts count="12" x14ac:knownFonts="1">
    <font>
      <sz val="11"/>
      <color theme="1"/>
      <name val="Calibri"/>
      <family val="2"/>
      <scheme val="minor"/>
    </font>
    <font>
      <b/>
      <sz val="20"/>
      <color rgb="FFFFFFFF"/>
      <name val="Calibri"/>
      <family val="2"/>
    </font>
    <font>
      <i/>
      <sz val="10"/>
      <color rgb="FF164A31"/>
      <name val="Calibri"/>
      <family val="2"/>
    </font>
    <font>
      <b/>
      <sz val="11"/>
      <color rgb="FFFFFFFF"/>
      <name val="Calibri"/>
      <family val="2"/>
    </font>
    <font>
      <b/>
      <sz val="11"/>
      <color rgb="FF164A31"/>
      <name val="Calibri"/>
      <family val="2"/>
    </font>
    <font>
      <b/>
      <sz val="11"/>
      <color rgb="FF1F6B45"/>
      <name val="Calibri"/>
      <family val="2"/>
    </font>
    <font>
      <b/>
      <sz val="14"/>
      <color rgb="FF1F6B45"/>
      <name val="Calibri"/>
      <family val="2"/>
    </font>
    <font>
      <b/>
      <sz val="13"/>
      <color rgb="FF1F6B45"/>
      <name val="Calibri"/>
      <family val="2"/>
    </font>
    <font>
      <b/>
      <sz val="12"/>
      <color rgb="FF1F6B45"/>
      <name val="Calibri"/>
      <family val="2"/>
    </font>
    <font>
      <b/>
      <sz val="11"/>
      <color rgb="FFFFFFFF"/>
      <name val="Calibri"/>
      <family val="2"/>
    </font>
    <font>
      <b/>
      <sz val="18"/>
      <color rgb="FF1F6B45"/>
      <name val="Calibri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6B45"/>
      </patternFill>
    </fill>
    <fill>
      <patternFill patternType="solid">
        <fgColor rgb="FFE2F0E9"/>
      </patternFill>
    </fill>
    <fill>
      <patternFill patternType="solid">
        <fgColor rgb="FF164A31"/>
      </patternFill>
    </fill>
    <fill>
      <patternFill patternType="solid">
        <fgColor rgb="FFF3F9F6"/>
      </patternFill>
    </fill>
  </fills>
  <borders count="8">
    <border>
      <left/>
      <right/>
      <top/>
      <bottom/>
      <diagonal/>
    </border>
    <border>
      <left style="thin">
        <color rgb="FFD9E2DE"/>
      </left>
      <right style="thin">
        <color rgb="FFD9E2DE"/>
      </right>
      <top style="thin">
        <color rgb="FFD9E2DE"/>
      </top>
      <bottom style="thin">
        <color rgb="FFD9E2DE"/>
      </bottom>
      <diagonal/>
    </border>
    <border>
      <left/>
      <right/>
      <top style="thin">
        <color rgb="FFD9E2DE"/>
      </top>
      <bottom/>
      <diagonal/>
    </border>
    <border>
      <left/>
      <right style="thin">
        <color rgb="FFD9E2DE"/>
      </right>
      <top style="thin">
        <color rgb="FFD9E2DE"/>
      </top>
      <bottom/>
      <diagonal/>
    </border>
    <border>
      <left/>
      <right style="thin">
        <color rgb="FFD9E2DE"/>
      </right>
      <top style="thin">
        <color rgb="FFD9E2DE"/>
      </top>
      <bottom style="thin">
        <color rgb="FFD9E2DE"/>
      </bottom>
      <diagonal/>
    </border>
    <border>
      <left style="thin">
        <color rgb="FFD9E2DE"/>
      </left>
      <right/>
      <top/>
      <bottom style="thin">
        <color rgb="FFD9E2DE"/>
      </bottom>
      <diagonal/>
    </border>
    <border>
      <left/>
      <right/>
      <top/>
      <bottom style="thin">
        <color rgb="FFD9E2DE"/>
      </bottom>
      <diagonal/>
    </border>
    <border>
      <left/>
      <right style="thin">
        <color rgb="FFD9E2DE"/>
      </right>
      <top/>
      <bottom style="thin">
        <color rgb="FFD9E2DE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4" fillId="0" borderId="0" xfId="0" applyFont="1"/>
    <xf numFmtId="0" fontId="4" fillId="5" borderId="1" xfId="0" applyFont="1" applyFill="1" applyBorder="1" applyAlignment="1" applyProtection="1">
      <alignment vertical="center" wrapText="1"/>
      <protection locked="0"/>
    </xf>
    <xf numFmtId="0" fontId="0" fillId="5" borderId="1" xfId="0" applyFill="1" applyBorder="1" applyAlignment="1" applyProtection="1">
      <alignment vertical="center" wrapText="1"/>
      <protection locked="0"/>
    </xf>
    <xf numFmtId="0" fontId="5" fillId="0" borderId="1" xfId="0" applyFont="1" applyBorder="1"/>
    <xf numFmtId="0" fontId="0" fillId="0" borderId="1" xfId="0" applyBorder="1" applyProtection="1">
      <protection locked="0"/>
    </xf>
    <xf numFmtId="164" fontId="0" fillId="0" borderId="1" xfId="0" applyNumberFormat="1" applyBorder="1" applyProtection="1">
      <protection locked="0"/>
    </xf>
    <xf numFmtId="0" fontId="0" fillId="0" borderId="1" xfId="0" applyBorder="1"/>
    <xf numFmtId="165" fontId="0" fillId="0" borderId="1" xfId="0" applyNumberFormat="1" applyBorder="1"/>
    <xf numFmtId="165" fontId="0" fillId="0" borderId="1" xfId="0" applyNumberFormat="1" applyBorder="1" applyProtection="1">
      <protection locked="0"/>
    </xf>
    <xf numFmtId="166" fontId="0" fillId="0" borderId="1" xfId="0" applyNumberFormat="1" applyBorder="1"/>
    <xf numFmtId="2" fontId="0" fillId="0" borderId="1" xfId="0" applyNumberFormat="1" applyBorder="1" applyProtection="1">
      <protection locked="0"/>
    </xf>
    <xf numFmtId="2" fontId="0" fillId="0" borderId="1" xfId="0" applyNumberFormat="1" applyBorder="1"/>
    <xf numFmtId="0" fontId="0" fillId="5" borderId="1" xfId="0" applyFill="1" applyBorder="1" applyProtection="1">
      <protection locked="0"/>
    </xf>
    <xf numFmtId="0" fontId="7" fillId="0" borderId="0" xfId="0" applyFont="1"/>
    <xf numFmtId="0" fontId="3" fillId="4" borderId="1" xfId="0" applyFont="1" applyFill="1" applyBorder="1"/>
    <xf numFmtId="2" fontId="8" fillId="0" borderId="1" xfId="0" applyNumberFormat="1" applyFont="1" applyBorder="1"/>
    <xf numFmtId="0" fontId="8" fillId="0" borderId="1" xfId="0" applyFont="1" applyBorder="1"/>
    <xf numFmtId="166" fontId="8" fillId="0" borderId="1" xfId="0" applyNumberFormat="1" applyFont="1" applyBorder="1"/>
    <xf numFmtId="164" fontId="0" fillId="0" borderId="1" xfId="0" applyNumberFormat="1" applyBorder="1"/>
    <xf numFmtId="0" fontId="6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0" fillId="0" borderId="1" xfId="0" applyBorder="1" applyAlignment="1">
      <alignment vertical="top" wrapText="1"/>
    </xf>
    <xf numFmtId="0" fontId="0" fillId="0" borderId="2" xfId="0" applyBorder="1"/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6" fillId="0" borderId="0" xfId="0" applyFont="1" applyAlignment="1">
      <alignment horizontal="center" vertical="center"/>
    </xf>
    <xf numFmtId="165" fontId="10" fillId="5" borderId="1" xfId="0" applyNumberFormat="1" applyFont="1" applyFill="1" applyBorder="1" applyAlignment="1">
      <alignment horizontal="center"/>
    </xf>
    <xf numFmtId="0" fontId="0" fillId="0" borderId="4" xfId="0" applyBorder="1"/>
    <xf numFmtId="0" fontId="10" fillId="5" borderId="1" xfId="0" applyFont="1" applyFill="1" applyBorder="1" applyAlignment="1">
      <alignment horizontal="center"/>
    </xf>
    <xf numFmtId="166" fontId="10" fillId="5" borderId="1" xfId="0" applyNumberFormat="1" applyFont="1" applyFill="1" applyBorder="1" applyAlignment="1">
      <alignment horizontal="center"/>
    </xf>
    <xf numFmtId="0" fontId="9" fillId="4" borderId="0" xfId="0" applyFont="1" applyFill="1" applyAlignment="1">
      <alignment horizontal="center"/>
    </xf>
    <xf numFmtId="2" fontId="10" fillId="5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2">
    <dxf>
      <fill>
        <patternFill patternType="solid">
          <fgColor rgb="FFF4CCCC"/>
        </patternFill>
      </fill>
    </dxf>
    <dxf>
      <fill>
        <patternFill patternType="solid">
          <fgColor rgb="FFFCE4D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Students by Class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DASHBOARD!$B$13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DASHBOARD!$A$14:$A$19</c:f>
              <c:strCache>
                <c:ptCount val="6"/>
                <c:pt idx="0">
                  <c:v>Class 1</c:v>
                </c:pt>
                <c:pt idx="1">
                  <c:v>Class 2</c:v>
                </c:pt>
                <c:pt idx="2">
                  <c:v>Class 3</c:v>
                </c:pt>
                <c:pt idx="3">
                  <c:v>Class 4</c:v>
                </c:pt>
                <c:pt idx="4">
                  <c:v>Class 5</c:v>
                </c:pt>
                <c:pt idx="5">
                  <c:v>Class 6</c:v>
                </c:pt>
              </c:strCache>
            </c:strRef>
          </c:cat>
          <c:val>
            <c:numRef>
              <c:f>DASHBOARD!$B$14:$B$19</c:f>
              <c:numCache>
                <c:formatCode>General</c:formatCode>
                <c:ptCount val="6"/>
                <c:pt idx="0">
                  <c:v>0</c:v>
                </c:pt>
                <c:pt idx="1">
                  <c:v>15</c:v>
                </c:pt>
                <c:pt idx="2">
                  <c:v>10</c:v>
                </c:pt>
                <c:pt idx="3">
                  <c:v>10</c:v>
                </c:pt>
                <c:pt idx="4">
                  <c:v>7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02-462C-8B30-898A8658C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Class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Students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Grade Distribution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DASHBOARD!$F$13</c:f>
              <c:strCache>
                <c:ptCount val="1"/>
              </c:strCache>
            </c:strRef>
          </c:tx>
          <c:spPr>
            <a:ln>
              <a:prstDash val="solid"/>
            </a:ln>
          </c:spPr>
          <c:cat>
            <c:strRef>
              <c:f>DASHBOARD!$E$14:$E$18</c:f>
              <c:strCache>
                <c:ptCount val="5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F</c:v>
                </c:pt>
              </c:strCache>
            </c:strRef>
          </c:cat>
          <c:val>
            <c:numRef>
              <c:f>DASHBOARD!$F$14:$F$18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55-4C87-9950-299A9E0054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21</xdr:row>
      <xdr:rowOff>0</xdr:rowOff>
    </xdr:from>
    <xdr:ext cx="396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21</xdr:row>
      <xdr:rowOff>0</xdr:rowOff>
    </xdr:from>
    <xdr:ext cx="3240000" cy="252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eachersTable" displayName="TeachersTable" ref="A4:H24">
  <autoFilter ref="A4:H24" xr:uid="{00000000-0009-0000-0100-000002000000}"/>
  <tableColumns count="8">
    <tableColumn id="1" xr3:uid="{00000000-0010-0000-0100-000001000000}" name="Teacher ID"/>
    <tableColumn id="2" xr3:uid="{00000000-0010-0000-0100-000002000000}" name="Name"/>
    <tableColumn id="3" xr3:uid="{00000000-0010-0000-0100-000003000000}" name="Class"/>
    <tableColumn id="4" xr3:uid="{00000000-0010-0000-0100-000004000000}" name="Subject"/>
    <tableColumn id="5" xr3:uid="{00000000-0010-0000-0100-000005000000}" name="Status"/>
    <tableColumn id="6" xr3:uid="{00000000-0010-0000-0100-000006000000}" name="Contact"/>
    <tableColumn id="7" xr3:uid="{00000000-0010-0000-0100-000007000000}" name="Date Joined"/>
    <tableColumn id="8" xr3:uid="{00000000-0010-0000-0100-000008000000}" name="Notes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eesTable" displayName="FeesTable" ref="A4:J1004">
  <autoFilter ref="A4:J1004" xr:uid="{00000000-0009-0000-0100-000003000000}"/>
  <tableColumns count="10">
    <tableColumn id="1" xr3:uid="{00000000-0010-0000-0200-000001000000}" name="Transaction ID"/>
    <tableColumn id="2" xr3:uid="{00000000-0010-0000-0200-000002000000}" name="Date"/>
    <tableColumn id="3" xr3:uid="{00000000-0010-0000-0200-000003000000}" name="Student ID"/>
    <tableColumn id="4" xr3:uid="{00000000-0010-0000-0200-000004000000}" name="Student Name"/>
    <tableColumn id="5" xr3:uid="{00000000-0010-0000-0200-000005000000}" name="Class"/>
    <tableColumn id="6" xr3:uid="{00000000-0010-0000-0200-000006000000}" name="Day"/>
    <tableColumn id="7" xr3:uid="{00000000-0010-0000-0200-000007000000}" name="School/Vacation"/>
    <tableColumn id="8" xr3:uid="{00000000-0010-0000-0200-000008000000}" name="Rate (GH₵)"/>
    <tableColumn id="9" xr3:uid="{00000000-0010-0000-0200-000009000000}" name="Amount Paid (GH₵)"/>
    <tableColumn id="10" xr3:uid="{00000000-0010-0000-0200-00000A000000}" name="Balance / Note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ExamFeesTable" displayName="ExamFeesTable" ref="A4:J404">
  <autoFilter ref="A4:J404" xr:uid="{00000000-0009-0000-0100-000004000000}"/>
  <tableColumns count="10">
    <tableColumn id="1" xr3:uid="{00000000-0010-0000-0300-000001000000}" name="Receipt No."/>
    <tableColumn id="2" xr3:uid="{00000000-0010-0000-0300-000002000000}" name="Date"/>
    <tableColumn id="3" xr3:uid="{00000000-0010-0000-0300-000003000000}" name="Student ID"/>
    <tableColumn id="4" xr3:uid="{00000000-0010-0000-0300-000004000000}" name="Student Name"/>
    <tableColumn id="5" xr3:uid="{00000000-0010-0000-0300-000005000000}" name="Class"/>
    <tableColumn id="6" xr3:uid="{00000000-0010-0000-0300-000006000000}" name="Exam / Term"/>
    <tableColumn id="7" xr3:uid="{00000000-0010-0000-0300-000007000000}" name="Amount Due (GH₵)"/>
    <tableColumn id="8" xr3:uid="{00000000-0010-0000-0300-000008000000}" name="Amount Paid (GH₵)"/>
    <tableColumn id="9" xr3:uid="{00000000-0010-0000-0300-000009000000}" name="Balance (GH₵)"/>
    <tableColumn id="10" xr3:uid="{00000000-0010-0000-0300-00000A000000}" name="Notes"/>
  </tableColumns>
  <tableStyleInfo name="TableStyleMedium4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AttendanceTable" displayName="AttendanceTable" ref="A4:J1204">
  <autoFilter ref="A4:J1204" xr:uid="{00000000-0009-0000-0100-000005000000}"/>
  <tableColumns count="10">
    <tableColumn id="1" xr3:uid="{00000000-0010-0000-0400-000001000000}" name="Record ID"/>
    <tableColumn id="2" xr3:uid="{00000000-0010-0000-0400-000002000000}" name="Date"/>
    <tableColumn id="3" xr3:uid="{00000000-0010-0000-0400-000003000000}" name="Student ID"/>
    <tableColumn id="4" xr3:uid="{00000000-0010-0000-0400-000004000000}" name="Student Name"/>
    <tableColumn id="5" xr3:uid="{00000000-0010-0000-0400-000005000000}" name="Class"/>
    <tableColumn id="6" xr3:uid="{00000000-0010-0000-0400-000006000000}" name="Status"/>
    <tableColumn id="7" xr3:uid="{00000000-0010-0000-0400-000007000000}" name="Academic Year"/>
    <tableColumn id="8" xr3:uid="{00000000-0010-0000-0400-000008000000}" name="Present Days"/>
    <tableColumn id="9" xr3:uid="{00000000-0010-0000-0400-000009000000}" name="Absent Days"/>
    <tableColumn id="10" xr3:uid="{00000000-0010-0000-0400-00000A000000}" name="Attendance %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sultsTable" displayName="ResultsTable" ref="A4:O1004">
  <autoFilter ref="A4:O1004" xr:uid="{00000000-0009-0000-0100-000006000000}"/>
  <tableColumns count="15">
    <tableColumn id="1" xr3:uid="{00000000-0010-0000-0500-000001000000}" name="Result ID"/>
    <tableColumn id="2" xr3:uid="{00000000-0010-0000-0500-000002000000}" name="Academic Year"/>
    <tableColumn id="3" xr3:uid="{00000000-0010-0000-0500-000003000000}" name="Term"/>
    <tableColumn id="4" xr3:uid="{00000000-0010-0000-0500-000004000000}" name="Student ID"/>
    <tableColumn id="5" xr3:uid="{00000000-0010-0000-0500-000005000000}" name="Student Name"/>
    <tableColumn id="6" xr3:uid="{00000000-0010-0000-0500-000006000000}" name="Class"/>
    <tableColumn id="7" xr3:uid="{00000000-0010-0000-0500-000007000000}" name="Subject"/>
    <tableColumn id="8" xr3:uid="{00000000-0010-0000-0500-000008000000}" name="CA Mark"/>
    <tableColumn id="9" xr3:uid="{00000000-0010-0000-0500-000009000000}" name="Exam Mark"/>
    <tableColumn id="10" xr3:uid="{00000000-0010-0000-0500-00000A000000}" name="Weighted CA"/>
    <tableColumn id="11" xr3:uid="{00000000-0010-0000-0500-00000B000000}" name="Weighted Exam"/>
    <tableColumn id="12" xr3:uid="{00000000-0010-0000-0500-00000C000000}" name="Total"/>
    <tableColumn id="13" xr3:uid="{00000000-0010-0000-0500-00000D000000}" name="Grade"/>
    <tableColumn id="14" xr3:uid="{00000000-0010-0000-0500-00000E000000}" name="Position"/>
    <tableColumn id="15" xr3:uid="{00000000-0010-0000-0500-00000F000000}" name="Teacher Remark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table" Target="../tables/table5.xml"/><Relationship Id="rId1" Type="http://schemas.openxmlformats.org/officeDocument/2006/relationships/vmlDrawing" Target="../drawings/vmlDrawing3.v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5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22" customWidth="1"/>
    <col min="2" max="2" width="105" customWidth="1"/>
  </cols>
  <sheetData>
    <row r="1" spans="1:8" ht="32" customHeight="1" x14ac:dyDescent="0.2">
      <c r="A1" s="24" t="s">
        <v>0</v>
      </c>
      <c r="B1" s="25"/>
      <c r="C1" s="25"/>
      <c r="D1" s="25"/>
      <c r="E1" s="25"/>
      <c r="F1" s="25"/>
      <c r="G1" s="25"/>
      <c r="H1" s="25"/>
    </row>
    <row r="2" spans="1:8" ht="22" customHeight="1" x14ac:dyDescent="0.2">
      <c r="A2" s="26" t="s">
        <v>1</v>
      </c>
      <c r="B2" s="25"/>
      <c r="C2" s="25"/>
      <c r="D2" s="25"/>
      <c r="E2" s="25"/>
      <c r="F2" s="25"/>
      <c r="G2" s="25"/>
      <c r="H2" s="25"/>
    </row>
    <row r="4" spans="1:8" ht="30" customHeight="1" x14ac:dyDescent="0.2">
      <c r="A4" s="1" t="s">
        <v>2</v>
      </c>
      <c r="B4" s="1" t="s">
        <v>3</v>
      </c>
    </row>
    <row r="5" spans="1:8" ht="16" x14ac:dyDescent="0.2">
      <c r="A5" s="2" t="s">
        <v>4</v>
      </c>
      <c r="B5" s="3" t="s">
        <v>5</v>
      </c>
    </row>
    <row r="6" spans="1:8" ht="16" x14ac:dyDescent="0.2">
      <c r="A6" s="2" t="s">
        <v>6</v>
      </c>
      <c r="B6" s="3" t="s">
        <v>7</v>
      </c>
    </row>
    <row r="7" spans="1:8" ht="16" x14ac:dyDescent="0.2">
      <c r="A7" s="2" t="s">
        <v>8</v>
      </c>
      <c r="B7" s="3" t="s">
        <v>9</v>
      </c>
    </row>
    <row r="8" spans="1:8" ht="16" x14ac:dyDescent="0.2">
      <c r="A8" s="2" t="s">
        <v>10</v>
      </c>
      <c r="B8" s="3" t="s">
        <v>11</v>
      </c>
    </row>
    <row r="9" spans="1:8" ht="32" x14ac:dyDescent="0.2">
      <c r="A9" s="2" t="s">
        <v>12</v>
      </c>
      <c r="B9" s="3" t="s">
        <v>13</v>
      </c>
    </row>
    <row r="10" spans="1:8" ht="16" x14ac:dyDescent="0.2">
      <c r="A10" s="2" t="s">
        <v>14</v>
      </c>
      <c r="B10" s="3" t="s">
        <v>15</v>
      </c>
    </row>
    <row r="11" spans="1:8" ht="16" x14ac:dyDescent="0.2">
      <c r="A11" s="2" t="s">
        <v>16</v>
      </c>
      <c r="B11" s="3" t="s">
        <v>17</v>
      </c>
    </row>
    <row r="12" spans="1:8" ht="32" x14ac:dyDescent="0.2">
      <c r="A12" s="2" t="s">
        <v>18</v>
      </c>
      <c r="B12" s="3" t="s">
        <v>19</v>
      </c>
    </row>
    <row r="13" spans="1:8" ht="16" x14ac:dyDescent="0.2">
      <c r="A13" s="2" t="s">
        <v>20</v>
      </c>
      <c r="B13" s="3" t="s">
        <v>21</v>
      </c>
    </row>
    <row r="14" spans="1:8" x14ac:dyDescent="0.2">
      <c r="A14" s="4" t="s">
        <v>22</v>
      </c>
      <c r="B14" t="s">
        <v>23</v>
      </c>
    </row>
    <row r="15" spans="1:8" x14ac:dyDescent="0.2">
      <c r="A15" s="27" t="s">
        <v>24</v>
      </c>
      <c r="B15" s="25"/>
      <c r="C15" s="25"/>
      <c r="D15" s="25"/>
      <c r="E15" s="25"/>
      <c r="F15" s="25"/>
      <c r="G15" s="25"/>
      <c r="H15" s="25"/>
    </row>
  </sheetData>
  <mergeCells count="3">
    <mergeCell ref="A15:H15"/>
    <mergeCell ref="A2:H2"/>
    <mergeCell ref="A1:H1"/>
  </mergeCells>
  <pageMargins left="0.25" right="0.25" top="0.4" bottom="0.4" header="0.2" footer="0.2"/>
  <pageSetup fitToHeight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4"/>
  <sheetViews>
    <sheetView showGridLines="0" workbookViewId="0">
      <pane ySplit="4" topLeftCell="A14" activePane="bottomLeft" state="frozen"/>
      <selection pane="bottomLeft" activeCell="F18" sqref="F18"/>
    </sheetView>
  </sheetViews>
  <sheetFormatPr baseColWidth="10" defaultColWidth="8.83203125" defaultRowHeight="15" x14ac:dyDescent="0.2"/>
  <cols>
    <col min="1" max="1" width="28" customWidth="1"/>
    <col min="2" max="2" width="30" customWidth="1"/>
    <col min="3" max="3" width="45" customWidth="1"/>
  </cols>
  <sheetData>
    <row r="1" spans="1:6" ht="32" customHeight="1" x14ac:dyDescent="0.2">
      <c r="A1" s="24" t="s">
        <v>25</v>
      </c>
      <c r="B1" s="25"/>
      <c r="C1" s="25"/>
      <c r="D1" s="25"/>
      <c r="E1" s="25"/>
      <c r="F1" s="25"/>
    </row>
    <row r="2" spans="1:6" ht="22" customHeight="1" x14ac:dyDescent="0.2">
      <c r="A2" s="26" t="s">
        <v>26</v>
      </c>
      <c r="B2" s="25"/>
      <c r="C2" s="25"/>
      <c r="D2" s="25"/>
      <c r="E2" s="25"/>
      <c r="F2" s="25"/>
    </row>
    <row r="4" spans="1:6" ht="30" customHeight="1" x14ac:dyDescent="0.2">
      <c r="A4" s="1" t="s">
        <v>27</v>
      </c>
      <c r="B4" s="1" t="s">
        <v>28</v>
      </c>
      <c r="C4" s="1" t="s">
        <v>29</v>
      </c>
    </row>
    <row r="5" spans="1:6" ht="16" x14ac:dyDescent="0.2">
      <c r="A5" s="3" t="s">
        <v>30</v>
      </c>
      <c r="B5" s="5" t="s">
        <v>31</v>
      </c>
      <c r="C5" s="3" t="s">
        <v>32</v>
      </c>
    </row>
    <row r="6" spans="1:6" ht="16" x14ac:dyDescent="0.2">
      <c r="A6" s="3" t="s">
        <v>33</v>
      </c>
      <c r="B6" s="5" t="s">
        <v>0</v>
      </c>
      <c r="C6" s="3" t="s">
        <v>34</v>
      </c>
    </row>
    <row r="7" spans="1:6" ht="16" x14ac:dyDescent="0.2">
      <c r="A7" s="3" t="s">
        <v>35</v>
      </c>
      <c r="B7" s="5" t="s">
        <v>36</v>
      </c>
      <c r="C7" s="3" t="s">
        <v>37</v>
      </c>
    </row>
    <row r="8" spans="1:6" ht="16" x14ac:dyDescent="0.2">
      <c r="A8" s="3" t="s">
        <v>38</v>
      </c>
      <c r="B8" s="5" t="s">
        <v>39</v>
      </c>
      <c r="C8" s="3" t="s">
        <v>40</v>
      </c>
    </row>
    <row r="9" spans="1:6" ht="16" x14ac:dyDescent="0.2">
      <c r="A9" s="3" t="s">
        <v>41</v>
      </c>
      <c r="B9" s="5">
        <v>0.3</v>
      </c>
      <c r="C9" s="3" t="s">
        <v>42</v>
      </c>
    </row>
    <row r="10" spans="1:6" ht="16" x14ac:dyDescent="0.2">
      <c r="A10" s="3" t="s">
        <v>43</v>
      </c>
      <c r="B10" s="5">
        <v>0.7</v>
      </c>
      <c r="C10" s="3" t="s">
        <v>44</v>
      </c>
    </row>
    <row r="11" spans="1:6" ht="16" x14ac:dyDescent="0.2">
      <c r="A11" s="3" t="s">
        <v>45</v>
      </c>
      <c r="B11" s="5">
        <v>5</v>
      </c>
      <c r="C11" s="3" t="s">
        <v>46</v>
      </c>
    </row>
    <row r="12" spans="1:6" ht="16" x14ac:dyDescent="0.2">
      <c r="A12" s="3" t="s">
        <v>47</v>
      </c>
      <c r="B12" s="5">
        <v>5</v>
      </c>
      <c r="C12" s="3" t="s">
        <v>46</v>
      </c>
    </row>
    <row r="13" spans="1:6" ht="16" x14ac:dyDescent="0.2">
      <c r="A13" s="3" t="s">
        <v>48</v>
      </c>
      <c r="B13" s="5">
        <v>3</v>
      </c>
      <c r="C13" s="3" t="s">
        <v>46</v>
      </c>
    </row>
    <row r="14" spans="1:6" ht="16" x14ac:dyDescent="0.2">
      <c r="A14" s="3" t="s">
        <v>49</v>
      </c>
      <c r="B14" s="5" t="s">
        <v>50</v>
      </c>
      <c r="C14" s="3" t="s">
        <v>51</v>
      </c>
    </row>
    <row r="15" spans="1:6" ht="16" x14ac:dyDescent="0.2">
      <c r="A15" s="3" t="s">
        <v>52</v>
      </c>
      <c r="B15" s="5" t="s">
        <v>53</v>
      </c>
      <c r="C15" s="3" t="s">
        <v>54</v>
      </c>
    </row>
    <row r="17" spans="1:6" ht="30" customHeight="1" x14ac:dyDescent="0.2">
      <c r="A17" s="1" t="s">
        <v>55</v>
      </c>
      <c r="B17" s="1" t="s">
        <v>56</v>
      </c>
      <c r="C17" s="1"/>
      <c r="D17" s="1"/>
      <c r="E17" s="1" t="s">
        <v>57</v>
      </c>
      <c r="F17" s="1" t="s">
        <v>58</v>
      </c>
    </row>
    <row r="18" spans="1:6" ht="32" x14ac:dyDescent="0.2">
      <c r="A18" s="3" t="s">
        <v>59</v>
      </c>
      <c r="B18" s="6" t="s">
        <v>59</v>
      </c>
      <c r="E18" s="6" t="s">
        <v>60</v>
      </c>
      <c r="F18" s="6" t="s">
        <v>61</v>
      </c>
    </row>
    <row r="19" spans="1:6" ht="16" x14ac:dyDescent="0.2">
      <c r="A19" s="3" t="s">
        <v>62</v>
      </c>
      <c r="B19" s="6" t="s">
        <v>62</v>
      </c>
      <c r="E19" s="6" t="s">
        <v>63</v>
      </c>
      <c r="F19" s="6" t="s">
        <v>61</v>
      </c>
    </row>
    <row r="20" spans="1:6" ht="32" x14ac:dyDescent="0.2">
      <c r="A20" s="3" t="s">
        <v>64</v>
      </c>
      <c r="B20" s="6" t="s">
        <v>64</v>
      </c>
      <c r="E20" s="6" t="s">
        <v>65</v>
      </c>
      <c r="F20" s="6" t="s">
        <v>61</v>
      </c>
    </row>
    <row r="21" spans="1:6" ht="16" x14ac:dyDescent="0.2">
      <c r="A21" s="3" t="s">
        <v>66</v>
      </c>
      <c r="B21" s="6" t="s">
        <v>66</v>
      </c>
      <c r="E21" s="6" t="s">
        <v>67</v>
      </c>
      <c r="F21" s="6" t="s">
        <v>61</v>
      </c>
    </row>
    <row r="22" spans="1:6" ht="16" x14ac:dyDescent="0.2">
      <c r="A22" s="3" t="s">
        <v>68</v>
      </c>
      <c r="B22" s="6" t="s">
        <v>68</v>
      </c>
      <c r="E22" s="6" t="s">
        <v>69</v>
      </c>
      <c r="F22" s="6" t="s">
        <v>61</v>
      </c>
    </row>
    <row r="23" spans="1:6" ht="16" x14ac:dyDescent="0.2">
      <c r="A23" s="3" t="s">
        <v>70</v>
      </c>
      <c r="B23" s="6" t="s">
        <v>70</v>
      </c>
      <c r="E23" s="6" t="s">
        <v>71</v>
      </c>
      <c r="F23" s="6" t="s">
        <v>61</v>
      </c>
    </row>
    <row r="24" spans="1:6" ht="16" x14ac:dyDescent="0.2">
      <c r="A24" s="3"/>
      <c r="B24" s="3"/>
      <c r="E24" s="6" t="s">
        <v>72</v>
      </c>
      <c r="F24" s="6" t="s">
        <v>61</v>
      </c>
    </row>
  </sheetData>
  <mergeCells count="2">
    <mergeCell ref="A2:F2"/>
    <mergeCell ref="A1:F1"/>
  </mergeCells>
  <pageMargins left="0.25" right="0.25" top="0.4" bottom="0.4" header="0.2" footer="0.2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204"/>
  <sheetViews>
    <sheetView showGridLines="0" tabSelected="1" workbookViewId="0">
      <pane ySplit="4" topLeftCell="A34" activePane="bottomLeft" state="frozen"/>
      <selection pane="bottomLeft" activeCell="B5" sqref="B5:B46"/>
    </sheetView>
  </sheetViews>
  <sheetFormatPr baseColWidth="10" defaultColWidth="8.83203125" defaultRowHeight="15" x14ac:dyDescent="0.2"/>
  <cols>
    <col min="1" max="1" width="40.83203125" customWidth="1"/>
    <col min="2" max="2" width="41.83203125" customWidth="1"/>
    <col min="3" max="3" width="28" customWidth="1"/>
    <col min="4" max="4" width="25" customWidth="1"/>
    <col min="5" max="5" width="12" customWidth="1"/>
    <col min="6" max="6" width="15" customWidth="1"/>
    <col min="7" max="7" width="28" customWidth="1"/>
    <col min="8" max="8" width="17" customWidth="1"/>
    <col min="9" max="9" width="25" customWidth="1"/>
    <col min="10" max="10" width="20" customWidth="1"/>
    <col min="11" max="13" width="15" customWidth="1"/>
    <col min="14" max="14" width="20" customWidth="1"/>
    <col min="15" max="15" width="25" customWidth="1"/>
    <col min="16" max="16" width="45" customWidth="1"/>
  </cols>
  <sheetData>
    <row r="1" spans="1:16" ht="32" customHeight="1" x14ac:dyDescent="0.2">
      <c r="A1" s="24" t="s">
        <v>73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</row>
    <row r="2" spans="1:16" ht="22" customHeight="1" x14ac:dyDescent="0.2">
      <c r="A2" s="26" t="s">
        <v>74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</row>
    <row r="4" spans="1:16" ht="30" customHeight="1" x14ac:dyDescent="0.2">
      <c r="A4" s="1" t="s">
        <v>75</v>
      </c>
      <c r="B4" s="1" t="s">
        <v>76</v>
      </c>
      <c r="C4" s="1" t="s">
        <v>77</v>
      </c>
      <c r="D4" s="1" t="s">
        <v>78</v>
      </c>
      <c r="E4" s="1" t="s">
        <v>79</v>
      </c>
      <c r="F4" s="1" t="s">
        <v>80</v>
      </c>
      <c r="G4" s="1" t="s">
        <v>81</v>
      </c>
      <c r="H4" s="1" t="s">
        <v>82</v>
      </c>
      <c r="I4" s="1" t="s">
        <v>83</v>
      </c>
      <c r="J4" s="1" t="s">
        <v>84</v>
      </c>
      <c r="K4" s="1" t="s">
        <v>85</v>
      </c>
      <c r="L4" s="1" t="s">
        <v>86</v>
      </c>
      <c r="M4" s="1" t="s">
        <v>87</v>
      </c>
      <c r="N4" s="1" t="s">
        <v>88</v>
      </c>
      <c r="O4" s="1" t="s">
        <v>29</v>
      </c>
      <c r="P4" s="1" t="s">
        <v>89</v>
      </c>
    </row>
    <row r="5" spans="1:16" x14ac:dyDescent="0.2">
      <c r="A5" s="7" t="str">
        <f t="shared" ref="A5:A36" si="0">IF(B5="","", "MNA-"&amp;TEXT(ROW()-4,"0000"))</f>
        <v>MNA-0001</v>
      </c>
      <c r="B5" s="8" t="s">
        <v>208</v>
      </c>
      <c r="C5" s="8" t="s">
        <v>161</v>
      </c>
      <c r="D5" s="8"/>
      <c r="E5" s="8" t="s">
        <v>165</v>
      </c>
      <c r="F5" s="9">
        <v>40620</v>
      </c>
      <c r="G5" s="8"/>
      <c r="H5" s="8">
        <v>555705878</v>
      </c>
      <c r="I5" s="8" t="s">
        <v>162</v>
      </c>
      <c r="J5" s="8">
        <v>555705878</v>
      </c>
      <c r="K5" s="9">
        <v>44440</v>
      </c>
      <c r="L5" s="8" t="s">
        <v>68</v>
      </c>
      <c r="M5" s="8" t="s">
        <v>163</v>
      </c>
      <c r="N5" s="8" t="s">
        <v>39</v>
      </c>
      <c r="O5" s="8"/>
      <c r="P5" s="10" t="str">
        <f t="shared" ref="P5:P36" si="1">IF(C5="","",LOWER(C5&amp;"|"&amp;B5&amp;"|"&amp;A5))</f>
        <v>mariam abdul wasiu|mna1|mna-0001</v>
      </c>
    </row>
    <row r="6" spans="1:16" x14ac:dyDescent="0.2">
      <c r="A6" s="7" t="str">
        <f t="shared" si="0"/>
        <v>MNA-0002</v>
      </c>
      <c r="B6" s="8" t="s">
        <v>209</v>
      </c>
      <c r="C6" s="8" t="s">
        <v>164</v>
      </c>
      <c r="D6" s="8"/>
      <c r="E6" s="8" t="s">
        <v>166</v>
      </c>
      <c r="F6" s="9">
        <v>39606</v>
      </c>
      <c r="G6" s="8"/>
      <c r="H6" s="8">
        <v>272780606</v>
      </c>
      <c r="I6" s="8" t="s">
        <v>162</v>
      </c>
      <c r="J6" s="8">
        <v>243059017</v>
      </c>
      <c r="K6" s="9">
        <v>46054</v>
      </c>
      <c r="L6" s="8" t="s">
        <v>68</v>
      </c>
      <c r="M6" s="8" t="s">
        <v>163</v>
      </c>
      <c r="N6" s="8" t="s">
        <v>39</v>
      </c>
      <c r="O6" s="8"/>
      <c r="P6" s="10" t="str">
        <f t="shared" si="1"/>
        <v>abdul wahab usmanu|mna2|mna-0002</v>
      </c>
    </row>
    <row r="7" spans="1:16" x14ac:dyDescent="0.2">
      <c r="A7" s="7" t="str">
        <f t="shared" si="0"/>
        <v>MNA-0003</v>
      </c>
      <c r="B7" s="8" t="s">
        <v>210</v>
      </c>
      <c r="C7" s="8" t="s">
        <v>167</v>
      </c>
      <c r="D7" s="8"/>
      <c r="E7" s="8" t="s">
        <v>165</v>
      </c>
      <c r="F7" s="9">
        <v>42505</v>
      </c>
      <c r="G7" s="8"/>
      <c r="H7" s="8">
        <v>532392207</v>
      </c>
      <c r="I7" s="8" t="s">
        <v>162</v>
      </c>
      <c r="J7" s="8">
        <v>532392207</v>
      </c>
      <c r="K7" s="9">
        <v>44440</v>
      </c>
      <c r="L7" s="8" t="s">
        <v>68</v>
      </c>
      <c r="M7" s="8" t="s">
        <v>163</v>
      </c>
      <c r="N7" s="8" t="s">
        <v>39</v>
      </c>
      <c r="O7" s="8"/>
      <c r="P7" s="10" t="str">
        <f t="shared" si="1"/>
        <v>adama jallo|mna3|mna-0003</v>
      </c>
    </row>
    <row r="8" spans="1:16" x14ac:dyDescent="0.2">
      <c r="A8" s="7" t="str">
        <f t="shared" si="0"/>
        <v>MNA-0004</v>
      </c>
      <c r="B8" s="8" t="s">
        <v>211</v>
      </c>
      <c r="C8" s="8" t="s">
        <v>168</v>
      </c>
      <c r="D8" s="8"/>
      <c r="E8" s="8" t="s">
        <v>166</v>
      </c>
      <c r="F8" s="9">
        <v>41778</v>
      </c>
      <c r="G8" s="8"/>
      <c r="H8" s="8">
        <v>559291706</v>
      </c>
      <c r="I8" s="8" t="s">
        <v>162</v>
      </c>
      <c r="J8" s="8">
        <v>559291706</v>
      </c>
      <c r="K8" s="9">
        <v>44776</v>
      </c>
      <c r="L8" s="8" t="s">
        <v>66</v>
      </c>
      <c r="M8" s="8" t="s">
        <v>163</v>
      </c>
      <c r="N8" s="8" t="s">
        <v>39</v>
      </c>
      <c r="O8" s="8"/>
      <c r="P8" s="10" t="str">
        <f t="shared" si="1"/>
        <v>marzooq wakilu|mna4|mna-0004</v>
      </c>
    </row>
    <row r="9" spans="1:16" x14ac:dyDescent="0.2">
      <c r="A9" s="7" t="str">
        <f t="shared" si="0"/>
        <v>MNA-0005</v>
      </c>
      <c r="B9" s="8" t="s">
        <v>212</v>
      </c>
      <c r="C9" s="8" t="s">
        <v>169</v>
      </c>
      <c r="D9" s="8"/>
      <c r="E9" s="8" t="s">
        <v>166</v>
      </c>
      <c r="F9" s="9">
        <v>41560</v>
      </c>
      <c r="G9" s="8"/>
      <c r="H9" s="8">
        <v>534361910</v>
      </c>
      <c r="I9" s="8" t="s">
        <v>162</v>
      </c>
      <c r="J9" s="8">
        <v>243732401</v>
      </c>
      <c r="K9" s="9">
        <v>43953</v>
      </c>
      <c r="L9" s="8" t="s">
        <v>66</v>
      </c>
      <c r="M9" s="8" t="s">
        <v>163</v>
      </c>
      <c r="N9" s="8" t="s">
        <v>39</v>
      </c>
      <c r="O9" s="8"/>
      <c r="P9" s="10" t="str">
        <f t="shared" si="1"/>
        <v>jawhar adam dawuni|mna5|mna-0005</v>
      </c>
    </row>
    <row r="10" spans="1:16" x14ac:dyDescent="0.2">
      <c r="A10" s="7" t="str">
        <f t="shared" si="0"/>
        <v>MNA-0006</v>
      </c>
      <c r="B10" s="8" t="s">
        <v>213</v>
      </c>
      <c r="C10" s="8" t="s">
        <v>170</v>
      </c>
      <c r="D10" s="8"/>
      <c r="E10" s="8" t="s">
        <v>165</v>
      </c>
      <c r="F10" s="9">
        <v>40858</v>
      </c>
      <c r="G10" s="8"/>
      <c r="H10" s="8">
        <v>554994574</v>
      </c>
      <c r="I10" s="8" t="s">
        <v>171</v>
      </c>
      <c r="J10" s="8">
        <v>554994574</v>
      </c>
      <c r="K10" s="9">
        <v>44653</v>
      </c>
      <c r="L10" s="8" t="s">
        <v>68</v>
      </c>
      <c r="M10" s="8" t="s">
        <v>163</v>
      </c>
      <c r="N10" s="8" t="s">
        <v>39</v>
      </c>
      <c r="O10" s="8"/>
      <c r="P10" s="10" t="str">
        <f t="shared" si="1"/>
        <v>amina yahaya|mna6|mna-0006</v>
      </c>
    </row>
    <row r="11" spans="1:16" x14ac:dyDescent="0.2">
      <c r="A11" s="7" t="str">
        <f t="shared" si="0"/>
        <v>MNA-0007</v>
      </c>
      <c r="B11" s="8" t="s">
        <v>214</v>
      </c>
      <c r="C11" s="8" t="s">
        <v>172</v>
      </c>
      <c r="D11" s="8"/>
      <c r="E11" s="8" t="s">
        <v>165</v>
      </c>
      <c r="F11" s="9">
        <v>40786</v>
      </c>
      <c r="G11" s="8"/>
      <c r="H11" s="8">
        <v>531461611</v>
      </c>
      <c r="I11" s="8" t="s">
        <v>162</v>
      </c>
      <c r="J11" s="8">
        <v>531461611</v>
      </c>
      <c r="K11" s="9">
        <v>45048</v>
      </c>
      <c r="L11" s="8" t="s">
        <v>68</v>
      </c>
      <c r="M11" s="8" t="s">
        <v>163</v>
      </c>
      <c r="N11" s="8" t="s">
        <v>39</v>
      </c>
      <c r="O11" s="8"/>
      <c r="P11" s="10" t="str">
        <f t="shared" si="1"/>
        <v>fatima mohammed|mna7|mna-0007</v>
      </c>
    </row>
    <row r="12" spans="1:16" x14ac:dyDescent="0.2">
      <c r="A12" s="7" t="str">
        <f t="shared" si="0"/>
        <v>MNA-0008</v>
      </c>
      <c r="B12" s="8" t="s">
        <v>215</v>
      </c>
      <c r="C12" s="8" t="s">
        <v>173</v>
      </c>
      <c r="D12" s="8"/>
      <c r="E12" s="8" t="s">
        <v>166</v>
      </c>
      <c r="F12" s="9">
        <v>41560</v>
      </c>
      <c r="G12" s="8"/>
      <c r="H12" s="8">
        <v>243741994</v>
      </c>
      <c r="I12" s="8" t="s">
        <v>162</v>
      </c>
      <c r="J12" s="8">
        <v>243741994</v>
      </c>
      <c r="K12" s="9">
        <v>45082</v>
      </c>
      <c r="L12" s="8" t="s">
        <v>66</v>
      </c>
      <c r="M12" s="8" t="s">
        <v>163</v>
      </c>
      <c r="N12" s="8" t="s">
        <v>39</v>
      </c>
      <c r="O12" s="8"/>
      <c r="P12" s="10" t="str">
        <f t="shared" si="1"/>
        <v>fuseini sumaila|mna8|mna-0008</v>
      </c>
    </row>
    <row r="13" spans="1:16" x14ac:dyDescent="0.2">
      <c r="A13" s="7" t="str">
        <f t="shared" si="0"/>
        <v>MNA-0009</v>
      </c>
      <c r="B13" s="8" t="s">
        <v>216</v>
      </c>
      <c r="C13" s="8" t="s">
        <v>174</v>
      </c>
      <c r="D13" s="8"/>
      <c r="E13" s="8" t="s">
        <v>166</v>
      </c>
      <c r="F13" s="9">
        <v>41179</v>
      </c>
      <c r="G13" s="8"/>
      <c r="H13" s="8">
        <v>244117850</v>
      </c>
      <c r="I13" s="8" t="s">
        <v>162</v>
      </c>
      <c r="J13" s="8">
        <v>244117850</v>
      </c>
      <c r="K13" s="9">
        <v>45662</v>
      </c>
      <c r="L13" s="8" t="s">
        <v>66</v>
      </c>
      <c r="M13" s="8" t="s">
        <v>163</v>
      </c>
      <c r="N13" s="8" t="s">
        <v>39</v>
      </c>
      <c r="O13" s="8"/>
      <c r="P13" s="10" t="str">
        <f t="shared" si="1"/>
        <v>mohammed mukafa|mna9|mna-0009</v>
      </c>
    </row>
    <row r="14" spans="1:16" x14ac:dyDescent="0.2">
      <c r="A14" s="7" t="str">
        <f t="shared" si="0"/>
        <v>MNA-0010</v>
      </c>
      <c r="B14" s="8" t="s">
        <v>217</v>
      </c>
      <c r="C14" s="8" t="s">
        <v>175</v>
      </c>
      <c r="D14" s="8"/>
      <c r="E14" s="8" t="s">
        <v>165</v>
      </c>
      <c r="F14" s="9">
        <v>41540</v>
      </c>
      <c r="G14" s="8"/>
      <c r="H14" s="8">
        <v>552880367</v>
      </c>
      <c r="I14" s="8" t="s">
        <v>162</v>
      </c>
      <c r="J14" s="8">
        <v>552880367</v>
      </c>
      <c r="K14" s="9">
        <v>45601</v>
      </c>
      <c r="L14" s="8" t="s">
        <v>66</v>
      </c>
      <c r="M14" s="8" t="s">
        <v>163</v>
      </c>
      <c r="N14" s="8" t="s">
        <v>39</v>
      </c>
      <c r="O14" s="8"/>
      <c r="P14" s="10" t="str">
        <f t="shared" si="1"/>
        <v>rahanatu kujo rabiu|mna10|mna-0010</v>
      </c>
    </row>
    <row r="15" spans="1:16" x14ac:dyDescent="0.2">
      <c r="A15" s="7" t="str">
        <f t="shared" si="0"/>
        <v>MNA-0011</v>
      </c>
      <c r="B15" s="8" t="s">
        <v>218</v>
      </c>
      <c r="C15" s="8" t="s">
        <v>176</v>
      </c>
      <c r="D15" s="8"/>
      <c r="E15" s="8" t="s">
        <v>166</v>
      </c>
      <c r="F15" s="9">
        <v>40638</v>
      </c>
      <c r="G15" s="8"/>
      <c r="H15" s="8">
        <v>244389213</v>
      </c>
      <c r="I15" s="8" t="s">
        <v>162</v>
      </c>
      <c r="J15" s="8">
        <v>533103850</v>
      </c>
      <c r="K15" s="9">
        <v>44683</v>
      </c>
      <c r="L15" s="8" t="s">
        <v>66</v>
      </c>
      <c r="M15" s="8" t="s">
        <v>163</v>
      </c>
      <c r="N15" s="8" t="s">
        <v>39</v>
      </c>
      <c r="O15" s="8"/>
      <c r="P15" s="10" t="str">
        <f t="shared" si="1"/>
        <v>abdul hayyu ibrahim|mna11|mna-0011</v>
      </c>
    </row>
    <row r="16" spans="1:16" x14ac:dyDescent="0.2">
      <c r="A16" s="7" t="str">
        <f t="shared" si="0"/>
        <v>MNA-0012</v>
      </c>
      <c r="B16" s="8" t="s">
        <v>219</v>
      </c>
      <c r="C16" s="8" t="s">
        <v>177</v>
      </c>
      <c r="D16" s="8"/>
      <c r="E16" s="8" t="s">
        <v>165</v>
      </c>
      <c r="F16" s="9">
        <v>41031</v>
      </c>
      <c r="G16" s="8"/>
      <c r="H16" s="8">
        <v>557969037</v>
      </c>
      <c r="I16" s="8" t="s">
        <v>162</v>
      </c>
      <c r="J16" s="8">
        <v>249725542</v>
      </c>
      <c r="K16" s="9">
        <v>44229</v>
      </c>
      <c r="L16" s="8" t="s">
        <v>68</v>
      </c>
      <c r="M16" s="8" t="s">
        <v>163</v>
      </c>
      <c r="N16" s="8" t="s">
        <v>39</v>
      </c>
      <c r="O16" s="8"/>
      <c r="P16" s="10" t="str">
        <f t="shared" si="1"/>
        <v>ayishetu abdul fatawu|mna12|mna-0012</v>
      </c>
    </row>
    <row r="17" spans="1:16" x14ac:dyDescent="0.2">
      <c r="A17" s="7" t="str">
        <f t="shared" si="0"/>
        <v>MNA-0013</v>
      </c>
      <c r="B17" s="8" t="s">
        <v>220</v>
      </c>
      <c r="C17" s="8" t="s">
        <v>178</v>
      </c>
      <c r="D17" s="8"/>
      <c r="E17" s="8" t="s">
        <v>166</v>
      </c>
      <c r="F17" s="9">
        <v>41773</v>
      </c>
      <c r="G17" s="8"/>
      <c r="H17" s="8">
        <v>246946568</v>
      </c>
      <c r="I17" s="8" t="s">
        <v>171</v>
      </c>
      <c r="J17" s="8">
        <v>246946568</v>
      </c>
      <c r="K17" s="9">
        <v>45021</v>
      </c>
      <c r="L17" s="8" t="s">
        <v>68</v>
      </c>
      <c r="M17" s="8" t="s">
        <v>163</v>
      </c>
      <c r="N17" s="8" t="s">
        <v>39</v>
      </c>
      <c r="O17" s="8"/>
      <c r="P17" s="10" t="str">
        <f t="shared" si="1"/>
        <v>mohammed mudasir kassim|mna13|mna-0013</v>
      </c>
    </row>
    <row r="18" spans="1:16" x14ac:dyDescent="0.2">
      <c r="A18" s="7" t="str">
        <f t="shared" si="0"/>
        <v>MNA-0014</v>
      </c>
      <c r="B18" s="8" t="s">
        <v>221</v>
      </c>
      <c r="C18" s="8" t="s">
        <v>179</v>
      </c>
      <c r="D18" s="8"/>
      <c r="E18" s="8" t="s">
        <v>166</v>
      </c>
      <c r="F18" s="9">
        <v>40675</v>
      </c>
      <c r="G18" s="8"/>
      <c r="H18" s="8">
        <v>249643958</v>
      </c>
      <c r="I18" s="8" t="s">
        <v>162</v>
      </c>
      <c r="J18" s="8">
        <v>249643958</v>
      </c>
      <c r="K18" s="9">
        <v>45387</v>
      </c>
      <c r="L18" s="8" t="s">
        <v>66</v>
      </c>
      <c r="M18" s="8" t="s">
        <v>163</v>
      </c>
      <c r="N18" s="8" t="s">
        <v>39</v>
      </c>
      <c r="O18" s="8"/>
      <c r="P18" s="10" t="str">
        <f t="shared" si="1"/>
        <v>abdul rahman yakubu|mna14|mna-0014</v>
      </c>
    </row>
    <row r="19" spans="1:16" x14ac:dyDescent="0.2">
      <c r="A19" s="7" t="str">
        <f t="shared" si="0"/>
        <v>MNA-0015</v>
      </c>
      <c r="B19" s="8" t="s">
        <v>222</v>
      </c>
      <c r="C19" s="8" t="s">
        <v>180</v>
      </c>
      <c r="D19" s="8"/>
      <c r="E19" s="8" t="s">
        <v>166</v>
      </c>
      <c r="F19" s="9"/>
      <c r="G19" s="8"/>
      <c r="H19" s="8">
        <v>243741994</v>
      </c>
      <c r="I19" s="8" t="s">
        <v>162</v>
      </c>
      <c r="J19" s="8">
        <v>243741994</v>
      </c>
      <c r="K19" s="9"/>
      <c r="L19" s="8" t="s">
        <v>64</v>
      </c>
      <c r="M19" s="8" t="s">
        <v>163</v>
      </c>
      <c r="N19" s="8" t="s">
        <v>39</v>
      </c>
      <c r="O19" s="8"/>
      <c r="P19" s="10" t="str">
        <f t="shared" si="1"/>
        <v>tofiq mohammed |mna15|mna-0015</v>
      </c>
    </row>
    <row r="20" spans="1:16" x14ac:dyDescent="0.2">
      <c r="A20" s="7" t="str">
        <f t="shared" si="0"/>
        <v>MNA-0016</v>
      </c>
      <c r="B20" s="8" t="s">
        <v>223</v>
      </c>
      <c r="C20" s="8" t="s">
        <v>181</v>
      </c>
      <c r="D20" s="8"/>
      <c r="E20" s="8" t="s">
        <v>166</v>
      </c>
      <c r="F20" s="9"/>
      <c r="G20" s="8"/>
      <c r="H20" s="8">
        <v>557438424</v>
      </c>
      <c r="I20" s="8" t="s">
        <v>162</v>
      </c>
      <c r="J20" s="8">
        <v>557438424</v>
      </c>
      <c r="K20" s="9"/>
      <c r="L20" s="8" t="s">
        <v>64</v>
      </c>
      <c r="M20" s="8" t="s">
        <v>163</v>
      </c>
      <c r="N20" s="8" t="s">
        <v>39</v>
      </c>
      <c r="O20" s="8"/>
      <c r="P20" s="10" t="str">
        <f t="shared" si="1"/>
        <v>mustafa abubakar|mna16|mna-0016</v>
      </c>
    </row>
    <row r="21" spans="1:16" x14ac:dyDescent="0.2">
      <c r="A21" s="7" t="str">
        <f t="shared" si="0"/>
        <v>MNA-0017</v>
      </c>
      <c r="B21" s="8" t="s">
        <v>224</v>
      </c>
      <c r="C21" s="8" t="s">
        <v>182</v>
      </c>
      <c r="D21" s="8"/>
      <c r="E21" s="8" t="s">
        <v>166</v>
      </c>
      <c r="F21" s="9">
        <v>41815</v>
      </c>
      <c r="G21" s="8"/>
      <c r="H21" s="8">
        <v>244389213</v>
      </c>
      <c r="I21" s="8" t="s">
        <v>162</v>
      </c>
      <c r="J21" s="8">
        <v>244389213</v>
      </c>
      <c r="K21" s="9"/>
      <c r="L21" s="8" t="s">
        <v>64</v>
      </c>
      <c r="M21" s="8" t="s">
        <v>163</v>
      </c>
      <c r="N21" s="8" t="s">
        <v>39</v>
      </c>
      <c r="O21" s="8"/>
      <c r="P21" s="10" t="str">
        <f t="shared" si="1"/>
        <v>abdul muhaimin|mna17|mna-0017</v>
      </c>
    </row>
    <row r="22" spans="1:16" x14ac:dyDescent="0.2">
      <c r="A22" s="7" t="str">
        <f t="shared" si="0"/>
        <v>MNA-0018</v>
      </c>
      <c r="B22" s="8" t="s">
        <v>225</v>
      </c>
      <c r="C22" s="8" t="s">
        <v>183</v>
      </c>
      <c r="D22" s="8"/>
      <c r="E22" s="8" t="s">
        <v>165</v>
      </c>
      <c r="F22" s="9">
        <v>42342</v>
      </c>
      <c r="G22" s="8"/>
      <c r="H22" s="8">
        <v>532398652</v>
      </c>
      <c r="I22" s="8" t="s">
        <v>162</v>
      </c>
      <c r="J22" s="8">
        <v>532398652</v>
      </c>
      <c r="K22" s="9"/>
      <c r="L22" s="8" t="s">
        <v>64</v>
      </c>
      <c r="M22" s="8" t="s">
        <v>163</v>
      </c>
      <c r="N22" s="8" t="s">
        <v>39</v>
      </c>
      <c r="O22" s="8"/>
      <c r="P22" s="10" t="str">
        <f t="shared" si="1"/>
        <v>rashida mohammed |mna18|mna-0018</v>
      </c>
    </row>
    <row r="23" spans="1:16" x14ac:dyDescent="0.2">
      <c r="A23" s="7" t="str">
        <f t="shared" si="0"/>
        <v>MNA-0019</v>
      </c>
      <c r="B23" s="8" t="s">
        <v>226</v>
      </c>
      <c r="C23" s="8" t="s">
        <v>184</v>
      </c>
      <c r="D23" s="8"/>
      <c r="E23" s="8" t="s">
        <v>165</v>
      </c>
      <c r="F23" s="9">
        <v>41057</v>
      </c>
      <c r="G23" s="8"/>
      <c r="H23" s="8">
        <v>532398652</v>
      </c>
      <c r="I23" s="8" t="s">
        <v>162</v>
      </c>
      <c r="J23" s="8">
        <v>532398652</v>
      </c>
      <c r="K23" s="9"/>
      <c r="L23" s="8" t="s">
        <v>64</v>
      </c>
      <c r="M23" s="8" t="s">
        <v>163</v>
      </c>
      <c r="N23" s="8" t="s">
        <v>39</v>
      </c>
      <c r="O23" s="8"/>
      <c r="P23" s="10" t="str">
        <f t="shared" si="1"/>
        <v>rukaya mohammed|mna19|mna-0019</v>
      </c>
    </row>
    <row r="24" spans="1:16" x14ac:dyDescent="0.2">
      <c r="A24" s="7" t="str">
        <f t="shared" si="0"/>
        <v>MNA-0020</v>
      </c>
      <c r="B24" s="8" t="s">
        <v>227</v>
      </c>
      <c r="C24" s="8" t="s">
        <v>185</v>
      </c>
      <c r="D24" s="8"/>
      <c r="E24" s="8" t="s">
        <v>165</v>
      </c>
      <c r="F24" s="9">
        <v>42173</v>
      </c>
      <c r="G24" s="8"/>
      <c r="H24" s="8">
        <v>592028151</v>
      </c>
      <c r="I24" s="8" t="s">
        <v>162</v>
      </c>
      <c r="J24" s="8">
        <v>592028151</v>
      </c>
      <c r="K24" s="9"/>
      <c r="L24" s="8" t="s">
        <v>64</v>
      </c>
      <c r="M24" s="8" t="s">
        <v>163</v>
      </c>
      <c r="N24" s="8" t="s">
        <v>39</v>
      </c>
      <c r="O24" s="8"/>
      <c r="P24" s="10" t="str">
        <f t="shared" si="1"/>
        <v>farida abdul rashid|mna20|mna-0020</v>
      </c>
    </row>
    <row r="25" spans="1:16" x14ac:dyDescent="0.2">
      <c r="A25" s="7" t="str">
        <f t="shared" si="0"/>
        <v>MNA-0021</v>
      </c>
      <c r="B25" s="8" t="s">
        <v>228</v>
      </c>
      <c r="C25" s="8" t="s">
        <v>186</v>
      </c>
      <c r="D25" s="8"/>
      <c r="E25" s="8" t="s">
        <v>165</v>
      </c>
      <c r="F25" s="9">
        <v>41973</v>
      </c>
      <c r="G25" s="8"/>
      <c r="H25" s="8">
        <v>244160704</v>
      </c>
      <c r="I25" s="8" t="s">
        <v>162</v>
      </c>
      <c r="J25" s="8">
        <v>244160704</v>
      </c>
      <c r="K25" s="9"/>
      <c r="L25" s="8" t="s">
        <v>64</v>
      </c>
      <c r="M25" s="8" t="s">
        <v>163</v>
      </c>
      <c r="N25" s="8" t="s">
        <v>39</v>
      </c>
      <c r="O25" s="8"/>
      <c r="P25" s="10" t="str">
        <f t="shared" si="1"/>
        <v>hayat abubakar|mna21|mna-0021</v>
      </c>
    </row>
    <row r="26" spans="1:16" x14ac:dyDescent="0.2">
      <c r="A26" s="7" t="str">
        <f t="shared" si="0"/>
        <v>MNA-0022</v>
      </c>
      <c r="B26" s="8" t="s">
        <v>229</v>
      </c>
      <c r="C26" s="8" t="s">
        <v>187</v>
      </c>
      <c r="D26" s="8"/>
      <c r="E26" s="8" t="s">
        <v>165</v>
      </c>
      <c r="F26" s="9">
        <v>42685</v>
      </c>
      <c r="G26" s="8"/>
      <c r="H26" s="8">
        <v>531726243</v>
      </c>
      <c r="I26" s="8" t="s">
        <v>162</v>
      </c>
      <c r="J26" s="8">
        <v>531726243</v>
      </c>
      <c r="K26" s="9"/>
      <c r="L26" s="8" t="s">
        <v>64</v>
      </c>
      <c r="M26" s="8" t="s">
        <v>163</v>
      </c>
      <c r="N26" s="8" t="s">
        <v>39</v>
      </c>
      <c r="O26" s="8"/>
      <c r="P26" s="10" t="str">
        <f t="shared" si="1"/>
        <v>widad ibrahim|mna22|mna-0022</v>
      </c>
    </row>
    <row r="27" spans="1:16" x14ac:dyDescent="0.2">
      <c r="A27" s="7" t="str">
        <f t="shared" si="0"/>
        <v>MNA-0023</v>
      </c>
      <c r="B27" s="8" t="s">
        <v>230</v>
      </c>
      <c r="C27" s="8" t="s">
        <v>188</v>
      </c>
      <c r="D27" s="8"/>
      <c r="E27" s="8" t="s">
        <v>166</v>
      </c>
      <c r="F27" s="9">
        <v>41138</v>
      </c>
      <c r="G27" s="8"/>
      <c r="H27" s="8">
        <v>557438424</v>
      </c>
      <c r="I27" s="8" t="s">
        <v>162</v>
      </c>
      <c r="J27" s="8">
        <v>557438424</v>
      </c>
      <c r="K27" s="9"/>
      <c r="L27" s="8" t="s">
        <v>64</v>
      </c>
      <c r="M27" s="8" t="s">
        <v>163</v>
      </c>
      <c r="N27" s="8" t="s">
        <v>39</v>
      </c>
      <c r="O27" s="8"/>
      <c r="P27" s="10" t="str">
        <f t="shared" si="1"/>
        <v>faruk abubakar|mna23|mna-0023</v>
      </c>
    </row>
    <row r="28" spans="1:16" x14ac:dyDescent="0.2">
      <c r="A28" s="7" t="str">
        <f t="shared" si="0"/>
        <v>MNA-0024</v>
      </c>
      <c r="B28" s="8" t="s">
        <v>231</v>
      </c>
      <c r="C28" s="8" t="s">
        <v>189</v>
      </c>
      <c r="D28" s="8"/>
      <c r="E28" s="8" t="s">
        <v>166</v>
      </c>
      <c r="F28" s="9">
        <v>42104</v>
      </c>
      <c r="G28" s="8"/>
      <c r="H28" s="8">
        <v>542000155</v>
      </c>
      <c r="I28" s="8" t="s">
        <v>162</v>
      </c>
      <c r="J28" s="8">
        <v>542000155</v>
      </c>
      <c r="K28" s="9"/>
      <c r="L28" s="8" t="s">
        <v>64</v>
      </c>
      <c r="M28" s="8" t="s">
        <v>163</v>
      </c>
      <c r="N28" s="8" t="s">
        <v>39</v>
      </c>
      <c r="O28" s="8"/>
      <c r="P28" s="10" t="str">
        <f t="shared" si="1"/>
        <v>hidr mustafa|mna24|mna-0024</v>
      </c>
    </row>
    <row r="29" spans="1:16" x14ac:dyDescent="0.2">
      <c r="A29" s="7" t="str">
        <f t="shared" si="0"/>
        <v>MNA-0025</v>
      </c>
      <c r="B29" s="8" t="s">
        <v>232</v>
      </c>
      <c r="C29" s="8" t="s">
        <v>190</v>
      </c>
      <c r="D29" s="8"/>
      <c r="E29" s="8" t="s">
        <v>165</v>
      </c>
      <c r="F29" s="9">
        <v>39716</v>
      </c>
      <c r="G29" s="8"/>
      <c r="H29" s="8">
        <v>244409890</v>
      </c>
      <c r="I29" s="8" t="s">
        <v>171</v>
      </c>
      <c r="J29" s="8">
        <v>244409890</v>
      </c>
      <c r="K29" s="9"/>
      <c r="L29" s="8" t="s">
        <v>66</v>
      </c>
      <c r="M29" s="8" t="s">
        <v>163</v>
      </c>
      <c r="N29" s="8" t="s">
        <v>39</v>
      </c>
      <c r="O29" s="8"/>
      <c r="P29" s="10" t="str">
        <f t="shared" si="1"/>
        <v>hussein humu|mna25|mna-0025</v>
      </c>
    </row>
    <row r="30" spans="1:16" x14ac:dyDescent="0.2">
      <c r="A30" s="7" t="str">
        <f t="shared" si="0"/>
        <v>MNA-0026</v>
      </c>
      <c r="B30" s="8" t="s">
        <v>233</v>
      </c>
      <c r="C30" s="8" t="s">
        <v>191</v>
      </c>
      <c r="D30" s="8"/>
      <c r="E30" s="8" t="s">
        <v>166</v>
      </c>
      <c r="F30" s="9">
        <v>41107</v>
      </c>
      <c r="G30" s="8"/>
      <c r="H30" s="8">
        <v>593007895</v>
      </c>
      <c r="I30" s="8" t="s">
        <v>171</v>
      </c>
      <c r="J30" s="8">
        <v>593007895</v>
      </c>
      <c r="K30" s="9"/>
      <c r="L30" s="8" t="s">
        <v>66</v>
      </c>
      <c r="M30" s="8" t="s">
        <v>163</v>
      </c>
      <c r="N30" s="8" t="s">
        <v>39</v>
      </c>
      <c r="O30" s="8"/>
      <c r="P30" s="10" t="str">
        <f t="shared" si="1"/>
        <v>mustapha abubakar|mna26|mna-0026</v>
      </c>
    </row>
    <row r="31" spans="1:16" x14ac:dyDescent="0.2">
      <c r="A31" s="7" t="str">
        <f t="shared" si="0"/>
        <v>MNA-0027</v>
      </c>
      <c r="B31" s="8" t="s">
        <v>234</v>
      </c>
      <c r="C31" s="8" t="s">
        <v>192</v>
      </c>
      <c r="D31" s="8"/>
      <c r="E31" s="8" t="s">
        <v>165</v>
      </c>
      <c r="F31" s="9"/>
      <c r="G31" s="8"/>
      <c r="H31" s="8">
        <v>242489583</v>
      </c>
      <c r="I31" s="8" t="s">
        <v>162</v>
      </c>
      <c r="J31" s="8">
        <v>242489583</v>
      </c>
      <c r="K31" s="9"/>
      <c r="L31" s="8" t="s">
        <v>66</v>
      </c>
      <c r="M31" s="8" t="s">
        <v>163</v>
      </c>
      <c r="N31" s="8" t="s">
        <v>39</v>
      </c>
      <c r="O31" s="8"/>
      <c r="P31" s="10" t="str">
        <f t="shared" si="1"/>
        <v>mariam awal|mna27|mna-0027</v>
      </c>
    </row>
    <row r="32" spans="1:16" x14ac:dyDescent="0.2">
      <c r="A32" s="7" t="str">
        <f t="shared" si="0"/>
        <v>MNA-0028</v>
      </c>
      <c r="B32" s="8" t="s">
        <v>235</v>
      </c>
      <c r="C32" s="8" t="s">
        <v>193</v>
      </c>
      <c r="D32" s="8"/>
      <c r="E32" s="8" t="s">
        <v>166</v>
      </c>
      <c r="F32" s="9">
        <v>40877</v>
      </c>
      <c r="G32" s="8"/>
      <c r="H32" s="8">
        <v>556983963</v>
      </c>
      <c r="I32" s="8" t="s">
        <v>162</v>
      </c>
      <c r="J32" s="8">
        <v>556983963</v>
      </c>
      <c r="K32" s="9"/>
      <c r="L32" s="8" t="s">
        <v>62</v>
      </c>
      <c r="M32" s="8" t="s">
        <v>163</v>
      </c>
      <c r="N32" s="8" t="s">
        <v>39</v>
      </c>
      <c r="O32" s="8"/>
      <c r="P32" s="10" t="str">
        <f t="shared" si="1"/>
        <v>alhassan abdullah|mna28|mna-0028</v>
      </c>
    </row>
    <row r="33" spans="1:16" x14ac:dyDescent="0.2">
      <c r="A33" s="7" t="str">
        <f t="shared" si="0"/>
        <v>MNA-0029</v>
      </c>
      <c r="B33" s="8" t="s">
        <v>236</v>
      </c>
      <c r="C33" s="8" t="s">
        <v>194</v>
      </c>
      <c r="D33" s="8"/>
      <c r="E33" s="8" t="s">
        <v>166</v>
      </c>
      <c r="F33" s="9"/>
      <c r="G33" s="8"/>
      <c r="H33" s="8">
        <v>557488424</v>
      </c>
      <c r="I33" s="8" t="s">
        <v>162</v>
      </c>
      <c r="J33" s="8">
        <v>557488424</v>
      </c>
      <c r="K33" s="9"/>
      <c r="L33" s="8" t="s">
        <v>62</v>
      </c>
      <c r="M33" s="8" t="s">
        <v>163</v>
      </c>
      <c r="N33" s="8" t="s">
        <v>39</v>
      </c>
      <c r="O33" s="8"/>
      <c r="P33" s="10" t="str">
        <f t="shared" si="1"/>
        <v>ibrahim mubarik|mna29|mna-0029</v>
      </c>
    </row>
    <row r="34" spans="1:16" x14ac:dyDescent="0.2">
      <c r="A34" s="7" t="str">
        <f t="shared" si="0"/>
        <v>MNA-0030</v>
      </c>
      <c r="B34" s="8" t="s">
        <v>237</v>
      </c>
      <c r="C34" s="8" t="s">
        <v>195</v>
      </c>
      <c r="D34" s="8"/>
      <c r="E34" s="8" t="s">
        <v>166</v>
      </c>
      <c r="F34" s="9"/>
      <c r="G34" s="8"/>
      <c r="H34" s="8">
        <v>533339370</v>
      </c>
      <c r="I34" s="8" t="s">
        <v>162</v>
      </c>
      <c r="J34" s="8">
        <v>533339370</v>
      </c>
      <c r="K34" s="9"/>
      <c r="L34" s="8" t="s">
        <v>62</v>
      </c>
      <c r="M34" s="8" t="s">
        <v>163</v>
      </c>
      <c r="N34" s="8" t="s">
        <v>39</v>
      </c>
      <c r="O34" s="8"/>
      <c r="P34" s="10" t="str">
        <f t="shared" si="1"/>
        <v>ibrahim umar|mna30|mna-0030</v>
      </c>
    </row>
    <row r="35" spans="1:16" x14ac:dyDescent="0.2">
      <c r="A35" s="7" t="str">
        <f t="shared" si="0"/>
        <v>MNA-0031</v>
      </c>
      <c r="B35" s="8" t="s">
        <v>238</v>
      </c>
      <c r="C35" s="8" t="s">
        <v>196</v>
      </c>
      <c r="D35" s="8"/>
      <c r="E35" s="8" t="s">
        <v>166</v>
      </c>
      <c r="F35" s="9">
        <v>41461</v>
      </c>
      <c r="G35" s="8"/>
      <c r="H35" s="8">
        <v>245388413</v>
      </c>
      <c r="I35" s="8" t="s">
        <v>162</v>
      </c>
      <c r="J35" s="8">
        <v>245388413</v>
      </c>
      <c r="K35" s="9"/>
      <c r="L35" s="8" t="s">
        <v>62</v>
      </c>
      <c r="M35" s="8" t="s">
        <v>163</v>
      </c>
      <c r="N35" s="8" t="s">
        <v>39</v>
      </c>
      <c r="O35" s="8"/>
      <c r="P35" s="10" t="str">
        <f t="shared" si="1"/>
        <v>abdul majid fatawu|mna31|mna-0031</v>
      </c>
    </row>
    <row r="36" spans="1:16" x14ac:dyDescent="0.2">
      <c r="A36" s="7" t="str">
        <f t="shared" si="0"/>
        <v>MNA-0032</v>
      </c>
      <c r="B36" s="8" t="s">
        <v>239</v>
      </c>
      <c r="C36" s="8" t="s">
        <v>197</v>
      </c>
      <c r="D36" s="8"/>
      <c r="E36" s="8" t="s">
        <v>166</v>
      </c>
      <c r="F36" s="9">
        <v>41608</v>
      </c>
      <c r="G36" s="8"/>
      <c r="H36" s="8">
        <v>556769603</v>
      </c>
      <c r="I36" s="8" t="s">
        <v>162</v>
      </c>
      <c r="J36" s="8">
        <v>556769603</v>
      </c>
      <c r="K36" s="9"/>
      <c r="L36" s="8" t="s">
        <v>62</v>
      </c>
      <c r="M36" s="8" t="s">
        <v>163</v>
      </c>
      <c r="N36" s="8" t="s">
        <v>39</v>
      </c>
      <c r="O36" s="8"/>
      <c r="P36" s="10" t="str">
        <f t="shared" si="1"/>
        <v>al-had mohammed|mna32|mna-0032</v>
      </c>
    </row>
    <row r="37" spans="1:16" x14ac:dyDescent="0.2">
      <c r="A37" s="7" t="str">
        <f t="shared" ref="A37:A68" si="2">IF(B37="","", "MNA-"&amp;TEXT(ROW()-4,"0000"))</f>
        <v>MNA-0033</v>
      </c>
      <c r="B37" s="8" t="s">
        <v>240</v>
      </c>
      <c r="C37" s="8" t="s">
        <v>198</v>
      </c>
      <c r="D37" s="8"/>
      <c r="E37" s="8" t="s">
        <v>166</v>
      </c>
      <c r="F37" s="9"/>
      <c r="G37" s="8"/>
      <c r="H37" s="8">
        <v>207301156</v>
      </c>
      <c r="I37" s="8" t="s">
        <v>162</v>
      </c>
      <c r="J37" s="8">
        <v>207301156</v>
      </c>
      <c r="K37" s="9"/>
      <c r="L37" s="8" t="s">
        <v>62</v>
      </c>
      <c r="M37" s="8" t="s">
        <v>163</v>
      </c>
      <c r="N37" s="8" t="s">
        <v>39</v>
      </c>
      <c r="O37" s="8"/>
      <c r="P37" s="10" t="str">
        <f t="shared" ref="P37:P68" si="3">IF(C37="","",LOWER(C37&amp;"|"&amp;B37&amp;"|"&amp;A37))</f>
        <v>mohammed fadiga|mna33|mna-0033</v>
      </c>
    </row>
    <row r="38" spans="1:16" x14ac:dyDescent="0.2">
      <c r="A38" s="7" t="str">
        <f t="shared" si="2"/>
        <v>MNA-0034</v>
      </c>
      <c r="B38" s="8" t="s">
        <v>241</v>
      </c>
      <c r="C38" s="8" t="s">
        <v>199</v>
      </c>
      <c r="D38" s="8"/>
      <c r="E38" s="8" t="s">
        <v>166</v>
      </c>
      <c r="F38" s="9">
        <v>43361</v>
      </c>
      <c r="G38" s="8"/>
      <c r="H38" s="8">
        <v>546998868</v>
      </c>
      <c r="I38" s="8" t="s">
        <v>162</v>
      </c>
      <c r="J38" s="8">
        <v>546998868</v>
      </c>
      <c r="K38" s="9"/>
      <c r="L38" s="8" t="s">
        <v>62</v>
      </c>
      <c r="M38" s="8" t="s">
        <v>163</v>
      </c>
      <c r="N38" s="8" t="s">
        <v>39</v>
      </c>
      <c r="O38" s="8"/>
      <c r="P38" s="10" t="str">
        <f t="shared" si="3"/>
        <v>abdul rahman abdul fatawu|mna34|mna-0034</v>
      </c>
    </row>
    <row r="39" spans="1:16" x14ac:dyDescent="0.2">
      <c r="A39" s="7" t="str">
        <f t="shared" si="2"/>
        <v>MNA-0035</v>
      </c>
      <c r="B39" s="8" t="s">
        <v>242</v>
      </c>
      <c r="C39" s="8" t="s">
        <v>200</v>
      </c>
      <c r="D39" s="8"/>
      <c r="E39" s="8" t="s">
        <v>165</v>
      </c>
      <c r="F39" s="9">
        <v>42852</v>
      </c>
      <c r="G39" s="8"/>
      <c r="H39" s="8">
        <v>532392207</v>
      </c>
      <c r="I39" s="8" t="s">
        <v>162</v>
      </c>
      <c r="J39" s="8">
        <v>532392207</v>
      </c>
      <c r="K39" s="9"/>
      <c r="L39" s="8" t="s">
        <v>62</v>
      </c>
      <c r="M39" s="8" t="s">
        <v>163</v>
      </c>
      <c r="N39" s="8" t="s">
        <v>39</v>
      </c>
      <c r="O39" s="8"/>
      <c r="P39" s="10" t="str">
        <f t="shared" si="3"/>
        <v>salamatu jallo|mna35|mna-0035</v>
      </c>
    </row>
    <row r="40" spans="1:16" x14ac:dyDescent="0.2">
      <c r="A40" s="7" t="str">
        <f t="shared" si="2"/>
        <v>MNA-0036</v>
      </c>
      <c r="B40" s="8" t="s">
        <v>243</v>
      </c>
      <c r="C40" s="8" t="s">
        <v>201</v>
      </c>
      <c r="D40" s="8"/>
      <c r="E40" s="8" t="s">
        <v>165</v>
      </c>
      <c r="F40" s="9">
        <v>42517</v>
      </c>
      <c r="G40" s="8"/>
      <c r="H40" s="8">
        <v>552020662</v>
      </c>
      <c r="I40" s="8" t="s">
        <v>162</v>
      </c>
      <c r="J40" s="8">
        <v>552020662</v>
      </c>
      <c r="K40" s="9"/>
      <c r="L40" s="8" t="s">
        <v>62</v>
      </c>
      <c r="M40" s="8" t="s">
        <v>163</v>
      </c>
      <c r="N40" s="8" t="s">
        <v>39</v>
      </c>
      <c r="O40" s="8"/>
      <c r="P40" s="10" t="str">
        <f t="shared" si="3"/>
        <v>salma salifu|mna36|mna-0036</v>
      </c>
    </row>
    <row r="41" spans="1:16" x14ac:dyDescent="0.2">
      <c r="A41" s="7" t="str">
        <f t="shared" si="2"/>
        <v>MNA-0037</v>
      </c>
      <c r="B41" s="8" t="s">
        <v>244</v>
      </c>
      <c r="C41" s="8" t="s">
        <v>202</v>
      </c>
      <c r="D41" s="8"/>
      <c r="E41" s="8" t="s">
        <v>165</v>
      </c>
      <c r="F41" s="9">
        <v>42711</v>
      </c>
      <c r="G41" s="8"/>
      <c r="H41" s="8">
        <v>244160704</v>
      </c>
      <c r="I41" s="8" t="s">
        <v>162</v>
      </c>
      <c r="J41" s="8">
        <v>244160704</v>
      </c>
      <c r="K41" s="9"/>
      <c r="L41" s="8" t="s">
        <v>62</v>
      </c>
      <c r="M41" s="8" t="s">
        <v>163</v>
      </c>
      <c r="N41" s="8" t="s">
        <v>39</v>
      </c>
      <c r="O41" s="8"/>
      <c r="P41" s="10" t="str">
        <f t="shared" si="3"/>
        <v>samira abubakar|mna37|mna-0037</v>
      </c>
    </row>
    <row r="42" spans="1:16" x14ac:dyDescent="0.2">
      <c r="A42" s="7" t="str">
        <f t="shared" si="2"/>
        <v>MNA-0038</v>
      </c>
      <c r="B42" s="8" t="s">
        <v>245</v>
      </c>
      <c r="C42" s="8" t="s">
        <v>203</v>
      </c>
      <c r="D42" s="8"/>
      <c r="E42" s="8" t="s">
        <v>165</v>
      </c>
      <c r="F42" s="9"/>
      <c r="G42" s="8"/>
      <c r="H42" s="8">
        <v>247088210</v>
      </c>
      <c r="I42" s="8" t="s">
        <v>162</v>
      </c>
      <c r="J42" s="8">
        <v>247088210</v>
      </c>
      <c r="K42" s="9"/>
      <c r="L42" s="8" t="s">
        <v>62</v>
      </c>
      <c r="M42" s="8" t="s">
        <v>163</v>
      </c>
      <c r="N42" s="8" t="s">
        <v>39</v>
      </c>
      <c r="O42" s="8"/>
      <c r="P42" s="10" t="str">
        <f t="shared" si="3"/>
        <v>fadila mudasir|mna38|mna-0038</v>
      </c>
    </row>
    <row r="43" spans="1:16" x14ac:dyDescent="0.2">
      <c r="A43" s="7" t="str">
        <f t="shared" si="2"/>
        <v>MNA-0039</v>
      </c>
      <c r="B43" s="8" t="s">
        <v>246</v>
      </c>
      <c r="C43" s="8" t="s">
        <v>204</v>
      </c>
      <c r="D43" s="8"/>
      <c r="E43" s="8" t="s">
        <v>165</v>
      </c>
      <c r="F43" s="9"/>
      <c r="G43" s="8"/>
      <c r="H43" s="8">
        <v>531421860</v>
      </c>
      <c r="I43" s="8" t="s">
        <v>162</v>
      </c>
      <c r="J43" s="8">
        <v>531421860</v>
      </c>
      <c r="K43" s="9"/>
      <c r="L43" s="8" t="s">
        <v>62</v>
      </c>
      <c r="M43" s="8" t="s">
        <v>163</v>
      </c>
      <c r="N43" s="8" t="s">
        <v>39</v>
      </c>
      <c r="O43" s="8"/>
      <c r="P43" s="10" t="str">
        <f t="shared" si="3"/>
        <v>ayisha zayyanu|mna39|mna-0039</v>
      </c>
    </row>
    <row r="44" spans="1:16" x14ac:dyDescent="0.2">
      <c r="A44" s="7" t="str">
        <f t="shared" si="2"/>
        <v>MNA-0040</v>
      </c>
      <c r="B44" s="8" t="s">
        <v>247</v>
      </c>
      <c r="C44" s="8" t="s">
        <v>205</v>
      </c>
      <c r="D44" s="8"/>
      <c r="E44" s="8" t="s">
        <v>165</v>
      </c>
      <c r="F44" s="9">
        <v>39544</v>
      </c>
      <c r="G44" s="8"/>
      <c r="H44" s="8">
        <v>532398652</v>
      </c>
      <c r="I44" s="8" t="s">
        <v>162</v>
      </c>
      <c r="J44" s="8">
        <v>532398652</v>
      </c>
      <c r="K44" s="9"/>
      <c r="L44" s="8" t="s">
        <v>62</v>
      </c>
      <c r="M44" s="8" t="s">
        <v>163</v>
      </c>
      <c r="N44" s="8" t="s">
        <v>39</v>
      </c>
      <c r="O44" s="8"/>
      <c r="P44" s="10" t="str">
        <f t="shared" si="3"/>
        <v>hadija mohammad|mna40|mna-0040</v>
      </c>
    </row>
    <row r="45" spans="1:16" x14ac:dyDescent="0.2">
      <c r="A45" s="7" t="str">
        <f t="shared" si="2"/>
        <v>MNA-0041</v>
      </c>
      <c r="B45" s="8" t="s">
        <v>248</v>
      </c>
      <c r="C45" s="8" t="s">
        <v>206</v>
      </c>
      <c r="D45" s="8"/>
      <c r="E45" s="8" t="s">
        <v>165</v>
      </c>
      <c r="F45" s="9">
        <v>43126</v>
      </c>
      <c r="G45" s="8"/>
      <c r="H45" s="8">
        <v>552333595</v>
      </c>
      <c r="I45" s="8" t="s">
        <v>162</v>
      </c>
      <c r="J45" s="8">
        <v>552333595</v>
      </c>
      <c r="K45" s="9"/>
      <c r="L45" s="8" t="s">
        <v>62</v>
      </c>
      <c r="M45" s="8" t="s">
        <v>163</v>
      </c>
      <c r="N45" s="8" t="s">
        <v>39</v>
      </c>
      <c r="O45" s="8"/>
      <c r="P45" s="10" t="str">
        <f t="shared" si="3"/>
        <v>alima mubarik|mna41|mna-0041</v>
      </c>
    </row>
    <row r="46" spans="1:16" x14ac:dyDescent="0.2">
      <c r="A46" s="7" t="str">
        <f t="shared" si="2"/>
        <v>MNA-0042</v>
      </c>
      <c r="B46" s="8" t="s">
        <v>249</v>
      </c>
      <c r="C46" s="8" t="s">
        <v>207</v>
      </c>
      <c r="D46" s="8"/>
      <c r="E46" s="8" t="s">
        <v>165</v>
      </c>
      <c r="F46" s="9">
        <v>41844</v>
      </c>
      <c r="G46" s="8"/>
      <c r="H46" s="8">
        <v>552333595</v>
      </c>
      <c r="I46" s="8" t="s">
        <v>171</v>
      </c>
      <c r="J46" s="8">
        <v>552333595</v>
      </c>
      <c r="K46" s="9"/>
      <c r="L46" s="8" t="s">
        <v>62</v>
      </c>
      <c r="M46" s="8" t="s">
        <v>163</v>
      </c>
      <c r="N46" s="8" t="s">
        <v>39</v>
      </c>
      <c r="O46" s="8"/>
      <c r="P46" s="10" t="str">
        <f t="shared" si="3"/>
        <v>hafsah issah|mna42|mna-0042</v>
      </c>
    </row>
    <row r="47" spans="1:16" x14ac:dyDescent="0.2">
      <c r="A47" s="7" t="str">
        <f t="shared" si="2"/>
        <v/>
      </c>
      <c r="B47" s="8"/>
      <c r="C47" s="8"/>
      <c r="D47" s="8"/>
      <c r="E47" s="8"/>
      <c r="F47" s="9"/>
      <c r="G47" s="8"/>
      <c r="H47" s="8"/>
      <c r="I47" s="8"/>
      <c r="J47" s="8"/>
      <c r="K47" s="9"/>
      <c r="L47" s="8"/>
      <c r="M47" s="8"/>
      <c r="N47" s="8" t="s">
        <v>39</v>
      </c>
      <c r="O47" s="8"/>
      <c r="P47" s="10" t="str">
        <f t="shared" si="3"/>
        <v/>
      </c>
    </row>
    <row r="48" spans="1:16" x14ac:dyDescent="0.2">
      <c r="A48" s="7" t="str">
        <f t="shared" si="2"/>
        <v/>
      </c>
      <c r="B48" s="8"/>
      <c r="C48" s="8"/>
      <c r="D48" s="8"/>
      <c r="E48" s="8"/>
      <c r="F48" s="9"/>
      <c r="G48" s="8"/>
      <c r="H48" s="8"/>
      <c r="I48" s="8"/>
      <c r="J48" s="8"/>
      <c r="K48" s="9"/>
      <c r="L48" s="8"/>
      <c r="M48" s="8"/>
      <c r="N48" s="8" t="s">
        <v>39</v>
      </c>
      <c r="O48" s="8"/>
      <c r="P48" s="10" t="str">
        <f t="shared" si="3"/>
        <v/>
      </c>
    </row>
    <row r="49" spans="1:16" x14ac:dyDescent="0.2">
      <c r="A49" s="7" t="str">
        <f t="shared" si="2"/>
        <v/>
      </c>
      <c r="B49" s="8"/>
      <c r="C49" s="8"/>
      <c r="D49" s="8"/>
      <c r="E49" s="8"/>
      <c r="F49" s="9"/>
      <c r="G49" s="8"/>
      <c r="H49" s="8"/>
      <c r="I49" s="8"/>
      <c r="J49" s="8"/>
      <c r="K49" s="9"/>
      <c r="L49" s="8"/>
      <c r="M49" s="8"/>
      <c r="N49" s="8" t="s">
        <v>39</v>
      </c>
      <c r="O49" s="8"/>
      <c r="P49" s="10" t="str">
        <f t="shared" si="3"/>
        <v/>
      </c>
    </row>
    <row r="50" spans="1:16" x14ac:dyDescent="0.2">
      <c r="A50" s="7" t="str">
        <f t="shared" si="2"/>
        <v/>
      </c>
      <c r="B50" s="8"/>
      <c r="C50" s="8"/>
      <c r="D50" s="8"/>
      <c r="E50" s="8"/>
      <c r="F50" s="9"/>
      <c r="G50" s="8"/>
      <c r="H50" s="8"/>
      <c r="I50" s="8"/>
      <c r="J50" s="8"/>
      <c r="K50" s="9"/>
      <c r="L50" s="8"/>
      <c r="M50" s="8"/>
      <c r="N50" s="8" t="s">
        <v>39</v>
      </c>
      <c r="O50" s="8"/>
      <c r="P50" s="10" t="str">
        <f t="shared" si="3"/>
        <v/>
      </c>
    </row>
    <row r="51" spans="1:16" x14ac:dyDescent="0.2">
      <c r="A51" s="7" t="str">
        <f t="shared" si="2"/>
        <v/>
      </c>
      <c r="B51" s="8"/>
      <c r="C51" s="8"/>
      <c r="D51" s="8"/>
      <c r="E51" s="8"/>
      <c r="F51" s="9"/>
      <c r="G51" s="8"/>
      <c r="H51" s="8"/>
      <c r="I51" s="8"/>
      <c r="J51" s="8"/>
      <c r="K51" s="9"/>
      <c r="L51" s="8"/>
      <c r="M51" s="8"/>
      <c r="N51" s="8" t="s">
        <v>39</v>
      </c>
      <c r="O51" s="8"/>
      <c r="P51" s="10" t="str">
        <f t="shared" si="3"/>
        <v/>
      </c>
    </row>
    <row r="52" spans="1:16" x14ac:dyDescent="0.2">
      <c r="A52" s="7" t="str">
        <f t="shared" si="2"/>
        <v/>
      </c>
      <c r="B52" s="8"/>
      <c r="C52" s="8"/>
      <c r="D52" s="8"/>
      <c r="E52" s="8"/>
      <c r="F52" s="9"/>
      <c r="G52" s="8"/>
      <c r="H52" s="8"/>
      <c r="I52" s="8"/>
      <c r="J52" s="8"/>
      <c r="K52" s="9"/>
      <c r="L52" s="8"/>
      <c r="M52" s="8"/>
      <c r="N52" s="8"/>
      <c r="O52" s="8"/>
      <c r="P52" s="10" t="str">
        <f t="shared" si="3"/>
        <v/>
      </c>
    </row>
    <row r="53" spans="1:16" x14ac:dyDescent="0.2">
      <c r="A53" s="7" t="str">
        <f t="shared" si="2"/>
        <v/>
      </c>
      <c r="B53" s="8"/>
      <c r="C53" s="8"/>
      <c r="D53" s="8"/>
      <c r="E53" s="8"/>
      <c r="F53" s="9"/>
      <c r="G53" s="8"/>
      <c r="H53" s="8"/>
      <c r="I53" s="8"/>
      <c r="J53" s="8"/>
      <c r="K53" s="9"/>
      <c r="L53" s="8"/>
      <c r="M53" s="8"/>
      <c r="N53" s="8"/>
      <c r="O53" s="8"/>
      <c r="P53" s="10" t="str">
        <f t="shared" si="3"/>
        <v/>
      </c>
    </row>
    <row r="54" spans="1:16" x14ac:dyDescent="0.2">
      <c r="A54" s="7" t="str">
        <f t="shared" si="2"/>
        <v/>
      </c>
      <c r="B54" s="8"/>
      <c r="C54" s="8"/>
      <c r="D54" s="8"/>
      <c r="E54" s="8"/>
      <c r="F54" s="9"/>
      <c r="G54" s="8"/>
      <c r="H54" s="8"/>
      <c r="I54" s="8"/>
      <c r="J54" s="8"/>
      <c r="K54" s="9"/>
      <c r="L54" s="8"/>
      <c r="M54" s="8"/>
      <c r="N54" s="8"/>
      <c r="O54" s="8"/>
      <c r="P54" s="10" t="str">
        <f t="shared" si="3"/>
        <v/>
      </c>
    </row>
    <row r="55" spans="1:16" x14ac:dyDescent="0.2">
      <c r="A55" s="7" t="str">
        <f t="shared" si="2"/>
        <v/>
      </c>
      <c r="B55" s="8"/>
      <c r="C55" s="8"/>
      <c r="D55" s="8"/>
      <c r="E55" s="8"/>
      <c r="F55" s="9"/>
      <c r="G55" s="8"/>
      <c r="H55" s="8"/>
      <c r="I55" s="8"/>
      <c r="J55" s="8"/>
      <c r="K55" s="9"/>
      <c r="L55" s="8"/>
      <c r="M55" s="8"/>
      <c r="N55" s="8"/>
      <c r="O55" s="8"/>
      <c r="P55" s="10" t="str">
        <f t="shared" si="3"/>
        <v/>
      </c>
    </row>
    <row r="56" spans="1:16" x14ac:dyDescent="0.2">
      <c r="A56" s="7" t="str">
        <f t="shared" si="2"/>
        <v/>
      </c>
      <c r="B56" s="8"/>
      <c r="C56" s="8"/>
      <c r="D56" s="8"/>
      <c r="E56" s="8"/>
      <c r="F56" s="9"/>
      <c r="G56" s="8"/>
      <c r="H56" s="8"/>
      <c r="I56" s="8"/>
      <c r="J56" s="8"/>
      <c r="K56" s="9"/>
      <c r="L56" s="8"/>
      <c r="M56" s="8"/>
      <c r="N56" s="8"/>
      <c r="O56" s="8"/>
      <c r="P56" s="10" t="str">
        <f t="shared" si="3"/>
        <v/>
      </c>
    </row>
    <row r="57" spans="1:16" x14ac:dyDescent="0.2">
      <c r="A57" s="7" t="str">
        <f t="shared" si="2"/>
        <v/>
      </c>
      <c r="B57" s="8"/>
      <c r="C57" s="8"/>
      <c r="D57" s="8"/>
      <c r="E57" s="8"/>
      <c r="F57" s="9"/>
      <c r="G57" s="8"/>
      <c r="H57" s="8"/>
      <c r="I57" s="8"/>
      <c r="J57" s="8"/>
      <c r="K57" s="9"/>
      <c r="L57" s="8"/>
      <c r="M57" s="8"/>
      <c r="N57" s="8"/>
      <c r="O57" s="8"/>
      <c r="P57" s="10" t="str">
        <f t="shared" si="3"/>
        <v/>
      </c>
    </row>
    <row r="58" spans="1:16" x14ac:dyDescent="0.2">
      <c r="A58" s="7" t="str">
        <f t="shared" si="2"/>
        <v/>
      </c>
      <c r="B58" s="8"/>
      <c r="C58" s="8"/>
      <c r="D58" s="8"/>
      <c r="E58" s="8"/>
      <c r="F58" s="9"/>
      <c r="G58" s="8"/>
      <c r="H58" s="8"/>
      <c r="I58" s="8"/>
      <c r="J58" s="8"/>
      <c r="K58" s="9"/>
      <c r="L58" s="8"/>
      <c r="M58" s="8"/>
      <c r="N58" s="8"/>
      <c r="O58" s="8"/>
      <c r="P58" s="10" t="str">
        <f t="shared" si="3"/>
        <v/>
      </c>
    </row>
    <row r="59" spans="1:16" x14ac:dyDescent="0.2">
      <c r="A59" s="7" t="str">
        <f t="shared" si="2"/>
        <v/>
      </c>
      <c r="B59" s="8"/>
      <c r="C59" s="8"/>
      <c r="D59" s="8"/>
      <c r="E59" s="8"/>
      <c r="F59" s="9"/>
      <c r="G59" s="8"/>
      <c r="H59" s="8"/>
      <c r="I59" s="8"/>
      <c r="J59" s="8"/>
      <c r="K59" s="9"/>
      <c r="L59" s="8"/>
      <c r="M59" s="8"/>
      <c r="N59" s="8"/>
      <c r="O59" s="8"/>
      <c r="P59" s="10" t="str">
        <f t="shared" si="3"/>
        <v/>
      </c>
    </row>
    <row r="60" spans="1:16" x14ac:dyDescent="0.2">
      <c r="A60" s="7" t="str">
        <f t="shared" si="2"/>
        <v/>
      </c>
      <c r="B60" s="8"/>
      <c r="C60" s="8"/>
      <c r="D60" s="8"/>
      <c r="E60" s="8"/>
      <c r="F60" s="9"/>
      <c r="G60" s="8"/>
      <c r="H60" s="8"/>
      <c r="I60" s="8"/>
      <c r="J60" s="8"/>
      <c r="K60" s="9"/>
      <c r="L60" s="8"/>
      <c r="M60" s="8"/>
      <c r="N60" s="8"/>
      <c r="O60" s="8"/>
      <c r="P60" s="10" t="str">
        <f t="shared" si="3"/>
        <v/>
      </c>
    </row>
    <row r="61" spans="1:16" x14ac:dyDescent="0.2">
      <c r="A61" s="7" t="str">
        <f t="shared" si="2"/>
        <v/>
      </c>
      <c r="B61" s="8"/>
      <c r="C61" s="8"/>
      <c r="D61" s="8"/>
      <c r="E61" s="8"/>
      <c r="F61" s="9"/>
      <c r="G61" s="8"/>
      <c r="H61" s="8"/>
      <c r="I61" s="8"/>
      <c r="J61" s="8"/>
      <c r="K61" s="9"/>
      <c r="L61" s="8"/>
      <c r="M61" s="8"/>
      <c r="N61" s="8"/>
      <c r="O61" s="8"/>
      <c r="P61" s="10" t="str">
        <f t="shared" si="3"/>
        <v/>
      </c>
    </row>
    <row r="62" spans="1:16" x14ac:dyDescent="0.2">
      <c r="A62" s="7" t="str">
        <f t="shared" si="2"/>
        <v/>
      </c>
      <c r="B62" s="8"/>
      <c r="C62" s="8"/>
      <c r="D62" s="8"/>
      <c r="E62" s="8"/>
      <c r="F62" s="9"/>
      <c r="G62" s="8"/>
      <c r="H62" s="8"/>
      <c r="I62" s="8"/>
      <c r="J62" s="8"/>
      <c r="K62" s="9"/>
      <c r="L62" s="8"/>
      <c r="M62" s="8"/>
      <c r="N62" s="8"/>
      <c r="O62" s="8"/>
      <c r="P62" s="10" t="str">
        <f t="shared" si="3"/>
        <v/>
      </c>
    </row>
    <row r="63" spans="1:16" x14ac:dyDescent="0.2">
      <c r="A63" s="7" t="str">
        <f t="shared" si="2"/>
        <v/>
      </c>
      <c r="B63" s="8"/>
      <c r="C63" s="8"/>
      <c r="D63" s="8"/>
      <c r="E63" s="8"/>
      <c r="F63" s="9"/>
      <c r="G63" s="8"/>
      <c r="H63" s="8"/>
      <c r="I63" s="8"/>
      <c r="J63" s="8"/>
      <c r="K63" s="9"/>
      <c r="L63" s="8"/>
      <c r="M63" s="8"/>
      <c r="N63" s="8"/>
      <c r="O63" s="8"/>
      <c r="P63" s="10" t="str">
        <f t="shared" si="3"/>
        <v/>
      </c>
    </row>
    <row r="64" spans="1:16" x14ac:dyDescent="0.2">
      <c r="A64" s="7" t="str">
        <f t="shared" si="2"/>
        <v/>
      </c>
      <c r="B64" s="8"/>
      <c r="C64" s="8"/>
      <c r="D64" s="8"/>
      <c r="E64" s="8"/>
      <c r="F64" s="9"/>
      <c r="G64" s="8"/>
      <c r="H64" s="8"/>
      <c r="I64" s="8"/>
      <c r="J64" s="8"/>
      <c r="K64" s="9"/>
      <c r="L64" s="8"/>
      <c r="M64" s="8"/>
      <c r="N64" s="8"/>
      <c r="O64" s="8"/>
      <c r="P64" s="10" t="str">
        <f t="shared" si="3"/>
        <v/>
      </c>
    </row>
    <row r="65" spans="1:16" x14ac:dyDescent="0.2">
      <c r="A65" s="7" t="str">
        <f t="shared" si="2"/>
        <v/>
      </c>
      <c r="B65" s="8"/>
      <c r="C65" s="8"/>
      <c r="D65" s="8"/>
      <c r="E65" s="8"/>
      <c r="F65" s="9"/>
      <c r="G65" s="8"/>
      <c r="H65" s="8"/>
      <c r="I65" s="8"/>
      <c r="J65" s="8"/>
      <c r="K65" s="9"/>
      <c r="L65" s="8"/>
      <c r="M65" s="8"/>
      <c r="N65" s="8"/>
      <c r="O65" s="8"/>
      <c r="P65" s="10" t="str">
        <f t="shared" si="3"/>
        <v/>
      </c>
    </row>
    <row r="66" spans="1:16" x14ac:dyDescent="0.2">
      <c r="A66" s="7" t="str">
        <f t="shared" si="2"/>
        <v/>
      </c>
      <c r="B66" s="8"/>
      <c r="C66" s="8"/>
      <c r="D66" s="8"/>
      <c r="E66" s="8"/>
      <c r="F66" s="9"/>
      <c r="G66" s="8"/>
      <c r="H66" s="8"/>
      <c r="I66" s="8"/>
      <c r="J66" s="8"/>
      <c r="K66" s="9"/>
      <c r="L66" s="8"/>
      <c r="M66" s="8"/>
      <c r="N66" s="8"/>
      <c r="O66" s="8"/>
      <c r="P66" s="10" t="str">
        <f t="shared" si="3"/>
        <v/>
      </c>
    </row>
    <row r="67" spans="1:16" x14ac:dyDescent="0.2">
      <c r="A67" s="7" t="str">
        <f t="shared" si="2"/>
        <v/>
      </c>
      <c r="B67" s="8"/>
      <c r="C67" s="8"/>
      <c r="D67" s="8"/>
      <c r="E67" s="8"/>
      <c r="F67" s="9"/>
      <c r="G67" s="8"/>
      <c r="H67" s="8"/>
      <c r="I67" s="8"/>
      <c r="J67" s="8"/>
      <c r="K67" s="9"/>
      <c r="L67" s="8"/>
      <c r="M67" s="8"/>
      <c r="N67" s="8"/>
      <c r="O67" s="8"/>
      <c r="P67" s="10" t="str">
        <f t="shared" si="3"/>
        <v/>
      </c>
    </row>
    <row r="68" spans="1:16" x14ac:dyDescent="0.2">
      <c r="A68" s="7" t="str">
        <f t="shared" si="2"/>
        <v/>
      </c>
      <c r="B68" s="8"/>
      <c r="C68" s="8"/>
      <c r="D68" s="8"/>
      <c r="E68" s="8"/>
      <c r="F68" s="9"/>
      <c r="G68" s="8"/>
      <c r="H68" s="8"/>
      <c r="I68" s="8"/>
      <c r="J68" s="8"/>
      <c r="K68" s="9"/>
      <c r="L68" s="8"/>
      <c r="M68" s="8"/>
      <c r="N68" s="8"/>
      <c r="O68" s="8"/>
      <c r="P68" s="10" t="str">
        <f t="shared" si="3"/>
        <v/>
      </c>
    </row>
    <row r="69" spans="1:16" x14ac:dyDescent="0.2">
      <c r="A69" s="7" t="str">
        <f t="shared" ref="A69:A100" si="4">IF(B69="","", "MNA-"&amp;TEXT(ROW()-4,"0000"))</f>
        <v/>
      </c>
      <c r="B69" s="8"/>
      <c r="C69" s="8"/>
      <c r="D69" s="8"/>
      <c r="E69" s="8"/>
      <c r="F69" s="9"/>
      <c r="G69" s="8"/>
      <c r="H69" s="8"/>
      <c r="I69" s="8"/>
      <c r="J69" s="8"/>
      <c r="K69" s="9"/>
      <c r="L69" s="8"/>
      <c r="M69" s="8"/>
      <c r="N69" s="8"/>
      <c r="O69" s="8"/>
      <c r="P69" s="10" t="str">
        <f t="shared" ref="P69:P100" si="5">IF(C69="","",LOWER(C69&amp;"|"&amp;B69&amp;"|"&amp;A69))</f>
        <v/>
      </c>
    </row>
    <row r="70" spans="1:16" x14ac:dyDescent="0.2">
      <c r="A70" s="7" t="str">
        <f t="shared" si="4"/>
        <v/>
      </c>
      <c r="B70" s="8"/>
      <c r="C70" s="8"/>
      <c r="D70" s="8"/>
      <c r="E70" s="8"/>
      <c r="F70" s="9"/>
      <c r="G70" s="8"/>
      <c r="H70" s="8"/>
      <c r="I70" s="8"/>
      <c r="J70" s="8"/>
      <c r="K70" s="9"/>
      <c r="L70" s="8"/>
      <c r="M70" s="8"/>
      <c r="N70" s="8"/>
      <c r="O70" s="8"/>
      <c r="P70" s="10" t="str">
        <f t="shared" si="5"/>
        <v/>
      </c>
    </row>
    <row r="71" spans="1:16" x14ac:dyDescent="0.2">
      <c r="A71" s="7" t="str">
        <f t="shared" si="4"/>
        <v/>
      </c>
      <c r="B71" s="8"/>
      <c r="C71" s="8"/>
      <c r="D71" s="8"/>
      <c r="E71" s="8"/>
      <c r="F71" s="9"/>
      <c r="G71" s="8"/>
      <c r="H71" s="8"/>
      <c r="I71" s="8"/>
      <c r="J71" s="8"/>
      <c r="K71" s="9"/>
      <c r="L71" s="8"/>
      <c r="M71" s="8"/>
      <c r="N71" s="8"/>
      <c r="O71" s="8"/>
      <c r="P71" s="10" t="str">
        <f t="shared" si="5"/>
        <v/>
      </c>
    </row>
    <row r="72" spans="1:16" x14ac:dyDescent="0.2">
      <c r="A72" s="7" t="str">
        <f t="shared" si="4"/>
        <v/>
      </c>
      <c r="B72" s="8"/>
      <c r="C72" s="8"/>
      <c r="D72" s="8"/>
      <c r="E72" s="8"/>
      <c r="F72" s="9"/>
      <c r="G72" s="8"/>
      <c r="H72" s="8"/>
      <c r="I72" s="8"/>
      <c r="J72" s="8"/>
      <c r="K72" s="9"/>
      <c r="L72" s="8"/>
      <c r="M72" s="8"/>
      <c r="N72" s="8"/>
      <c r="O72" s="8"/>
      <c r="P72" s="10" t="str">
        <f t="shared" si="5"/>
        <v/>
      </c>
    </row>
    <row r="73" spans="1:16" x14ac:dyDescent="0.2">
      <c r="A73" s="7" t="str">
        <f t="shared" si="4"/>
        <v/>
      </c>
      <c r="B73" s="8"/>
      <c r="C73" s="8"/>
      <c r="D73" s="8"/>
      <c r="E73" s="8"/>
      <c r="F73" s="9"/>
      <c r="G73" s="8"/>
      <c r="H73" s="8"/>
      <c r="I73" s="8"/>
      <c r="J73" s="8"/>
      <c r="K73" s="9"/>
      <c r="L73" s="8"/>
      <c r="M73" s="8"/>
      <c r="N73" s="8"/>
      <c r="O73" s="8"/>
      <c r="P73" s="10" t="str">
        <f t="shared" si="5"/>
        <v/>
      </c>
    </row>
    <row r="74" spans="1:16" x14ac:dyDescent="0.2">
      <c r="A74" s="7" t="str">
        <f t="shared" si="4"/>
        <v/>
      </c>
      <c r="B74" s="8"/>
      <c r="C74" s="8"/>
      <c r="D74" s="8"/>
      <c r="E74" s="8"/>
      <c r="F74" s="9"/>
      <c r="G74" s="8"/>
      <c r="H74" s="8"/>
      <c r="I74" s="8"/>
      <c r="J74" s="8"/>
      <c r="K74" s="9"/>
      <c r="L74" s="8"/>
      <c r="M74" s="8"/>
      <c r="N74" s="8"/>
      <c r="O74" s="8"/>
      <c r="P74" s="10" t="str">
        <f t="shared" si="5"/>
        <v/>
      </c>
    </row>
    <row r="75" spans="1:16" x14ac:dyDescent="0.2">
      <c r="A75" s="7" t="str">
        <f t="shared" si="4"/>
        <v/>
      </c>
      <c r="B75" s="8"/>
      <c r="C75" s="8"/>
      <c r="D75" s="8"/>
      <c r="E75" s="8"/>
      <c r="F75" s="9"/>
      <c r="G75" s="8"/>
      <c r="H75" s="8"/>
      <c r="I75" s="8"/>
      <c r="J75" s="8"/>
      <c r="K75" s="9"/>
      <c r="L75" s="8"/>
      <c r="M75" s="8"/>
      <c r="N75" s="8"/>
      <c r="O75" s="8"/>
      <c r="P75" s="10" t="str">
        <f t="shared" si="5"/>
        <v/>
      </c>
    </row>
    <row r="76" spans="1:16" x14ac:dyDescent="0.2">
      <c r="A76" s="7" t="str">
        <f t="shared" si="4"/>
        <v/>
      </c>
      <c r="B76" s="8"/>
      <c r="C76" s="8"/>
      <c r="D76" s="8"/>
      <c r="E76" s="8"/>
      <c r="F76" s="9"/>
      <c r="G76" s="8"/>
      <c r="H76" s="8"/>
      <c r="I76" s="8"/>
      <c r="J76" s="8"/>
      <c r="K76" s="9"/>
      <c r="L76" s="8"/>
      <c r="M76" s="8"/>
      <c r="N76" s="8"/>
      <c r="O76" s="8"/>
      <c r="P76" s="10" t="str">
        <f t="shared" si="5"/>
        <v/>
      </c>
    </row>
    <row r="77" spans="1:16" x14ac:dyDescent="0.2">
      <c r="A77" s="7" t="str">
        <f t="shared" si="4"/>
        <v/>
      </c>
      <c r="B77" s="8"/>
      <c r="C77" s="8"/>
      <c r="D77" s="8"/>
      <c r="E77" s="8"/>
      <c r="F77" s="9"/>
      <c r="G77" s="8"/>
      <c r="H77" s="8"/>
      <c r="I77" s="8"/>
      <c r="J77" s="8"/>
      <c r="K77" s="9"/>
      <c r="L77" s="8"/>
      <c r="M77" s="8"/>
      <c r="N77" s="8"/>
      <c r="O77" s="8"/>
      <c r="P77" s="10" t="str">
        <f t="shared" si="5"/>
        <v/>
      </c>
    </row>
    <row r="78" spans="1:16" x14ac:dyDescent="0.2">
      <c r="A78" s="7" t="str">
        <f t="shared" si="4"/>
        <v/>
      </c>
      <c r="B78" s="8"/>
      <c r="C78" s="8"/>
      <c r="D78" s="8"/>
      <c r="E78" s="8"/>
      <c r="F78" s="9"/>
      <c r="G78" s="8"/>
      <c r="H78" s="8"/>
      <c r="I78" s="8"/>
      <c r="J78" s="8"/>
      <c r="K78" s="9"/>
      <c r="L78" s="8"/>
      <c r="M78" s="8"/>
      <c r="N78" s="8"/>
      <c r="O78" s="8"/>
      <c r="P78" s="10" t="str">
        <f t="shared" si="5"/>
        <v/>
      </c>
    </row>
    <row r="79" spans="1:16" x14ac:dyDescent="0.2">
      <c r="A79" s="7" t="str">
        <f t="shared" si="4"/>
        <v/>
      </c>
      <c r="B79" s="8"/>
      <c r="C79" s="8"/>
      <c r="D79" s="8"/>
      <c r="E79" s="8"/>
      <c r="F79" s="9"/>
      <c r="G79" s="8"/>
      <c r="H79" s="8"/>
      <c r="I79" s="8"/>
      <c r="J79" s="8"/>
      <c r="K79" s="9"/>
      <c r="L79" s="8"/>
      <c r="M79" s="8"/>
      <c r="N79" s="8"/>
      <c r="O79" s="8"/>
      <c r="P79" s="10" t="str">
        <f t="shared" si="5"/>
        <v/>
      </c>
    </row>
    <row r="80" spans="1:16" x14ac:dyDescent="0.2">
      <c r="A80" s="7" t="str">
        <f t="shared" si="4"/>
        <v/>
      </c>
      <c r="B80" s="8"/>
      <c r="C80" s="8"/>
      <c r="D80" s="8"/>
      <c r="E80" s="8"/>
      <c r="F80" s="9"/>
      <c r="G80" s="8"/>
      <c r="H80" s="8"/>
      <c r="I80" s="8"/>
      <c r="J80" s="8"/>
      <c r="K80" s="9"/>
      <c r="L80" s="8"/>
      <c r="M80" s="8"/>
      <c r="N80" s="8"/>
      <c r="O80" s="8"/>
      <c r="P80" s="10" t="str">
        <f t="shared" si="5"/>
        <v/>
      </c>
    </row>
    <row r="81" spans="1:16" x14ac:dyDescent="0.2">
      <c r="A81" s="7" t="str">
        <f t="shared" si="4"/>
        <v/>
      </c>
      <c r="B81" s="8"/>
      <c r="C81" s="8"/>
      <c r="D81" s="8"/>
      <c r="E81" s="8"/>
      <c r="F81" s="9"/>
      <c r="G81" s="8"/>
      <c r="H81" s="8"/>
      <c r="I81" s="8"/>
      <c r="J81" s="8"/>
      <c r="K81" s="9"/>
      <c r="L81" s="8"/>
      <c r="M81" s="8"/>
      <c r="N81" s="8"/>
      <c r="O81" s="8"/>
      <c r="P81" s="10" t="str">
        <f t="shared" si="5"/>
        <v/>
      </c>
    </row>
    <row r="82" spans="1:16" x14ac:dyDescent="0.2">
      <c r="A82" s="7" t="str">
        <f t="shared" si="4"/>
        <v/>
      </c>
      <c r="B82" s="8"/>
      <c r="C82" s="8"/>
      <c r="D82" s="8"/>
      <c r="E82" s="8"/>
      <c r="F82" s="9"/>
      <c r="G82" s="8"/>
      <c r="H82" s="8"/>
      <c r="I82" s="8"/>
      <c r="J82" s="8"/>
      <c r="K82" s="9"/>
      <c r="L82" s="8"/>
      <c r="M82" s="8"/>
      <c r="N82" s="8"/>
      <c r="O82" s="8"/>
      <c r="P82" s="10" t="str">
        <f t="shared" si="5"/>
        <v/>
      </c>
    </row>
    <row r="83" spans="1:16" x14ac:dyDescent="0.2">
      <c r="A83" s="7" t="str">
        <f t="shared" si="4"/>
        <v/>
      </c>
      <c r="B83" s="8"/>
      <c r="C83" s="8"/>
      <c r="D83" s="8"/>
      <c r="E83" s="8"/>
      <c r="F83" s="9"/>
      <c r="G83" s="8"/>
      <c r="H83" s="8"/>
      <c r="I83" s="8"/>
      <c r="J83" s="8"/>
      <c r="K83" s="9"/>
      <c r="L83" s="8"/>
      <c r="M83" s="8"/>
      <c r="N83" s="8"/>
      <c r="O83" s="8"/>
      <c r="P83" s="10" t="str">
        <f t="shared" si="5"/>
        <v/>
      </c>
    </row>
    <row r="84" spans="1:16" x14ac:dyDescent="0.2">
      <c r="A84" s="7" t="str">
        <f t="shared" si="4"/>
        <v/>
      </c>
      <c r="B84" s="8"/>
      <c r="C84" s="8"/>
      <c r="D84" s="8"/>
      <c r="E84" s="8"/>
      <c r="F84" s="9"/>
      <c r="G84" s="8"/>
      <c r="H84" s="8"/>
      <c r="I84" s="8"/>
      <c r="J84" s="8"/>
      <c r="K84" s="9"/>
      <c r="L84" s="8"/>
      <c r="M84" s="8"/>
      <c r="N84" s="8"/>
      <c r="O84" s="8"/>
      <c r="P84" s="10" t="str">
        <f t="shared" si="5"/>
        <v/>
      </c>
    </row>
    <row r="85" spans="1:16" x14ac:dyDescent="0.2">
      <c r="A85" s="7" t="str">
        <f t="shared" si="4"/>
        <v/>
      </c>
      <c r="B85" s="8"/>
      <c r="C85" s="8"/>
      <c r="D85" s="8"/>
      <c r="E85" s="8"/>
      <c r="F85" s="9"/>
      <c r="G85" s="8"/>
      <c r="H85" s="8"/>
      <c r="I85" s="8"/>
      <c r="J85" s="8"/>
      <c r="K85" s="9"/>
      <c r="L85" s="8"/>
      <c r="M85" s="8"/>
      <c r="N85" s="8"/>
      <c r="O85" s="8"/>
      <c r="P85" s="10" t="str">
        <f t="shared" si="5"/>
        <v/>
      </c>
    </row>
    <row r="86" spans="1:16" x14ac:dyDescent="0.2">
      <c r="A86" s="7" t="str">
        <f t="shared" si="4"/>
        <v/>
      </c>
      <c r="B86" s="8"/>
      <c r="C86" s="8"/>
      <c r="D86" s="8"/>
      <c r="E86" s="8"/>
      <c r="F86" s="9"/>
      <c r="G86" s="8"/>
      <c r="H86" s="8"/>
      <c r="I86" s="8"/>
      <c r="J86" s="8"/>
      <c r="K86" s="9"/>
      <c r="L86" s="8"/>
      <c r="M86" s="8"/>
      <c r="N86" s="8"/>
      <c r="O86" s="8"/>
      <c r="P86" s="10" t="str">
        <f t="shared" si="5"/>
        <v/>
      </c>
    </row>
    <row r="87" spans="1:16" x14ac:dyDescent="0.2">
      <c r="A87" s="7" t="str">
        <f t="shared" si="4"/>
        <v/>
      </c>
      <c r="B87" s="8"/>
      <c r="C87" s="8"/>
      <c r="D87" s="8"/>
      <c r="E87" s="8"/>
      <c r="F87" s="9"/>
      <c r="G87" s="8"/>
      <c r="H87" s="8"/>
      <c r="I87" s="8"/>
      <c r="J87" s="8"/>
      <c r="K87" s="9"/>
      <c r="L87" s="8"/>
      <c r="M87" s="8"/>
      <c r="N87" s="8"/>
      <c r="O87" s="8"/>
      <c r="P87" s="10" t="str">
        <f t="shared" si="5"/>
        <v/>
      </c>
    </row>
    <row r="88" spans="1:16" x14ac:dyDescent="0.2">
      <c r="A88" s="7" t="str">
        <f t="shared" si="4"/>
        <v/>
      </c>
      <c r="B88" s="8"/>
      <c r="C88" s="8"/>
      <c r="D88" s="8"/>
      <c r="E88" s="8"/>
      <c r="F88" s="9"/>
      <c r="G88" s="8"/>
      <c r="H88" s="8"/>
      <c r="I88" s="8"/>
      <c r="J88" s="8"/>
      <c r="K88" s="9"/>
      <c r="L88" s="8"/>
      <c r="M88" s="8"/>
      <c r="N88" s="8"/>
      <c r="O88" s="8"/>
      <c r="P88" s="10" t="str">
        <f t="shared" si="5"/>
        <v/>
      </c>
    </row>
    <row r="89" spans="1:16" x14ac:dyDescent="0.2">
      <c r="A89" s="7" t="str">
        <f t="shared" si="4"/>
        <v/>
      </c>
      <c r="B89" s="8"/>
      <c r="C89" s="8"/>
      <c r="D89" s="8"/>
      <c r="E89" s="8"/>
      <c r="F89" s="9"/>
      <c r="G89" s="8"/>
      <c r="H89" s="8"/>
      <c r="I89" s="8"/>
      <c r="J89" s="8"/>
      <c r="K89" s="9"/>
      <c r="L89" s="8"/>
      <c r="M89" s="8"/>
      <c r="N89" s="8"/>
      <c r="O89" s="8"/>
      <c r="P89" s="10" t="str">
        <f t="shared" si="5"/>
        <v/>
      </c>
    </row>
    <row r="90" spans="1:16" x14ac:dyDescent="0.2">
      <c r="A90" s="7" t="str">
        <f t="shared" si="4"/>
        <v/>
      </c>
      <c r="B90" s="8"/>
      <c r="C90" s="8"/>
      <c r="D90" s="8"/>
      <c r="E90" s="8"/>
      <c r="F90" s="9"/>
      <c r="G90" s="8"/>
      <c r="H90" s="8"/>
      <c r="I90" s="8"/>
      <c r="J90" s="8"/>
      <c r="K90" s="9"/>
      <c r="L90" s="8"/>
      <c r="M90" s="8"/>
      <c r="N90" s="8"/>
      <c r="O90" s="8"/>
      <c r="P90" s="10" t="str">
        <f t="shared" si="5"/>
        <v/>
      </c>
    </row>
    <row r="91" spans="1:16" x14ac:dyDescent="0.2">
      <c r="A91" s="7" t="str">
        <f t="shared" si="4"/>
        <v/>
      </c>
      <c r="B91" s="8"/>
      <c r="C91" s="8"/>
      <c r="D91" s="8"/>
      <c r="E91" s="8"/>
      <c r="F91" s="9"/>
      <c r="G91" s="8"/>
      <c r="H91" s="8"/>
      <c r="I91" s="8"/>
      <c r="J91" s="8"/>
      <c r="K91" s="9"/>
      <c r="L91" s="8"/>
      <c r="M91" s="8"/>
      <c r="N91" s="8"/>
      <c r="O91" s="8"/>
      <c r="P91" s="10" t="str">
        <f t="shared" si="5"/>
        <v/>
      </c>
    </row>
    <row r="92" spans="1:16" x14ac:dyDescent="0.2">
      <c r="A92" s="7" t="str">
        <f t="shared" si="4"/>
        <v/>
      </c>
      <c r="B92" s="8"/>
      <c r="C92" s="8"/>
      <c r="D92" s="8"/>
      <c r="E92" s="8"/>
      <c r="F92" s="9"/>
      <c r="G92" s="8"/>
      <c r="H92" s="8"/>
      <c r="I92" s="8"/>
      <c r="J92" s="8"/>
      <c r="K92" s="9"/>
      <c r="L92" s="8"/>
      <c r="M92" s="8"/>
      <c r="N92" s="8"/>
      <c r="O92" s="8"/>
      <c r="P92" s="10" t="str">
        <f t="shared" si="5"/>
        <v/>
      </c>
    </row>
    <row r="93" spans="1:16" x14ac:dyDescent="0.2">
      <c r="A93" s="7" t="str">
        <f t="shared" si="4"/>
        <v/>
      </c>
      <c r="B93" s="8"/>
      <c r="C93" s="8"/>
      <c r="D93" s="8"/>
      <c r="E93" s="8"/>
      <c r="F93" s="9"/>
      <c r="G93" s="8"/>
      <c r="H93" s="8"/>
      <c r="I93" s="8"/>
      <c r="J93" s="8"/>
      <c r="K93" s="9"/>
      <c r="L93" s="8"/>
      <c r="M93" s="8"/>
      <c r="N93" s="8"/>
      <c r="O93" s="8"/>
      <c r="P93" s="10" t="str">
        <f t="shared" si="5"/>
        <v/>
      </c>
    </row>
    <row r="94" spans="1:16" x14ac:dyDescent="0.2">
      <c r="A94" s="7" t="str">
        <f t="shared" si="4"/>
        <v/>
      </c>
      <c r="B94" s="8"/>
      <c r="C94" s="8"/>
      <c r="D94" s="8"/>
      <c r="E94" s="8"/>
      <c r="F94" s="9"/>
      <c r="G94" s="8"/>
      <c r="H94" s="8"/>
      <c r="I94" s="8"/>
      <c r="J94" s="8"/>
      <c r="K94" s="9"/>
      <c r="L94" s="8"/>
      <c r="M94" s="8"/>
      <c r="N94" s="8"/>
      <c r="O94" s="8"/>
      <c r="P94" s="10" t="str">
        <f t="shared" si="5"/>
        <v/>
      </c>
    </row>
    <row r="95" spans="1:16" x14ac:dyDescent="0.2">
      <c r="A95" s="7" t="str">
        <f t="shared" si="4"/>
        <v/>
      </c>
      <c r="B95" s="8"/>
      <c r="C95" s="8"/>
      <c r="D95" s="8"/>
      <c r="E95" s="8"/>
      <c r="F95" s="9"/>
      <c r="G95" s="8"/>
      <c r="H95" s="8"/>
      <c r="I95" s="8"/>
      <c r="J95" s="8"/>
      <c r="K95" s="9"/>
      <c r="L95" s="8"/>
      <c r="M95" s="8"/>
      <c r="N95" s="8"/>
      <c r="O95" s="8"/>
      <c r="P95" s="10" t="str">
        <f t="shared" si="5"/>
        <v/>
      </c>
    </row>
    <row r="96" spans="1:16" x14ac:dyDescent="0.2">
      <c r="A96" s="7" t="str">
        <f t="shared" si="4"/>
        <v/>
      </c>
      <c r="B96" s="8"/>
      <c r="C96" s="8"/>
      <c r="D96" s="8"/>
      <c r="E96" s="8"/>
      <c r="F96" s="9"/>
      <c r="G96" s="8"/>
      <c r="H96" s="8"/>
      <c r="I96" s="8"/>
      <c r="J96" s="8"/>
      <c r="K96" s="9"/>
      <c r="L96" s="8"/>
      <c r="M96" s="8"/>
      <c r="N96" s="8"/>
      <c r="O96" s="8"/>
      <c r="P96" s="10" t="str">
        <f t="shared" si="5"/>
        <v/>
      </c>
    </row>
    <row r="97" spans="1:16" x14ac:dyDescent="0.2">
      <c r="A97" s="7" t="str">
        <f t="shared" si="4"/>
        <v/>
      </c>
      <c r="B97" s="8"/>
      <c r="C97" s="8"/>
      <c r="D97" s="8"/>
      <c r="E97" s="8"/>
      <c r="F97" s="9"/>
      <c r="G97" s="8"/>
      <c r="H97" s="8"/>
      <c r="I97" s="8"/>
      <c r="J97" s="8"/>
      <c r="K97" s="9"/>
      <c r="L97" s="8"/>
      <c r="M97" s="8"/>
      <c r="N97" s="8"/>
      <c r="O97" s="8"/>
      <c r="P97" s="10" t="str">
        <f t="shared" si="5"/>
        <v/>
      </c>
    </row>
    <row r="98" spans="1:16" x14ac:dyDescent="0.2">
      <c r="A98" s="7" t="str">
        <f t="shared" si="4"/>
        <v/>
      </c>
      <c r="B98" s="8"/>
      <c r="C98" s="8"/>
      <c r="D98" s="8"/>
      <c r="E98" s="8"/>
      <c r="F98" s="9"/>
      <c r="G98" s="8"/>
      <c r="H98" s="8"/>
      <c r="I98" s="8"/>
      <c r="J98" s="8"/>
      <c r="K98" s="9"/>
      <c r="L98" s="8"/>
      <c r="M98" s="8"/>
      <c r="N98" s="8"/>
      <c r="O98" s="8"/>
      <c r="P98" s="10" t="str">
        <f t="shared" si="5"/>
        <v/>
      </c>
    </row>
    <row r="99" spans="1:16" x14ac:dyDescent="0.2">
      <c r="A99" s="7" t="str">
        <f t="shared" si="4"/>
        <v/>
      </c>
      <c r="B99" s="8"/>
      <c r="C99" s="8"/>
      <c r="D99" s="8"/>
      <c r="E99" s="8"/>
      <c r="F99" s="9"/>
      <c r="G99" s="8"/>
      <c r="H99" s="8"/>
      <c r="I99" s="8"/>
      <c r="J99" s="8"/>
      <c r="K99" s="9"/>
      <c r="L99" s="8"/>
      <c r="M99" s="8"/>
      <c r="N99" s="8"/>
      <c r="O99" s="8"/>
      <c r="P99" s="10" t="str">
        <f t="shared" si="5"/>
        <v/>
      </c>
    </row>
    <row r="100" spans="1:16" x14ac:dyDescent="0.2">
      <c r="A100" s="7" t="str">
        <f t="shared" si="4"/>
        <v/>
      </c>
      <c r="B100" s="8"/>
      <c r="C100" s="8"/>
      <c r="D100" s="8"/>
      <c r="E100" s="8"/>
      <c r="F100" s="9"/>
      <c r="G100" s="8"/>
      <c r="H100" s="8"/>
      <c r="I100" s="8"/>
      <c r="J100" s="8"/>
      <c r="K100" s="9"/>
      <c r="L100" s="8"/>
      <c r="M100" s="8"/>
      <c r="N100" s="8"/>
      <c r="O100" s="8"/>
      <c r="P100" s="10" t="str">
        <f t="shared" si="5"/>
        <v/>
      </c>
    </row>
    <row r="101" spans="1:16" x14ac:dyDescent="0.2">
      <c r="A101" s="7" t="str">
        <f t="shared" ref="A101:A132" si="6">IF(B101="","", "MNA-"&amp;TEXT(ROW()-4,"0000"))</f>
        <v/>
      </c>
      <c r="B101" s="8"/>
      <c r="C101" s="8"/>
      <c r="D101" s="8"/>
      <c r="E101" s="8"/>
      <c r="F101" s="9"/>
      <c r="G101" s="8"/>
      <c r="H101" s="8"/>
      <c r="I101" s="8"/>
      <c r="J101" s="8"/>
      <c r="K101" s="9"/>
      <c r="L101" s="8"/>
      <c r="M101" s="8"/>
      <c r="N101" s="8"/>
      <c r="O101" s="8"/>
      <c r="P101" s="10" t="str">
        <f t="shared" ref="P101:P132" si="7">IF(C101="","",LOWER(C101&amp;"|"&amp;B101&amp;"|"&amp;A101))</f>
        <v/>
      </c>
    </row>
    <row r="102" spans="1:16" x14ac:dyDescent="0.2">
      <c r="A102" s="7" t="str">
        <f t="shared" si="6"/>
        <v/>
      </c>
      <c r="B102" s="8"/>
      <c r="C102" s="8"/>
      <c r="D102" s="8"/>
      <c r="E102" s="8"/>
      <c r="F102" s="9"/>
      <c r="G102" s="8"/>
      <c r="H102" s="8"/>
      <c r="I102" s="8"/>
      <c r="J102" s="8"/>
      <c r="K102" s="9"/>
      <c r="L102" s="8"/>
      <c r="M102" s="8"/>
      <c r="N102" s="8"/>
      <c r="O102" s="8"/>
      <c r="P102" s="10" t="str">
        <f t="shared" si="7"/>
        <v/>
      </c>
    </row>
    <row r="103" spans="1:16" x14ac:dyDescent="0.2">
      <c r="A103" s="7" t="str">
        <f t="shared" si="6"/>
        <v/>
      </c>
      <c r="B103" s="8"/>
      <c r="C103" s="8"/>
      <c r="D103" s="8"/>
      <c r="E103" s="8"/>
      <c r="F103" s="9"/>
      <c r="G103" s="8"/>
      <c r="H103" s="8"/>
      <c r="I103" s="8"/>
      <c r="J103" s="8"/>
      <c r="K103" s="9"/>
      <c r="L103" s="8"/>
      <c r="M103" s="8"/>
      <c r="N103" s="8"/>
      <c r="O103" s="8"/>
      <c r="P103" s="10" t="str">
        <f t="shared" si="7"/>
        <v/>
      </c>
    </row>
    <row r="104" spans="1:16" x14ac:dyDescent="0.2">
      <c r="A104" s="7" t="str">
        <f t="shared" si="6"/>
        <v/>
      </c>
      <c r="B104" s="8"/>
      <c r="C104" s="8"/>
      <c r="D104" s="8"/>
      <c r="E104" s="8"/>
      <c r="F104" s="9"/>
      <c r="G104" s="8"/>
      <c r="H104" s="8"/>
      <c r="I104" s="8"/>
      <c r="J104" s="8"/>
      <c r="K104" s="9"/>
      <c r="L104" s="8"/>
      <c r="M104" s="8"/>
      <c r="N104" s="8"/>
      <c r="O104" s="8"/>
      <c r="P104" s="10" t="str">
        <f t="shared" si="7"/>
        <v/>
      </c>
    </row>
    <row r="105" spans="1:16" x14ac:dyDescent="0.2">
      <c r="A105" s="7" t="str">
        <f t="shared" si="6"/>
        <v/>
      </c>
      <c r="B105" s="8"/>
      <c r="C105" s="8"/>
      <c r="D105" s="8"/>
      <c r="E105" s="8"/>
      <c r="F105" s="9"/>
      <c r="G105" s="8"/>
      <c r="H105" s="8"/>
      <c r="I105" s="8"/>
      <c r="J105" s="8"/>
      <c r="K105" s="9"/>
      <c r="L105" s="8"/>
      <c r="M105" s="8"/>
      <c r="N105" s="8"/>
      <c r="O105" s="8"/>
      <c r="P105" s="10" t="str">
        <f t="shared" si="7"/>
        <v/>
      </c>
    </row>
    <row r="106" spans="1:16" x14ac:dyDescent="0.2">
      <c r="A106" s="7" t="str">
        <f t="shared" si="6"/>
        <v/>
      </c>
      <c r="B106" s="8"/>
      <c r="C106" s="8"/>
      <c r="D106" s="8"/>
      <c r="E106" s="8"/>
      <c r="F106" s="9"/>
      <c r="G106" s="8"/>
      <c r="H106" s="8"/>
      <c r="I106" s="8"/>
      <c r="J106" s="8"/>
      <c r="K106" s="9"/>
      <c r="L106" s="8"/>
      <c r="M106" s="8"/>
      <c r="N106" s="8"/>
      <c r="O106" s="8"/>
      <c r="P106" s="10" t="str">
        <f t="shared" si="7"/>
        <v/>
      </c>
    </row>
    <row r="107" spans="1:16" x14ac:dyDescent="0.2">
      <c r="A107" s="7" t="str">
        <f t="shared" si="6"/>
        <v/>
      </c>
      <c r="B107" s="8"/>
      <c r="C107" s="8"/>
      <c r="D107" s="8"/>
      <c r="E107" s="8"/>
      <c r="F107" s="9"/>
      <c r="G107" s="8"/>
      <c r="H107" s="8"/>
      <c r="I107" s="8"/>
      <c r="J107" s="8"/>
      <c r="K107" s="9"/>
      <c r="L107" s="8"/>
      <c r="M107" s="8"/>
      <c r="N107" s="8"/>
      <c r="O107" s="8"/>
      <c r="P107" s="10" t="str">
        <f t="shared" si="7"/>
        <v/>
      </c>
    </row>
    <row r="108" spans="1:16" x14ac:dyDescent="0.2">
      <c r="A108" s="7" t="str">
        <f t="shared" si="6"/>
        <v/>
      </c>
      <c r="B108" s="8"/>
      <c r="C108" s="8"/>
      <c r="D108" s="8"/>
      <c r="E108" s="8"/>
      <c r="F108" s="9"/>
      <c r="G108" s="8"/>
      <c r="H108" s="8"/>
      <c r="I108" s="8"/>
      <c r="J108" s="8"/>
      <c r="K108" s="9"/>
      <c r="L108" s="8"/>
      <c r="M108" s="8"/>
      <c r="N108" s="8"/>
      <c r="O108" s="8"/>
      <c r="P108" s="10" t="str">
        <f t="shared" si="7"/>
        <v/>
      </c>
    </row>
    <row r="109" spans="1:16" x14ac:dyDescent="0.2">
      <c r="A109" s="7" t="str">
        <f t="shared" si="6"/>
        <v/>
      </c>
      <c r="B109" s="8"/>
      <c r="C109" s="8"/>
      <c r="D109" s="8"/>
      <c r="E109" s="8"/>
      <c r="F109" s="9"/>
      <c r="G109" s="8"/>
      <c r="H109" s="8"/>
      <c r="I109" s="8"/>
      <c r="J109" s="8"/>
      <c r="K109" s="9"/>
      <c r="L109" s="8"/>
      <c r="M109" s="8"/>
      <c r="N109" s="8"/>
      <c r="O109" s="8"/>
      <c r="P109" s="10" t="str">
        <f t="shared" si="7"/>
        <v/>
      </c>
    </row>
    <row r="110" spans="1:16" x14ac:dyDescent="0.2">
      <c r="A110" s="7" t="str">
        <f t="shared" si="6"/>
        <v/>
      </c>
      <c r="B110" s="8"/>
      <c r="C110" s="8"/>
      <c r="D110" s="8"/>
      <c r="E110" s="8"/>
      <c r="F110" s="9"/>
      <c r="G110" s="8"/>
      <c r="H110" s="8"/>
      <c r="I110" s="8"/>
      <c r="J110" s="8"/>
      <c r="K110" s="9"/>
      <c r="L110" s="8"/>
      <c r="M110" s="8"/>
      <c r="N110" s="8"/>
      <c r="O110" s="8"/>
      <c r="P110" s="10" t="str">
        <f t="shared" si="7"/>
        <v/>
      </c>
    </row>
    <row r="111" spans="1:16" x14ac:dyDescent="0.2">
      <c r="A111" s="7" t="str">
        <f t="shared" si="6"/>
        <v/>
      </c>
      <c r="B111" s="8"/>
      <c r="C111" s="8"/>
      <c r="D111" s="8"/>
      <c r="E111" s="8"/>
      <c r="F111" s="9"/>
      <c r="G111" s="8"/>
      <c r="H111" s="8"/>
      <c r="I111" s="8"/>
      <c r="J111" s="8"/>
      <c r="K111" s="9"/>
      <c r="L111" s="8"/>
      <c r="M111" s="8"/>
      <c r="N111" s="8"/>
      <c r="O111" s="8"/>
      <c r="P111" s="10" t="str">
        <f t="shared" si="7"/>
        <v/>
      </c>
    </row>
    <row r="112" spans="1:16" x14ac:dyDescent="0.2">
      <c r="A112" s="7" t="str">
        <f t="shared" si="6"/>
        <v/>
      </c>
      <c r="B112" s="8"/>
      <c r="C112" s="8"/>
      <c r="D112" s="8"/>
      <c r="E112" s="8"/>
      <c r="F112" s="9"/>
      <c r="G112" s="8"/>
      <c r="H112" s="8"/>
      <c r="I112" s="8"/>
      <c r="J112" s="8"/>
      <c r="K112" s="9"/>
      <c r="L112" s="8"/>
      <c r="M112" s="8"/>
      <c r="N112" s="8"/>
      <c r="O112" s="8"/>
      <c r="P112" s="10" t="str">
        <f t="shared" si="7"/>
        <v/>
      </c>
    </row>
    <row r="113" spans="1:16" x14ac:dyDescent="0.2">
      <c r="A113" s="7" t="str">
        <f t="shared" si="6"/>
        <v/>
      </c>
      <c r="B113" s="8"/>
      <c r="C113" s="8"/>
      <c r="D113" s="8"/>
      <c r="E113" s="8"/>
      <c r="F113" s="9"/>
      <c r="G113" s="8"/>
      <c r="H113" s="8"/>
      <c r="I113" s="8"/>
      <c r="J113" s="8"/>
      <c r="K113" s="9"/>
      <c r="L113" s="8"/>
      <c r="M113" s="8"/>
      <c r="N113" s="8"/>
      <c r="O113" s="8"/>
      <c r="P113" s="10" t="str">
        <f t="shared" si="7"/>
        <v/>
      </c>
    </row>
    <row r="114" spans="1:16" x14ac:dyDescent="0.2">
      <c r="A114" s="7" t="str">
        <f t="shared" si="6"/>
        <v/>
      </c>
      <c r="B114" s="8"/>
      <c r="C114" s="8"/>
      <c r="D114" s="8"/>
      <c r="E114" s="8"/>
      <c r="F114" s="9"/>
      <c r="G114" s="8"/>
      <c r="H114" s="8"/>
      <c r="I114" s="8"/>
      <c r="J114" s="8"/>
      <c r="K114" s="9"/>
      <c r="L114" s="8"/>
      <c r="M114" s="8"/>
      <c r="N114" s="8"/>
      <c r="O114" s="8"/>
      <c r="P114" s="10" t="str">
        <f t="shared" si="7"/>
        <v/>
      </c>
    </row>
    <row r="115" spans="1:16" x14ac:dyDescent="0.2">
      <c r="A115" s="7" t="str">
        <f t="shared" si="6"/>
        <v/>
      </c>
      <c r="B115" s="8"/>
      <c r="C115" s="8"/>
      <c r="D115" s="8"/>
      <c r="E115" s="8"/>
      <c r="F115" s="9"/>
      <c r="G115" s="8"/>
      <c r="H115" s="8"/>
      <c r="I115" s="8"/>
      <c r="J115" s="8"/>
      <c r="K115" s="9"/>
      <c r="L115" s="8"/>
      <c r="M115" s="8"/>
      <c r="N115" s="8"/>
      <c r="O115" s="8"/>
      <c r="P115" s="10" t="str">
        <f t="shared" si="7"/>
        <v/>
      </c>
    </row>
    <row r="116" spans="1:16" x14ac:dyDescent="0.2">
      <c r="A116" s="7" t="str">
        <f t="shared" si="6"/>
        <v/>
      </c>
      <c r="B116" s="8"/>
      <c r="C116" s="8"/>
      <c r="D116" s="8"/>
      <c r="E116" s="8"/>
      <c r="F116" s="9"/>
      <c r="G116" s="8"/>
      <c r="H116" s="8"/>
      <c r="I116" s="8"/>
      <c r="J116" s="8"/>
      <c r="K116" s="9"/>
      <c r="L116" s="8"/>
      <c r="M116" s="8"/>
      <c r="N116" s="8"/>
      <c r="O116" s="8"/>
      <c r="P116" s="10" t="str">
        <f t="shared" si="7"/>
        <v/>
      </c>
    </row>
    <row r="117" spans="1:16" x14ac:dyDescent="0.2">
      <c r="A117" s="7" t="str">
        <f t="shared" si="6"/>
        <v/>
      </c>
      <c r="B117" s="8"/>
      <c r="C117" s="8"/>
      <c r="D117" s="8"/>
      <c r="E117" s="8"/>
      <c r="F117" s="9"/>
      <c r="G117" s="8"/>
      <c r="H117" s="8"/>
      <c r="I117" s="8"/>
      <c r="J117" s="8"/>
      <c r="K117" s="9"/>
      <c r="L117" s="8"/>
      <c r="M117" s="8"/>
      <c r="N117" s="8"/>
      <c r="O117" s="8"/>
      <c r="P117" s="10" t="str">
        <f t="shared" si="7"/>
        <v/>
      </c>
    </row>
    <row r="118" spans="1:16" x14ac:dyDescent="0.2">
      <c r="A118" s="7" t="str">
        <f t="shared" si="6"/>
        <v/>
      </c>
      <c r="B118" s="8"/>
      <c r="C118" s="8"/>
      <c r="D118" s="8"/>
      <c r="E118" s="8"/>
      <c r="F118" s="9"/>
      <c r="G118" s="8"/>
      <c r="H118" s="8"/>
      <c r="I118" s="8"/>
      <c r="J118" s="8"/>
      <c r="K118" s="9"/>
      <c r="L118" s="8"/>
      <c r="M118" s="8"/>
      <c r="N118" s="8"/>
      <c r="O118" s="8"/>
      <c r="P118" s="10" t="str">
        <f t="shared" si="7"/>
        <v/>
      </c>
    </row>
    <row r="119" spans="1:16" x14ac:dyDescent="0.2">
      <c r="A119" s="7" t="str">
        <f t="shared" si="6"/>
        <v/>
      </c>
      <c r="B119" s="8"/>
      <c r="C119" s="8"/>
      <c r="D119" s="8"/>
      <c r="E119" s="8"/>
      <c r="F119" s="9"/>
      <c r="G119" s="8"/>
      <c r="H119" s="8"/>
      <c r="I119" s="8"/>
      <c r="J119" s="8"/>
      <c r="K119" s="9"/>
      <c r="L119" s="8"/>
      <c r="M119" s="8"/>
      <c r="N119" s="8"/>
      <c r="O119" s="8"/>
      <c r="P119" s="10" t="str">
        <f t="shared" si="7"/>
        <v/>
      </c>
    </row>
    <row r="120" spans="1:16" x14ac:dyDescent="0.2">
      <c r="A120" s="7" t="str">
        <f t="shared" si="6"/>
        <v/>
      </c>
      <c r="B120" s="8"/>
      <c r="C120" s="8"/>
      <c r="D120" s="8"/>
      <c r="E120" s="8"/>
      <c r="F120" s="9"/>
      <c r="G120" s="8"/>
      <c r="H120" s="8"/>
      <c r="I120" s="8"/>
      <c r="J120" s="8"/>
      <c r="K120" s="9"/>
      <c r="L120" s="8"/>
      <c r="M120" s="8"/>
      <c r="N120" s="8"/>
      <c r="O120" s="8"/>
      <c r="P120" s="10" t="str">
        <f t="shared" si="7"/>
        <v/>
      </c>
    </row>
    <row r="121" spans="1:16" x14ac:dyDescent="0.2">
      <c r="A121" s="7" t="str">
        <f t="shared" si="6"/>
        <v/>
      </c>
      <c r="B121" s="8"/>
      <c r="C121" s="8"/>
      <c r="D121" s="8"/>
      <c r="E121" s="8"/>
      <c r="F121" s="9"/>
      <c r="G121" s="8"/>
      <c r="H121" s="8"/>
      <c r="I121" s="8"/>
      <c r="J121" s="8"/>
      <c r="K121" s="9"/>
      <c r="L121" s="8"/>
      <c r="M121" s="8"/>
      <c r="N121" s="8"/>
      <c r="O121" s="8"/>
      <c r="P121" s="10" t="str">
        <f t="shared" si="7"/>
        <v/>
      </c>
    </row>
    <row r="122" spans="1:16" x14ac:dyDescent="0.2">
      <c r="A122" s="7" t="str">
        <f t="shared" si="6"/>
        <v/>
      </c>
      <c r="B122" s="8"/>
      <c r="C122" s="8"/>
      <c r="D122" s="8"/>
      <c r="E122" s="8"/>
      <c r="F122" s="9"/>
      <c r="G122" s="8"/>
      <c r="H122" s="8"/>
      <c r="I122" s="8"/>
      <c r="J122" s="8"/>
      <c r="K122" s="9"/>
      <c r="L122" s="8"/>
      <c r="M122" s="8"/>
      <c r="N122" s="8"/>
      <c r="O122" s="8"/>
      <c r="P122" s="10" t="str">
        <f t="shared" si="7"/>
        <v/>
      </c>
    </row>
    <row r="123" spans="1:16" x14ac:dyDescent="0.2">
      <c r="A123" s="7" t="str">
        <f t="shared" si="6"/>
        <v/>
      </c>
      <c r="B123" s="8"/>
      <c r="C123" s="8"/>
      <c r="D123" s="8"/>
      <c r="E123" s="8"/>
      <c r="F123" s="9"/>
      <c r="G123" s="8"/>
      <c r="H123" s="8"/>
      <c r="I123" s="8"/>
      <c r="J123" s="8"/>
      <c r="K123" s="9"/>
      <c r="L123" s="8"/>
      <c r="M123" s="8"/>
      <c r="N123" s="8"/>
      <c r="O123" s="8"/>
      <c r="P123" s="10" t="str">
        <f t="shared" si="7"/>
        <v/>
      </c>
    </row>
    <row r="124" spans="1:16" x14ac:dyDescent="0.2">
      <c r="A124" s="7" t="str">
        <f t="shared" si="6"/>
        <v/>
      </c>
      <c r="B124" s="8"/>
      <c r="C124" s="8"/>
      <c r="D124" s="8"/>
      <c r="E124" s="8"/>
      <c r="F124" s="9"/>
      <c r="G124" s="8"/>
      <c r="H124" s="8"/>
      <c r="I124" s="8"/>
      <c r="J124" s="8"/>
      <c r="K124" s="9"/>
      <c r="L124" s="8"/>
      <c r="M124" s="8"/>
      <c r="N124" s="8"/>
      <c r="O124" s="8"/>
      <c r="P124" s="10" t="str">
        <f t="shared" si="7"/>
        <v/>
      </c>
    </row>
    <row r="125" spans="1:16" x14ac:dyDescent="0.2">
      <c r="A125" s="7" t="str">
        <f t="shared" si="6"/>
        <v/>
      </c>
      <c r="B125" s="8"/>
      <c r="C125" s="8"/>
      <c r="D125" s="8"/>
      <c r="E125" s="8"/>
      <c r="F125" s="9"/>
      <c r="G125" s="8"/>
      <c r="H125" s="8"/>
      <c r="I125" s="8"/>
      <c r="J125" s="8"/>
      <c r="K125" s="9"/>
      <c r="L125" s="8"/>
      <c r="M125" s="8"/>
      <c r="N125" s="8"/>
      <c r="O125" s="8"/>
      <c r="P125" s="10" t="str">
        <f t="shared" si="7"/>
        <v/>
      </c>
    </row>
    <row r="126" spans="1:16" x14ac:dyDescent="0.2">
      <c r="A126" s="7" t="str">
        <f t="shared" si="6"/>
        <v/>
      </c>
      <c r="B126" s="8"/>
      <c r="C126" s="8"/>
      <c r="D126" s="8"/>
      <c r="E126" s="8"/>
      <c r="F126" s="9"/>
      <c r="G126" s="8"/>
      <c r="H126" s="8"/>
      <c r="I126" s="8"/>
      <c r="J126" s="8"/>
      <c r="K126" s="9"/>
      <c r="L126" s="8"/>
      <c r="M126" s="8"/>
      <c r="N126" s="8"/>
      <c r="O126" s="8"/>
      <c r="P126" s="10" t="str">
        <f t="shared" si="7"/>
        <v/>
      </c>
    </row>
    <row r="127" spans="1:16" x14ac:dyDescent="0.2">
      <c r="A127" s="7" t="str">
        <f t="shared" si="6"/>
        <v/>
      </c>
      <c r="B127" s="8"/>
      <c r="C127" s="8"/>
      <c r="D127" s="8"/>
      <c r="E127" s="8"/>
      <c r="F127" s="9"/>
      <c r="G127" s="8"/>
      <c r="H127" s="8"/>
      <c r="I127" s="8"/>
      <c r="J127" s="8"/>
      <c r="K127" s="9"/>
      <c r="L127" s="8"/>
      <c r="M127" s="8"/>
      <c r="N127" s="8"/>
      <c r="O127" s="8"/>
      <c r="P127" s="10" t="str">
        <f t="shared" si="7"/>
        <v/>
      </c>
    </row>
    <row r="128" spans="1:16" x14ac:dyDescent="0.2">
      <c r="A128" s="7" t="str">
        <f t="shared" si="6"/>
        <v/>
      </c>
      <c r="B128" s="8"/>
      <c r="C128" s="8"/>
      <c r="D128" s="8"/>
      <c r="E128" s="8"/>
      <c r="F128" s="9"/>
      <c r="G128" s="8"/>
      <c r="H128" s="8"/>
      <c r="I128" s="8"/>
      <c r="J128" s="8"/>
      <c r="K128" s="9"/>
      <c r="L128" s="8"/>
      <c r="M128" s="8"/>
      <c r="N128" s="8"/>
      <c r="O128" s="8"/>
      <c r="P128" s="10" t="str">
        <f t="shared" si="7"/>
        <v/>
      </c>
    </row>
    <row r="129" spans="1:16" x14ac:dyDescent="0.2">
      <c r="A129" s="7" t="str">
        <f t="shared" si="6"/>
        <v/>
      </c>
      <c r="B129" s="8"/>
      <c r="C129" s="8"/>
      <c r="D129" s="8"/>
      <c r="E129" s="8"/>
      <c r="F129" s="9"/>
      <c r="G129" s="8"/>
      <c r="H129" s="8"/>
      <c r="I129" s="8"/>
      <c r="J129" s="8"/>
      <c r="K129" s="9"/>
      <c r="L129" s="8"/>
      <c r="M129" s="8"/>
      <c r="N129" s="8"/>
      <c r="O129" s="8"/>
      <c r="P129" s="10" t="str">
        <f t="shared" si="7"/>
        <v/>
      </c>
    </row>
    <row r="130" spans="1:16" x14ac:dyDescent="0.2">
      <c r="A130" s="7" t="str">
        <f t="shared" si="6"/>
        <v/>
      </c>
      <c r="B130" s="8"/>
      <c r="C130" s="8"/>
      <c r="D130" s="8"/>
      <c r="E130" s="8"/>
      <c r="F130" s="9"/>
      <c r="G130" s="8"/>
      <c r="H130" s="8"/>
      <c r="I130" s="8"/>
      <c r="J130" s="8"/>
      <c r="K130" s="9"/>
      <c r="L130" s="8"/>
      <c r="M130" s="8"/>
      <c r="N130" s="8"/>
      <c r="O130" s="8"/>
      <c r="P130" s="10" t="str">
        <f t="shared" si="7"/>
        <v/>
      </c>
    </row>
    <row r="131" spans="1:16" x14ac:dyDescent="0.2">
      <c r="A131" s="7" t="str">
        <f t="shared" si="6"/>
        <v/>
      </c>
      <c r="B131" s="8"/>
      <c r="C131" s="8"/>
      <c r="D131" s="8"/>
      <c r="E131" s="8"/>
      <c r="F131" s="9"/>
      <c r="G131" s="8"/>
      <c r="H131" s="8"/>
      <c r="I131" s="8"/>
      <c r="J131" s="8"/>
      <c r="K131" s="9"/>
      <c r="L131" s="8"/>
      <c r="M131" s="8"/>
      <c r="N131" s="8"/>
      <c r="O131" s="8"/>
      <c r="P131" s="10" t="str">
        <f t="shared" si="7"/>
        <v/>
      </c>
    </row>
    <row r="132" spans="1:16" x14ac:dyDescent="0.2">
      <c r="A132" s="7" t="str">
        <f t="shared" si="6"/>
        <v/>
      </c>
      <c r="B132" s="8"/>
      <c r="C132" s="8"/>
      <c r="D132" s="8"/>
      <c r="E132" s="8"/>
      <c r="F132" s="9"/>
      <c r="G132" s="8"/>
      <c r="H132" s="8"/>
      <c r="I132" s="8"/>
      <c r="J132" s="8"/>
      <c r="K132" s="9"/>
      <c r="L132" s="8"/>
      <c r="M132" s="8"/>
      <c r="N132" s="8"/>
      <c r="O132" s="8"/>
      <c r="P132" s="10" t="str">
        <f t="shared" si="7"/>
        <v/>
      </c>
    </row>
    <row r="133" spans="1:16" x14ac:dyDescent="0.2">
      <c r="A133" s="7" t="str">
        <f t="shared" ref="A133:A164" si="8">IF(B133="","", "MNA-"&amp;TEXT(ROW()-4,"0000"))</f>
        <v/>
      </c>
      <c r="B133" s="8"/>
      <c r="C133" s="8"/>
      <c r="D133" s="8"/>
      <c r="E133" s="8"/>
      <c r="F133" s="9"/>
      <c r="G133" s="8"/>
      <c r="H133" s="8"/>
      <c r="I133" s="8"/>
      <c r="J133" s="8"/>
      <c r="K133" s="9"/>
      <c r="L133" s="8"/>
      <c r="M133" s="8"/>
      <c r="N133" s="8"/>
      <c r="O133" s="8"/>
      <c r="P133" s="10" t="str">
        <f t="shared" ref="P133:P164" si="9">IF(C133="","",LOWER(C133&amp;"|"&amp;B133&amp;"|"&amp;A133))</f>
        <v/>
      </c>
    </row>
    <row r="134" spans="1:16" x14ac:dyDescent="0.2">
      <c r="A134" s="7" t="str">
        <f t="shared" si="8"/>
        <v/>
      </c>
      <c r="B134" s="8"/>
      <c r="C134" s="8"/>
      <c r="D134" s="8"/>
      <c r="E134" s="8"/>
      <c r="F134" s="9"/>
      <c r="G134" s="8"/>
      <c r="H134" s="8"/>
      <c r="I134" s="8"/>
      <c r="J134" s="8"/>
      <c r="K134" s="9"/>
      <c r="L134" s="8"/>
      <c r="M134" s="8"/>
      <c r="N134" s="8"/>
      <c r="O134" s="8"/>
      <c r="P134" s="10" t="str">
        <f t="shared" si="9"/>
        <v/>
      </c>
    </row>
    <row r="135" spans="1:16" x14ac:dyDescent="0.2">
      <c r="A135" s="7" t="str">
        <f t="shared" si="8"/>
        <v/>
      </c>
      <c r="B135" s="8"/>
      <c r="C135" s="8"/>
      <c r="D135" s="8"/>
      <c r="E135" s="8"/>
      <c r="F135" s="9"/>
      <c r="G135" s="8"/>
      <c r="H135" s="8"/>
      <c r="I135" s="8"/>
      <c r="J135" s="8"/>
      <c r="K135" s="9"/>
      <c r="L135" s="8"/>
      <c r="M135" s="8"/>
      <c r="N135" s="8"/>
      <c r="O135" s="8"/>
      <c r="P135" s="10" t="str">
        <f t="shared" si="9"/>
        <v/>
      </c>
    </row>
    <row r="136" spans="1:16" x14ac:dyDescent="0.2">
      <c r="A136" s="7" t="str">
        <f t="shared" si="8"/>
        <v/>
      </c>
      <c r="B136" s="8"/>
      <c r="C136" s="8"/>
      <c r="D136" s="8"/>
      <c r="E136" s="8"/>
      <c r="F136" s="9"/>
      <c r="G136" s="8"/>
      <c r="H136" s="8"/>
      <c r="I136" s="8"/>
      <c r="J136" s="8"/>
      <c r="K136" s="9"/>
      <c r="L136" s="8"/>
      <c r="M136" s="8"/>
      <c r="N136" s="8"/>
      <c r="O136" s="8"/>
      <c r="P136" s="10" t="str">
        <f t="shared" si="9"/>
        <v/>
      </c>
    </row>
    <row r="137" spans="1:16" x14ac:dyDescent="0.2">
      <c r="A137" s="7" t="str">
        <f t="shared" si="8"/>
        <v/>
      </c>
      <c r="B137" s="8"/>
      <c r="C137" s="8"/>
      <c r="D137" s="8"/>
      <c r="E137" s="8"/>
      <c r="F137" s="9"/>
      <c r="G137" s="8"/>
      <c r="H137" s="8"/>
      <c r="I137" s="8"/>
      <c r="J137" s="8"/>
      <c r="K137" s="9"/>
      <c r="L137" s="8"/>
      <c r="M137" s="8"/>
      <c r="N137" s="8"/>
      <c r="O137" s="8"/>
      <c r="P137" s="10" t="str">
        <f t="shared" si="9"/>
        <v/>
      </c>
    </row>
    <row r="138" spans="1:16" x14ac:dyDescent="0.2">
      <c r="A138" s="7" t="str">
        <f t="shared" si="8"/>
        <v/>
      </c>
      <c r="B138" s="8"/>
      <c r="C138" s="8"/>
      <c r="D138" s="8"/>
      <c r="E138" s="8"/>
      <c r="F138" s="9"/>
      <c r="G138" s="8"/>
      <c r="H138" s="8"/>
      <c r="I138" s="8"/>
      <c r="J138" s="8"/>
      <c r="K138" s="9"/>
      <c r="L138" s="8"/>
      <c r="M138" s="8"/>
      <c r="N138" s="8"/>
      <c r="O138" s="8"/>
      <c r="P138" s="10" t="str">
        <f t="shared" si="9"/>
        <v/>
      </c>
    </row>
    <row r="139" spans="1:16" x14ac:dyDescent="0.2">
      <c r="A139" s="7" t="str">
        <f t="shared" si="8"/>
        <v/>
      </c>
      <c r="B139" s="8"/>
      <c r="C139" s="8"/>
      <c r="D139" s="8"/>
      <c r="E139" s="8"/>
      <c r="F139" s="9"/>
      <c r="G139" s="8"/>
      <c r="H139" s="8"/>
      <c r="I139" s="8"/>
      <c r="J139" s="8"/>
      <c r="K139" s="9"/>
      <c r="L139" s="8"/>
      <c r="M139" s="8"/>
      <c r="N139" s="8"/>
      <c r="O139" s="8"/>
      <c r="P139" s="10" t="str">
        <f t="shared" si="9"/>
        <v/>
      </c>
    </row>
    <row r="140" spans="1:16" x14ac:dyDescent="0.2">
      <c r="A140" s="7" t="str">
        <f t="shared" si="8"/>
        <v/>
      </c>
      <c r="B140" s="8"/>
      <c r="C140" s="8"/>
      <c r="D140" s="8"/>
      <c r="E140" s="8"/>
      <c r="F140" s="9"/>
      <c r="G140" s="8"/>
      <c r="H140" s="8"/>
      <c r="I140" s="8"/>
      <c r="J140" s="8"/>
      <c r="K140" s="9"/>
      <c r="L140" s="8"/>
      <c r="M140" s="8"/>
      <c r="N140" s="8"/>
      <c r="O140" s="8"/>
      <c r="P140" s="10" t="str">
        <f t="shared" si="9"/>
        <v/>
      </c>
    </row>
    <row r="141" spans="1:16" x14ac:dyDescent="0.2">
      <c r="A141" s="7" t="str">
        <f t="shared" si="8"/>
        <v/>
      </c>
      <c r="B141" s="8"/>
      <c r="C141" s="8"/>
      <c r="D141" s="8"/>
      <c r="E141" s="8"/>
      <c r="F141" s="9"/>
      <c r="G141" s="8"/>
      <c r="H141" s="8"/>
      <c r="I141" s="8"/>
      <c r="J141" s="8"/>
      <c r="K141" s="9"/>
      <c r="L141" s="8"/>
      <c r="M141" s="8"/>
      <c r="N141" s="8"/>
      <c r="O141" s="8"/>
      <c r="P141" s="10" t="str">
        <f t="shared" si="9"/>
        <v/>
      </c>
    </row>
    <row r="142" spans="1:16" x14ac:dyDescent="0.2">
      <c r="A142" s="7" t="str">
        <f t="shared" si="8"/>
        <v/>
      </c>
      <c r="B142" s="8"/>
      <c r="C142" s="8"/>
      <c r="D142" s="8"/>
      <c r="E142" s="8"/>
      <c r="F142" s="9"/>
      <c r="G142" s="8"/>
      <c r="H142" s="8"/>
      <c r="I142" s="8"/>
      <c r="J142" s="8"/>
      <c r="K142" s="9"/>
      <c r="L142" s="8"/>
      <c r="M142" s="8"/>
      <c r="N142" s="8"/>
      <c r="O142" s="8"/>
      <c r="P142" s="10" t="str">
        <f t="shared" si="9"/>
        <v/>
      </c>
    </row>
    <row r="143" spans="1:16" x14ac:dyDescent="0.2">
      <c r="A143" s="7" t="str">
        <f t="shared" si="8"/>
        <v/>
      </c>
      <c r="B143" s="8"/>
      <c r="C143" s="8"/>
      <c r="D143" s="8"/>
      <c r="E143" s="8"/>
      <c r="F143" s="9"/>
      <c r="G143" s="8"/>
      <c r="H143" s="8"/>
      <c r="I143" s="8"/>
      <c r="J143" s="8"/>
      <c r="K143" s="9"/>
      <c r="L143" s="8"/>
      <c r="M143" s="8"/>
      <c r="N143" s="8"/>
      <c r="O143" s="8"/>
      <c r="P143" s="10" t="str">
        <f t="shared" si="9"/>
        <v/>
      </c>
    </row>
    <row r="144" spans="1:16" x14ac:dyDescent="0.2">
      <c r="A144" s="7" t="str">
        <f t="shared" si="8"/>
        <v/>
      </c>
      <c r="B144" s="8"/>
      <c r="C144" s="8"/>
      <c r="D144" s="8"/>
      <c r="E144" s="8"/>
      <c r="F144" s="9"/>
      <c r="G144" s="8"/>
      <c r="H144" s="8"/>
      <c r="I144" s="8"/>
      <c r="J144" s="8"/>
      <c r="K144" s="9"/>
      <c r="L144" s="8"/>
      <c r="M144" s="8"/>
      <c r="N144" s="8"/>
      <c r="O144" s="8"/>
      <c r="P144" s="10" t="str">
        <f t="shared" si="9"/>
        <v/>
      </c>
    </row>
    <row r="145" spans="1:16" x14ac:dyDescent="0.2">
      <c r="A145" s="7" t="str">
        <f t="shared" si="8"/>
        <v/>
      </c>
      <c r="B145" s="8"/>
      <c r="C145" s="8"/>
      <c r="D145" s="8"/>
      <c r="E145" s="8"/>
      <c r="F145" s="9"/>
      <c r="G145" s="8"/>
      <c r="H145" s="8"/>
      <c r="I145" s="8"/>
      <c r="J145" s="8"/>
      <c r="K145" s="9"/>
      <c r="L145" s="8"/>
      <c r="M145" s="8"/>
      <c r="N145" s="8"/>
      <c r="O145" s="8"/>
      <c r="P145" s="10" t="str">
        <f t="shared" si="9"/>
        <v/>
      </c>
    </row>
    <row r="146" spans="1:16" x14ac:dyDescent="0.2">
      <c r="A146" s="7" t="str">
        <f t="shared" si="8"/>
        <v/>
      </c>
      <c r="B146" s="8"/>
      <c r="C146" s="8"/>
      <c r="D146" s="8"/>
      <c r="E146" s="8"/>
      <c r="F146" s="9"/>
      <c r="G146" s="8"/>
      <c r="H146" s="8"/>
      <c r="I146" s="8"/>
      <c r="J146" s="8"/>
      <c r="K146" s="9"/>
      <c r="L146" s="8"/>
      <c r="M146" s="8"/>
      <c r="N146" s="8"/>
      <c r="O146" s="8"/>
      <c r="P146" s="10" t="str">
        <f t="shared" si="9"/>
        <v/>
      </c>
    </row>
    <row r="147" spans="1:16" x14ac:dyDescent="0.2">
      <c r="A147" s="7" t="str">
        <f t="shared" si="8"/>
        <v/>
      </c>
      <c r="B147" s="8"/>
      <c r="C147" s="8"/>
      <c r="D147" s="8"/>
      <c r="E147" s="8"/>
      <c r="F147" s="9"/>
      <c r="G147" s="8"/>
      <c r="H147" s="8"/>
      <c r="I147" s="8"/>
      <c r="J147" s="8"/>
      <c r="K147" s="9"/>
      <c r="L147" s="8"/>
      <c r="M147" s="8"/>
      <c r="N147" s="8"/>
      <c r="O147" s="8"/>
      <c r="P147" s="10" t="str">
        <f t="shared" si="9"/>
        <v/>
      </c>
    </row>
    <row r="148" spans="1:16" x14ac:dyDescent="0.2">
      <c r="A148" s="7" t="str">
        <f t="shared" si="8"/>
        <v/>
      </c>
      <c r="B148" s="8"/>
      <c r="C148" s="8"/>
      <c r="D148" s="8"/>
      <c r="E148" s="8"/>
      <c r="F148" s="9"/>
      <c r="G148" s="8"/>
      <c r="H148" s="8"/>
      <c r="I148" s="8"/>
      <c r="J148" s="8"/>
      <c r="K148" s="9"/>
      <c r="L148" s="8"/>
      <c r="M148" s="8"/>
      <c r="N148" s="8"/>
      <c r="O148" s="8"/>
      <c r="P148" s="10" t="str">
        <f t="shared" si="9"/>
        <v/>
      </c>
    </row>
    <row r="149" spans="1:16" x14ac:dyDescent="0.2">
      <c r="A149" s="7" t="str">
        <f t="shared" si="8"/>
        <v/>
      </c>
      <c r="B149" s="8"/>
      <c r="C149" s="8"/>
      <c r="D149" s="8"/>
      <c r="E149" s="8"/>
      <c r="F149" s="9"/>
      <c r="G149" s="8"/>
      <c r="H149" s="8"/>
      <c r="I149" s="8"/>
      <c r="J149" s="8"/>
      <c r="K149" s="9"/>
      <c r="L149" s="8"/>
      <c r="M149" s="8"/>
      <c r="N149" s="8"/>
      <c r="O149" s="8"/>
      <c r="P149" s="10" t="str">
        <f t="shared" si="9"/>
        <v/>
      </c>
    </row>
    <row r="150" spans="1:16" x14ac:dyDescent="0.2">
      <c r="A150" s="7" t="str">
        <f t="shared" si="8"/>
        <v/>
      </c>
      <c r="B150" s="8"/>
      <c r="C150" s="8"/>
      <c r="D150" s="8"/>
      <c r="E150" s="8"/>
      <c r="F150" s="9"/>
      <c r="G150" s="8"/>
      <c r="H150" s="8"/>
      <c r="I150" s="8"/>
      <c r="J150" s="8"/>
      <c r="K150" s="9"/>
      <c r="L150" s="8"/>
      <c r="M150" s="8"/>
      <c r="N150" s="8"/>
      <c r="O150" s="8"/>
      <c r="P150" s="10" t="str">
        <f t="shared" si="9"/>
        <v/>
      </c>
    </row>
    <row r="151" spans="1:16" x14ac:dyDescent="0.2">
      <c r="A151" s="7" t="str">
        <f t="shared" si="8"/>
        <v/>
      </c>
      <c r="B151" s="8"/>
      <c r="C151" s="8"/>
      <c r="D151" s="8"/>
      <c r="E151" s="8"/>
      <c r="F151" s="9"/>
      <c r="G151" s="8"/>
      <c r="H151" s="8"/>
      <c r="I151" s="8"/>
      <c r="J151" s="8"/>
      <c r="K151" s="9"/>
      <c r="L151" s="8"/>
      <c r="M151" s="8"/>
      <c r="N151" s="8"/>
      <c r="O151" s="8"/>
      <c r="P151" s="10" t="str">
        <f t="shared" si="9"/>
        <v/>
      </c>
    </row>
    <row r="152" spans="1:16" x14ac:dyDescent="0.2">
      <c r="A152" s="7" t="str">
        <f t="shared" si="8"/>
        <v/>
      </c>
      <c r="B152" s="8"/>
      <c r="C152" s="8"/>
      <c r="D152" s="8"/>
      <c r="E152" s="8"/>
      <c r="F152" s="9"/>
      <c r="G152" s="8"/>
      <c r="H152" s="8"/>
      <c r="I152" s="8"/>
      <c r="J152" s="8"/>
      <c r="K152" s="9"/>
      <c r="L152" s="8"/>
      <c r="M152" s="8"/>
      <c r="N152" s="8"/>
      <c r="O152" s="8"/>
      <c r="P152" s="10" t="str">
        <f t="shared" si="9"/>
        <v/>
      </c>
    </row>
    <row r="153" spans="1:16" x14ac:dyDescent="0.2">
      <c r="A153" s="7" t="str">
        <f t="shared" si="8"/>
        <v/>
      </c>
      <c r="B153" s="8"/>
      <c r="C153" s="8"/>
      <c r="D153" s="8"/>
      <c r="E153" s="8"/>
      <c r="F153" s="9"/>
      <c r="G153" s="8"/>
      <c r="H153" s="8"/>
      <c r="I153" s="8"/>
      <c r="J153" s="8"/>
      <c r="K153" s="9"/>
      <c r="L153" s="8"/>
      <c r="M153" s="8"/>
      <c r="N153" s="8"/>
      <c r="O153" s="8"/>
      <c r="P153" s="10" t="str">
        <f t="shared" si="9"/>
        <v/>
      </c>
    </row>
    <row r="154" spans="1:16" x14ac:dyDescent="0.2">
      <c r="A154" s="7" t="str">
        <f t="shared" si="8"/>
        <v/>
      </c>
      <c r="B154" s="8"/>
      <c r="C154" s="8"/>
      <c r="D154" s="8"/>
      <c r="E154" s="8"/>
      <c r="F154" s="9"/>
      <c r="G154" s="8"/>
      <c r="H154" s="8"/>
      <c r="I154" s="8"/>
      <c r="J154" s="8"/>
      <c r="K154" s="9"/>
      <c r="L154" s="8"/>
      <c r="M154" s="8"/>
      <c r="N154" s="8"/>
      <c r="O154" s="8"/>
      <c r="P154" s="10" t="str">
        <f t="shared" si="9"/>
        <v/>
      </c>
    </row>
    <row r="155" spans="1:16" x14ac:dyDescent="0.2">
      <c r="A155" s="7" t="str">
        <f t="shared" si="8"/>
        <v/>
      </c>
      <c r="B155" s="8"/>
      <c r="C155" s="8"/>
      <c r="D155" s="8"/>
      <c r="E155" s="8"/>
      <c r="F155" s="9"/>
      <c r="G155" s="8"/>
      <c r="H155" s="8"/>
      <c r="I155" s="8"/>
      <c r="J155" s="8"/>
      <c r="K155" s="9"/>
      <c r="L155" s="8"/>
      <c r="M155" s="8"/>
      <c r="N155" s="8"/>
      <c r="O155" s="8"/>
      <c r="P155" s="10" t="str">
        <f t="shared" si="9"/>
        <v/>
      </c>
    </row>
    <row r="156" spans="1:16" x14ac:dyDescent="0.2">
      <c r="A156" s="7" t="str">
        <f t="shared" si="8"/>
        <v/>
      </c>
      <c r="B156" s="8"/>
      <c r="C156" s="8"/>
      <c r="D156" s="8"/>
      <c r="E156" s="8"/>
      <c r="F156" s="9"/>
      <c r="G156" s="8"/>
      <c r="H156" s="8"/>
      <c r="I156" s="8"/>
      <c r="J156" s="8"/>
      <c r="K156" s="9"/>
      <c r="L156" s="8"/>
      <c r="M156" s="8"/>
      <c r="N156" s="8"/>
      <c r="O156" s="8"/>
      <c r="P156" s="10" t="str">
        <f t="shared" si="9"/>
        <v/>
      </c>
    </row>
    <row r="157" spans="1:16" x14ac:dyDescent="0.2">
      <c r="A157" s="7" t="str">
        <f t="shared" si="8"/>
        <v/>
      </c>
      <c r="B157" s="8"/>
      <c r="C157" s="8"/>
      <c r="D157" s="8"/>
      <c r="E157" s="8"/>
      <c r="F157" s="9"/>
      <c r="G157" s="8"/>
      <c r="H157" s="8"/>
      <c r="I157" s="8"/>
      <c r="J157" s="8"/>
      <c r="K157" s="9"/>
      <c r="L157" s="8"/>
      <c r="M157" s="8"/>
      <c r="N157" s="8"/>
      <c r="O157" s="8"/>
      <c r="P157" s="10" t="str">
        <f t="shared" si="9"/>
        <v/>
      </c>
    </row>
    <row r="158" spans="1:16" x14ac:dyDescent="0.2">
      <c r="A158" s="7" t="str">
        <f t="shared" si="8"/>
        <v/>
      </c>
      <c r="B158" s="8"/>
      <c r="C158" s="8"/>
      <c r="D158" s="8"/>
      <c r="E158" s="8"/>
      <c r="F158" s="9"/>
      <c r="G158" s="8"/>
      <c r="H158" s="8"/>
      <c r="I158" s="8"/>
      <c r="J158" s="8"/>
      <c r="K158" s="9"/>
      <c r="L158" s="8"/>
      <c r="M158" s="8"/>
      <c r="N158" s="8"/>
      <c r="O158" s="8"/>
      <c r="P158" s="10" t="str">
        <f t="shared" si="9"/>
        <v/>
      </c>
    </row>
    <row r="159" spans="1:16" x14ac:dyDescent="0.2">
      <c r="A159" s="7" t="str">
        <f t="shared" si="8"/>
        <v/>
      </c>
      <c r="B159" s="8"/>
      <c r="C159" s="8"/>
      <c r="D159" s="8"/>
      <c r="E159" s="8"/>
      <c r="F159" s="9"/>
      <c r="G159" s="8"/>
      <c r="H159" s="8"/>
      <c r="I159" s="8"/>
      <c r="J159" s="8"/>
      <c r="K159" s="9"/>
      <c r="L159" s="8"/>
      <c r="M159" s="8"/>
      <c r="N159" s="8"/>
      <c r="O159" s="8"/>
      <c r="P159" s="10" t="str">
        <f t="shared" si="9"/>
        <v/>
      </c>
    </row>
    <row r="160" spans="1:16" x14ac:dyDescent="0.2">
      <c r="A160" s="7" t="str">
        <f t="shared" si="8"/>
        <v/>
      </c>
      <c r="B160" s="8"/>
      <c r="C160" s="8"/>
      <c r="D160" s="8"/>
      <c r="E160" s="8"/>
      <c r="F160" s="9"/>
      <c r="G160" s="8"/>
      <c r="H160" s="8"/>
      <c r="I160" s="8"/>
      <c r="J160" s="8"/>
      <c r="K160" s="9"/>
      <c r="L160" s="8"/>
      <c r="M160" s="8"/>
      <c r="N160" s="8"/>
      <c r="O160" s="8"/>
      <c r="P160" s="10" t="str">
        <f t="shared" si="9"/>
        <v/>
      </c>
    </row>
    <row r="161" spans="1:16" x14ac:dyDescent="0.2">
      <c r="A161" s="7" t="str">
        <f t="shared" si="8"/>
        <v/>
      </c>
      <c r="B161" s="8"/>
      <c r="C161" s="8"/>
      <c r="D161" s="8"/>
      <c r="E161" s="8"/>
      <c r="F161" s="9"/>
      <c r="G161" s="8"/>
      <c r="H161" s="8"/>
      <c r="I161" s="8"/>
      <c r="J161" s="8"/>
      <c r="K161" s="9"/>
      <c r="L161" s="8"/>
      <c r="M161" s="8"/>
      <c r="N161" s="8"/>
      <c r="O161" s="8"/>
      <c r="P161" s="10" t="str">
        <f t="shared" si="9"/>
        <v/>
      </c>
    </row>
    <row r="162" spans="1:16" x14ac:dyDescent="0.2">
      <c r="A162" s="7" t="str">
        <f t="shared" si="8"/>
        <v/>
      </c>
      <c r="B162" s="8"/>
      <c r="C162" s="8"/>
      <c r="D162" s="8"/>
      <c r="E162" s="8"/>
      <c r="F162" s="9"/>
      <c r="G162" s="8"/>
      <c r="H162" s="8"/>
      <c r="I162" s="8"/>
      <c r="J162" s="8"/>
      <c r="K162" s="9"/>
      <c r="L162" s="8"/>
      <c r="M162" s="8"/>
      <c r="N162" s="8"/>
      <c r="O162" s="8"/>
      <c r="P162" s="10" t="str">
        <f t="shared" si="9"/>
        <v/>
      </c>
    </row>
    <row r="163" spans="1:16" x14ac:dyDescent="0.2">
      <c r="A163" s="7" t="str">
        <f t="shared" si="8"/>
        <v/>
      </c>
      <c r="B163" s="8"/>
      <c r="C163" s="8"/>
      <c r="D163" s="8"/>
      <c r="E163" s="8"/>
      <c r="F163" s="9"/>
      <c r="G163" s="8"/>
      <c r="H163" s="8"/>
      <c r="I163" s="8"/>
      <c r="J163" s="8"/>
      <c r="K163" s="9"/>
      <c r="L163" s="8"/>
      <c r="M163" s="8"/>
      <c r="N163" s="8"/>
      <c r="O163" s="8"/>
      <c r="P163" s="10" t="str">
        <f t="shared" si="9"/>
        <v/>
      </c>
    </row>
    <row r="164" spans="1:16" x14ac:dyDescent="0.2">
      <c r="A164" s="7" t="str">
        <f t="shared" si="8"/>
        <v/>
      </c>
      <c r="B164" s="8"/>
      <c r="C164" s="8"/>
      <c r="D164" s="8"/>
      <c r="E164" s="8"/>
      <c r="F164" s="9"/>
      <c r="G164" s="8"/>
      <c r="H164" s="8"/>
      <c r="I164" s="8"/>
      <c r="J164" s="8"/>
      <c r="K164" s="9"/>
      <c r="L164" s="8"/>
      <c r="M164" s="8"/>
      <c r="N164" s="8"/>
      <c r="O164" s="8"/>
      <c r="P164" s="10" t="str">
        <f t="shared" si="9"/>
        <v/>
      </c>
    </row>
    <row r="165" spans="1:16" x14ac:dyDescent="0.2">
      <c r="A165" s="7" t="str">
        <f t="shared" ref="A165:A196" si="10">IF(B165="","", "MNA-"&amp;TEXT(ROW()-4,"0000"))</f>
        <v/>
      </c>
      <c r="B165" s="8"/>
      <c r="C165" s="8"/>
      <c r="D165" s="8"/>
      <c r="E165" s="8"/>
      <c r="F165" s="9"/>
      <c r="G165" s="8"/>
      <c r="H165" s="8"/>
      <c r="I165" s="8"/>
      <c r="J165" s="8"/>
      <c r="K165" s="9"/>
      <c r="L165" s="8"/>
      <c r="M165" s="8"/>
      <c r="N165" s="8"/>
      <c r="O165" s="8"/>
      <c r="P165" s="10" t="str">
        <f t="shared" ref="P165:P196" si="11">IF(C165="","",LOWER(C165&amp;"|"&amp;B165&amp;"|"&amp;A165))</f>
        <v/>
      </c>
    </row>
    <row r="166" spans="1:16" x14ac:dyDescent="0.2">
      <c r="A166" s="7" t="str">
        <f t="shared" si="10"/>
        <v/>
      </c>
      <c r="B166" s="8"/>
      <c r="C166" s="8"/>
      <c r="D166" s="8"/>
      <c r="E166" s="8"/>
      <c r="F166" s="9"/>
      <c r="G166" s="8"/>
      <c r="H166" s="8"/>
      <c r="I166" s="8"/>
      <c r="J166" s="8"/>
      <c r="K166" s="9"/>
      <c r="L166" s="8"/>
      <c r="M166" s="8"/>
      <c r="N166" s="8"/>
      <c r="O166" s="8"/>
      <c r="P166" s="10" t="str">
        <f t="shared" si="11"/>
        <v/>
      </c>
    </row>
    <row r="167" spans="1:16" x14ac:dyDescent="0.2">
      <c r="A167" s="7" t="str">
        <f t="shared" si="10"/>
        <v/>
      </c>
      <c r="B167" s="8"/>
      <c r="C167" s="8"/>
      <c r="D167" s="8"/>
      <c r="E167" s="8"/>
      <c r="F167" s="9"/>
      <c r="G167" s="8"/>
      <c r="H167" s="8"/>
      <c r="I167" s="8"/>
      <c r="J167" s="8"/>
      <c r="K167" s="9"/>
      <c r="L167" s="8"/>
      <c r="M167" s="8"/>
      <c r="N167" s="8"/>
      <c r="O167" s="8"/>
      <c r="P167" s="10" t="str">
        <f t="shared" si="11"/>
        <v/>
      </c>
    </row>
    <row r="168" spans="1:16" x14ac:dyDescent="0.2">
      <c r="A168" s="7" t="str">
        <f t="shared" si="10"/>
        <v/>
      </c>
      <c r="B168" s="8"/>
      <c r="C168" s="8"/>
      <c r="D168" s="8"/>
      <c r="E168" s="8"/>
      <c r="F168" s="9"/>
      <c r="G168" s="8"/>
      <c r="H168" s="8"/>
      <c r="I168" s="8"/>
      <c r="J168" s="8"/>
      <c r="K168" s="9"/>
      <c r="L168" s="8"/>
      <c r="M168" s="8"/>
      <c r="N168" s="8"/>
      <c r="O168" s="8"/>
      <c r="P168" s="10" t="str">
        <f t="shared" si="11"/>
        <v/>
      </c>
    </row>
    <row r="169" spans="1:16" x14ac:dyDescent="0.2">
      <c r="A169" s="7" t="str">
        <f t="shared" si="10"/>
        <v/>
      </c>
      <c r="B169" s="8"/>
      <c r="C169" s="8"/>
      <c r="D169" s="8"/>
      <c r="E169" s="8"/>
      <c r="F169" s="9"/>
      <c r="G169" s="8"/>
      <c r="H169" s="8"/>
      <c r="I169" s="8"/>
      <c r="J169" s="8"/>
      <c r="K169" s="9"/>
      <c r="L169" s="8"/>
      <c r="M169" s="8"/>
      <c r="N169" s="8"/>
      <c r="O169" s="8"/>
      <c r="P169" s="10" t="str">
        <f t="shared" si="11"/>
        <v/>
      </c>
    </row>
    <row r="170" spans="1:16" x14ac:dyDescent="0.2">
      <c r="A170" s="7" t="str">
        <f t="shared" si="10"/>
        <v/>
      </c>
      <c r="B170" s="8"/>
      <c r="C170" s="8"/>
      <c r="D170" s="8"/>
      <c r="E170" s="8"/>
      <c r="F170" s="9"/>
      <c r="G170" s="8"/>
      <c r="H170" s="8"/>
      <c r="I170" s="8"/>
      <c r="J170" s="8"/>
      <c r="K170" s="9"/>
      <c r="L170" s="8"/>
      <c r="M170" s="8"/>
      <c r="N170" s="8"/>
      <c r="O170" s="8"/>
      <c r="P170" s="10" t="str">
        <f t="shared" si="11"/>
        <v/>
      </c>
    </row>
    <row r="171" spans="1:16" x14ac:dyDescent="0.2">
      <c r="A171" s="7" t="str">
        <f t="shared" si="10"/>
        <v/>
      </c>
      <c r="B171" s="8"/>
      <c r="C171" s="8"/>
      <c r="D171" s="8"/>
      <c r="E171" s="8"/>
      <c r="F171" s="9"/>
      <c r="G171" s="8"/>
      <c r="H171" s="8"/>
      <c r="I171" s="8"/>
      <c r="J171" s="8"/>
      <c r="K171" s="9"/>
      <c r="L171" s="8"/>
      <c r="M171" s="8"/>
      <c r="N171" s="8"/>
      <c r="O171" s="8"/>
      <c r="P171" s="10" t="str">
        <f t="shared" si="11"/>
        <v/>
      </c>
    </row>
    <row r="172" spans="1:16" x14ac:dyDescent="0.2">
      <c r="A172" s="7" t="str">
        <f t="shared" si="10"/>
        <v/>
      </c>
      <c r="B172" s="8"/>
      <c r="C172" s="8"/>
      <c r="D172" s="8"/>
      <c r="E172" s="8"/>
      <c r="F172" s="9"/>
      <c r="G172" s="8"/>
      <c r="H172" s="8"/>
      <c r="I172" s="8"/>
      <c r="J172" s="8"/>
      <c r="K172" s="9"/>
      <c r="L172" s="8"/>
      <c r="M172" s="8"/>
      <c r="N172" s="8"/>
      <c r="O172" s="8"/>
      <c r="P172" s="10" t="str">
        <f t="shared" si="11"/>
        <v/>
      </c>
    </row>
    <row r="173" spans="1:16" x14ac:dyDescent="0.2">
      <c r="A173" s="7" t="str">
        <f t="shared" si="10"/>
        <v/>
      </c>
      <c r="B173" s="8"/>
      <c r="C173" s="8"/>
      <c r="D173" s="8"/>
      <c r="E173" s="8"/>
      <c r="F173" s="9"/>
      <c r="G173" s="8"/>
      <c r="H173" s="8"/>
      <c r="I173" s="8"/>
      <c r="J173" s="8"/>
      <c r="K173" s="9"/>
      <c r="L173" s="8"/>
      <c r="M173" s="8"/>
      <c r="N173" s="8"/>
      <c r="O173" s="8"/>
      <c r="P173" s="10" t="str">
        <f t="shared" si="11"/>
        <v/>
      </c>
    </row>
    <row r="174" spans="1:16" x14ac:dyDescent="0.2">
      <c r="A174" s="7" t="str">
        <f t="shared" si="10"/>
        <v/>
      </c>
      <c r="B174" s="8"/>
      <c r="C174" s="8"/>
      <c r="D174" s="8"/>
      <c r="E174" s="8"/>
      <c r="F174" s="9"/>
      <c r="G174" s="8"/>
      <c r="H174" s="8"/>
      <c r="I174" s="8"/>
      <c r="J174" s="8"/>
      <c r="K174" s="9"/>
      <c r="L174" s="8"/>
      <c r="M174" s="8"/>
      <c r="N174" s="8"/>
      <c r="O174" s="8"/>
      <c r="P174" s="10" t="str">
        <f t="shared" si="11"/>
        <v/>
      </c>
    </row>
    <row r="175" spans="1:16" x14ac:dyDescent="0.2">
      <c r="A175" s="7" t="str">
        <f t="shared" si="10"/>
        <v/>
      </c>
      <c r="B175" s="8"/>
      <c r="C175" s="8"/>
      <c r="D175" s="8"/>
      <c r="E175" s="8"/>
      <c r="F175" s="9"/>
      <c r="G175" s="8"/>
      <c r="H175" s="8"/>
      <c r="I175" s="8"/>
      <c r="J175" s="8"/>
      <c r="K175" s="9"/>
      <c r="L175" s="8"/>
      <c r="M175" s="8"/>
      <c r="N175" s="8"/>
      <c r="O175" s="8"/>
      <c r="P175" s="10" t="str">
        <f t="shared" si="11"/>
        <v/>
      </c>
    </row>
    <row r="176" spans="1:16" x14ac:dyDescent="0.2">
      <c r="A176" s="7" t="str">
        <f t="shared" si="10"/>
        <v/>
      </c>
      <c r="B176" s="8"/>
      <c r="C176" s="8"/>
      <c r="D176" s="8"/>
      <c r="E176" s="8"/>
      <c r="F176" s="9"/>
      <c r="G176" s="8"/>
      <c r="H176" s="8"/>
      <c r="I176" s="8"/>
      <c r="J176" s="8"/>
      <c r="K176" s="9"/>
      <c r="L176" s="8"/>
      <c r="M176" s="8"/>
      <c r="N176" s="8"/>
      <c r="O176" s="8"/>
      <c r="P176" s="10" t="str">
        <f t="shared" si="11"/>
        <v/>
      </c>
    </row>
    <row r="177" spans="1:16" x14ac:dyDescent="0.2">
      <c r="A177" s="7" t="str">
        <f t="shared" si="10"/>
        <v/>
      </c>
      <c r="B177" s="8"/>
      <c r="C177" s="8"/>
      <c r="D177" s="8"/>
      <c r="E177" s="8"/>
      <c r="F177" s="9"/>
      <c r="G177" s="8"/>
      <c r="H177" s="8"/>
      <c r="I177" s="8"/>
      <c r="J177" s="8"/>
      <c r="K177" s="9"/>
      <c r="L177" s="8"/>
      <c r="M177" s="8"/>
      <c r="N177" s="8"/>
      <c r="O177" s="8"/>
      <c r="P177" s="10" t="str">
        <f t="shared" si="11"/>
        <v/>
      </c>
    </row>
    <row r="178" spans="1:16" x14ac:dyDescent="0.2">
      <c r="A178" s="7" t="str">
        <f t="shared" si="10"/>
        <v/>
      </c>
      <c r="B178" s="8"/>
      <c r="C178" s="8"/>
      <c r="D178" s="8"/>
      <c r="E178" s="8"/>
      <c r="F178" s="9"/>
      <c r="G178" s="8"/>
      <c r="H178" s="8"/>
      <c r="I178" s="8"/>
      <c r="J178" s="8"/>
      <c r="K178" s="9"/>
      <c r="L178" s="8"/>
      <c r="M178" s="8"/>
      <c r="N178" s="8"/>
      <c r="O178" s="8"/>
      <c r="P178" s="10" t="str">
        <f t="shared" si="11"/>
        <v/>
      </c>
    </row>
    <row r="179" spans="1:16" x14ac:dyDescent="0.2">
      <c r="A179" s="7" t="str">
        <f t="shared" si="10"/>
        <v/>
      </c>
      <c r="B179" s="8"/>
      <c r="C179" s="8"/>
      <c r="D179" s="8"/>
      <c r="E179" s="8"/>
      <c r="F179" s="9"/>
      <c r="G179" s="8"/>
      <c r="H179" s="8"/>
      <c r="I179" s="8"/>
      <c r="J179" s="8"/>
      <c r="K179" s="9"/>
      <c r="L179" s="8"/>
      <c r="M179" s="8"/>
      <c r="N179" s="8"/>
      <c r="O179" s="8"/>
      <c r="P179" s="10" t="str">
        <f t="shared" si="11"/>
        <v/>
      </c>
    </row>
    <row r="180" spans="1:16" x14ac:dyDescent="0.2">
      <c r="A180" s="7" t="str">
        <f t="shared" si="10"/>
        <v/>
      </c>
      <c r="B180" s="8"/>
      <c r="C180" s="8"/>
      <c r="D180" s="8"/>
      <c r="E180" s="8"/>
      <c r="F180" s="9"/>
      <c r="G180" s="8"/>
      <c r="H180" s="8"/>
      <c r="I180" s="8"/>
      <c r="J180" s="8"/>
      <c r="K180" s="9"/>
      <c r="L180" s="8"/>
      <c r="M180" s="8"/>
      <c r="N180" s="8"/>
      <c r="O180" s="8"/>
      <c r="P180" s="10" t="str">
        <f t="shared" si="11"/>
        <v/>
      </c>
    </row>
    <row r="181" spans="1:16" x14ac:dyDescent="0.2">
      <c r="A181" s="7" t="str">
        <f t="shared" si="10"/>
        <v/>
      </c>
      <c r="B181" s="8"/>
      <c r="C181" s="8"/>
      <c r="D181" s="8"/>
      <c r="E181" s="8"/>
      <c r="F181" s="9"/>
      <c r="G181" s="8"/>
      <c r="H181" s="8"/>
      <c r="I181" s="8"/>
      <c r="J181" s="8"/>
      <c r="K181" s="9"/>
      <c r="L181" s="8"/>
      <c r="M181" s="8"/>
      <c r="N181" s="8"/>
      <c r="O181" s="8"/>
      <c r="P181" s="10" t="str">
        <f t="shared" si="11"/>
        <v/>
      </c>
    </row>
    <row r="182" spans="1:16" x14ac:dyDescent="0.2">
      <c r="A182" s="7" t="str">
        <f t="shared" si="10"/>
        <v/>
      </c>
      <c r="B182" s="8"/>
      <c r="C182" s="8"/>
      <c r="D182" s="8"/>
      <c r="E182" s="8"/>
      <c r="F182" s="9"/>
      <c r="G182" s="8"/>
      <c r="H182" s="8"/>
      <c r="I182" s="8"/>
      <c r="J182" s="8"/>
      <c r="K182" s="9"/>
      <c r="L182" s="8"/>
      <c r="M182" s="8"/>
      <c r="N182" s="8"/>
      <c r="O182" s="8"/>
      <c r="P182" s="10" t="str">
        <f t="shared" si="11"/>
        <v/>
      </c>
    </row>
    <row r="183" spans="1:16" x14ac:dyDescent="0.2">
      <c r="A183" s="7" t="str">
        <f t="shared" si="10"/>
        <v/>
      </c>
      <c r="B183" s="8"/>
      <c r="C183" s="8"/>
      <c r="D183" s="8"/>
      <c r="E183" s="8"/>
      <c r="F183" s="9"/>
      <c r="G183" s="8"/>
      <c r="H183" s="8"/>
      <c r="I183" s="8"/>
      <c r="J183" s="8"/>
      <c r="K183" s="9"/>
      <c r="L183" s="8"/>
      <c r="M183" s="8"/>
      <c r="N183" s="8"/>
      <c r="O183" s="8"/>
      <c r="P183" s="10" t="str">
        <f t="shared" si="11"/>
        <v/>
      </c>
    </row>
    <row r="184" spans="1:16" x14ac:dyDescent="0.2">
      <c r="A184" s="7" t="str">
        <f t="shared" si="10"/>
        <v/>
      </c>
      <c r="B184" s="8"/>
      <c r="C184" s="8"/>
      <c r="D184" s="8"/>
      <c r="E184" s="8"/>
      <c r="F184" s="9"/>
      <c r="G184" s="8"/>
      <c r="H184" s="8"/>
      <c r="I184" s="8"/>
      <c r="J184" s="8"/>
      <c r="K184" s="9"/>
      <c r="L184" s="8"/>
      <c r="M184" s="8"/>
      <c r="N184" s="8"/>
      <c r="O184" s="8"/>
      <c r="P184" s="10" t="str">
        <f t="shared" si="11"/>
        <v/>
      </c>
    </row>
    <row r="185" spans="1:16" x14ac:dyDescent="0.2">
      <c r="A185" s="7" t="str">
        <f t="shared" si="10"/>
        <v/>
      </c>
      <c r="B185" s="8"/>
      <c r="C185" s="8"/>
      <c r="D185" s="8"/>
      <c r="E185" s="8"/>
      <c r="F185" s="9"/>
      <c r="G185" s="8"/>
      <c r="H185" s="8"/>
      <c r="I185" s="8"/>
      <c r="J185" s="8"/>
      <c r="K185" s="9"/>
      <c r="L185" s="8"/>
      <c r="M185" s="8"/>
      <c r="N185" s="8"/>
      <c r="O185" s="8"/>
      <c r="P185" s="10" t="str">
        <f t="shared" si="11"/>
        <v/>
      </c>
    </row>
    <row r="186" spans="1:16" x14ac:dyDescent="0.2">
      <c r="A186" s="7" t="str">
        <f t="shared" si="10"/>
        <v/>
      </c>
      <c r="B186" s="8"/>
      <c r="C186" s="8"/>
      <c r="D186" s="8"/>
      <c r="E186" s="8"/>
      <c r="F186" s="9"/>
      <c r="G186" s="8"/>
      <c r="H186" s="8"/>
      <c r="I186" s="8"/>
      <c r="J186" s="8"/>
      <c r="K186" s="9"/>
      <c r="L186" s="8"/>
      <c r="M186" s="8"/>
      <c r="N186" s="8"/>
      <c r="O186" s="8"/>
      <c r="P186" s="10" t="str">
        <f t="shared" si="11"/>
        <v/>
      </c>
    </row>
    <row r="187" spans="1:16" x14ac:dyDescent="0.2">
      <c r="A187" s="7" t="str">
        <f t="shared" si="10"/>
        <v/>
      </c>
      <c r="B187" s="8"/>
      <c r="C187" s="8"/>
      <c r="D187" s="8"/>
      <c r="E187" s="8"/>
      <c r="F187" s="9"/>
      <c r="G187" s="8"/>
      <c r="H187" s="8"/>
      <c r="I187" s="8"/>
      <c r="J187" s="8"/>
      <c r="K187" s="9"/>
      <c r="L187" s="8"/>
      <c r="M187" s="8"/>
      <c r="N187" s="8"/>
      <c r="O187" s="8"/>
      <c r="P187" s="10" t="str">
        <f t="shared" si="11"/>
        <v/>
      </c>
    </row>
    <row r="188" spans="1:16" x14ac:dyDescent="0.2">
      <c r="A188" s="7" t="str">
        <f t="shared" si="10"/>
        <v/>
      </c>
      <c r="B188" s="8"/>
      <c r="C188" s="8"/>
      <c r="D188" s="8"/>
      <c r="E188" s="8"/>
      <c r="F188" s="9"/>
      <c r="G188" s="8"/>
      <c r="H188" s="8"/>
      <c r="I188" s="8"/>
      <c r="J188" s="8"/>
      <c r="K188" s="9"/>
      <c r="L188" s="8"/>
      <c r="M188" s="8"/>
      <c r="N188" s="8"/>
      <c r="O188" s="8"/>
      <c r="P188" s="10" t="str">
        <f t="shared" si="11"/>
        <v/>
      </c>
    </row>
    <row r="189" spans="1:16" x14ac:dyDescent="0.2">
      <c r="A189" s="7" t="str">
        <f t="shared" si="10"/>
        <v/>
      </c>
      <c r="B189" s="8"/>
      <c r="C189" s="8"/>
      <c r="D189" s="8"/>
      <c r="E189" s="8"/>
      <c r="F189" s="9"/>
      <c r="G189" s="8"/>
      <c r="H189" s="8"/>
      <c r="I189" s="8"/>
      <c r="J189" s="8"/>
      <c r="K189" s="9"/>
      <c r="L189" s="8"/>
      <c r="M189" s="8"/>
      <c r="N189" s="8"/>
      <c r="O189" s="8"/>
      <c r="P189" s="10" t="str">
        <f t="shared" si="11"/>
        <v/>
      </c>
    </row>
    <row r="190" spans="1:16" x14ac:dyDescent="0.2">
      <c r="A190" s="7" t="str">
        <f t="shared" si="10"/>
        <v/>
      </c>
      <c r="B190" s="8"/>
      <c r="C190" s="8"/>
      <c r="D190" s="8"/>
      <c r="E190" s="8"/>
      <c r="F190" s="9"/>
      <c r="G190" s="8"/>
      <c r="H190" s="8"/>
      <c r="I190" s="8"/>
      <c r="J190" s="8"/>
      <c r="K190" s="9"/>
      <c r="L190" s="8"/>
      <c r="M190" s="8"/>
      <c r="N190" s="8"/>
      <c r="O190" s="8"/>
      <c r="P190" s="10" t="str">
        <f t="shared" si="11"/>
        <v/>
      </c>
    </row>
    <row r="191" spans="1:16" x14ac:dyDescent="0.2">
      <c r="A191" s="7" t="str">
        <f t="shared" si="10"/>
        <v/>
      </c>
      <c r="B191" s="8"/>
      <c r="C191" s="8"/>
      <c r="D191" s="8"/>
      <c r="E191" s="8"/>
      <c r="F191" s="9"/>
      <c r="G191" s="8"/>
      <c r="H191" s="8"/>
      <c r="I191" s="8"/>
      <c r="J191" s="8"/>
      <c r="K191" s="9"/>
      <c r="L191" s="8"/>
      <c r="M191" s="8"/>
      <c r="N191" s="8"/>
      <c r="O191" s="8"/>
      <c r="P191" s="10" t="str">
        <f t="shared" si="11"/>
        <v/>
      </c>
    </row>
    <row r="192" spans="1:16" x14ac:dyDescent="0.2">
      <c r="A192" s="7" t="str">
        <f t="shared" si="10"/>
        <v/>
      </c>
      <c r="B192" s="8"/>
      <c r="C192" s="8"/>
      <c r="D192" s="8"/>
      <c r="E192" s="8"/>
      <c r="F192" s="9"/>
      <c r="G192" s="8"/>
      <c r="H192" s="8"/>
      <c r="I192" s="8"/>
      <c r="J192" s="8"/>
      <c r="K192" s="9"/>
      <c r="L192" s="8"/>
      <c r="M192" s="8"/>
      <c r="N192" s="8"/>
      <c r="O192" s="8"/>
      <c r="P192" s="10" t="str">
        <f t="shared" si="11"/>
        <v/>
      </c>
    </row>
    <row r="193" spans="1:16" x14ac:dyDescent="0.2">
      <c r="A193" s="7" t="str">
        <f t="shared" si="10"/>
        <v/>
      </c>
      <c r="B193" s="8"/>
      <c r="C193" s="8"/>
      <c r="D193" s="8"/>
      <c r="E193" s="8"/>
      <c r="F193" s="9"/>
      <c r="G193" s="8"/>
      <c r="H193" s="8"/>
      <c r="I193" s="8"/>
      <c r="J193" s="8"/>
      <c r="K193" s="9"/>
      <c r="L193" s="8"/>
      <c r="M193" s="8"/>
      <c r="N193" s="8"/>
      <c r="O193" s="8"/>
      <c r="P193" s="10" t="str">
        <f t="shared" si="11"/>
        <v/>
      </c>
    </row>
    <row r="194" spans="1:16" x14ac:dyDescent="0.2">
      <c r="A194" s="7" t="str">
        <f t="shared" si="10"/>
        <v/>
      </c>
      <c r="B194" s="8"/>
      <c r="C194" s="8"/>
      <c r="D194" s="8"/>
      <c r="E194" s="8"/>
      <c r="F194" s="9"/>
      <c r="G194" s="8"/>
      <c r="H194" s="8"/>
      <c r="I194" s="8"/>
      <c r="J194" s="8"/>
      <c r="K194" s="9"/>
      <c r="L194" s="8"/>
      <c r="M194" s="8"/>
      <c r="N194" s="8"/>
      <c r="O194" s="8"/>
      <c r="P194" s="10" t="str">
        <f t="shared" si="11"/>
        <v/>
      </c>
    </row>
    <row r="195" spans="1:16" x14ac:dyDescent="0.2">
      <c r="A195" s="7" t="str">
        <f t="shared" si="10"/>
        <v/>
      </c>
      <c r="B195" s="8"/>
      <c r="C195" s="8"/>
      <c r="D195" s="8"/>
      <c r="E195" s="8"/>
      <c r="F195" s="9"/>
      <c r="G195" s="8"/>
      <c r="H195" s="8"/>
      <c r="I195" s="8"/>
      <c r="J195" s="8"/>
      <c r="K195" s="9"/>
      <c r="L195" s="8"/>
      <c r="M195" s="8"/>
      <c r="N195" s="8"/>
      <c r="O195" s="8"/>
      <c r="P195" s="10" t="str">
        <f t="shared" si="11"/>
        <v/>
      </c>
    </row>
    <row r="196" spans="1:16" x14ac:dyDescent="0.2">
      <c r="A196" s="7" t="str">
        <f t="shared" si="10"/>
        <v/>
      </c>
      <c r="B196" s="8"/>
      <c r="C196" s="8"/>
      <c r="D196" s="8"/>
      <c r="E196" s="8"/>
      <c r="F196" s="9"/>
      <c r="G196" s="8"/>
      <c r="H196" s="8"/>
      <c r="I196" s="8"/>
      <c r="J196" s="8"/>
      <c r="K196" s="9"/>
      <c r="L196" s="8"/>
      <c r="M196" s="8"/>
      <c r="N196" s="8"/>
      <c r="O196" s="8"/>
      <c r="P196" s="10" t="str">
        <f t="shared" si="11"/>
        <v/>
      </c>
    </row>
    <row r="197" spans="1:16" x14ac:dyDescent="0.2">
      <c r="A197" s="7" t="str">
        <f t="shared" ref="A197:A204" si="12">IF(B197="","", "MNA-"&amp;TEXT(ROW()-4,"0000"))</f>
        <v/>
      </c>
      <c r="B197" s="8"/>
      <c r="C197" s="8"/>
      <c r="D197" s="8"/>
      <c r="E197" s="8"/>
      <c r="F197" s="9"/>
      <c r="G197" s="8"/>
      <c r="H197" s="8"/>
      <c r="I197" s="8"/>
      <c r="J197" s="8"/>
      <c r="K197" s="9"/>
      <c r="L197" s="8"/>
      <c r="M197" s="8"/>
      <c r="N197" s="8"/>
      <c r="O197" s="8"/>
      <c r="P197" s="10" t="str">
        <f t="shared" ref="P197:P204" si="13">IF(C197="","",LOWER(C197&amp;"|"&amp;B197&amp;"|"&amp;A197))</f>
        <v/>
      </c>
    </row>
    <row r="198" spans="1:16" x14ac:dyDescent="0.2">
      <c r="A198" s="7" t="str">
        <f t="shared" si="12"/>
        <v/>
      </c>
      <c r="B198" s="8"/>
      <c r="C198" s="8"/>
      <c r="D198" s="8"/>
      <c r="E198" s="8"/>
      <c r="F198" s="9"/>
      <c r="G198" s="8"/>
      <c r="H198" s="8"/>
      <c r="I198" s="8"/>
      <c r="J198" s="8"/>
      <c r="K198" s="9"/>
      <c r="L198" s="8"/>
      <c r="M198" s="8"/>
      <c r="N198" s="8"/>
      <c r="O198" s="8"/>
      <c r="P198" s="10" t="str">
        <f t="shared" si="13"/>
        <v/>
      </c>
    </row>
    <row r="199" spans="1:16" x14ac:dyDescent="0.2">
      <c r="A199" s="7" t="str">
        <f t="shared" si="12"/>
        <v/>
      </c>
      <c r="B199" s="8"/>
      <c r="C199" s="8"/>
      <c r="D199" s="8"/>
      <c r="E199" s="8"/>
      <c r="F199" s="9"/>
      <c r="G199" s="8"/>
      <c r="H199" s="8"/>
      <c r="I199" s="8"/>
      <c r="J199" s="8"/>
      <c r="K199" s="9"/>
      <c r="L199" s="8"/>
      <c r="M199" s="8"/>
      <c r="N199" s="8"/>
      <c r="O199" s="8"/>
      <c r="P199" s="10" t="str">
        <f t="shared" si="13"/>
        <v/>
      </c>
    </row>
    <row r="200" spans="1:16" x14ac:dyDescent="0.2">
      <c r="A200" s="7" t="str">
        <f t="shared" si="12"/>
        <v/>
      </c>
      <c r="B200" s="8"/>
      <c r="C200" s="8"/>
      <c r="D200" s="8"/>
      <c r="E200" s="8"/>
      <c r="F200" s="9"/>
      <c r="G200" s="8"/>
      <c r="H200" s="8"/>
      <c r="I200" s="8"/>
      <c r="J200" s="8"/>
      <c r="K200" s="9"/>
      <c r="L200" s="8"/>
      <c r="M200" s="8"/>
      <c r="N200" s="8"/>
      <c r="O200" s="8"/>
      <c r="P200" s="10" t="str">
        <f t="shared" si="13"/>
        <v/>
      </c>
    </row>
    <row r="201" spans="1:16" x14ac:dyDescent="0.2">
      <c r="A201" s="7" t="str">
        <f t="shared" si="12"/>
        <v/>
      </c>
      <c r="B201" s="8"/>
      <c r="C201" s="8"/>
      <c r="D201" s="8"/>
      <c r="E201" s="8"/>
      <c r="F201" s="9"/>
      <c r="G201" s="8"/>
      <c r="H201" s="8"/>
      <c r="I201" s="8"/>
      <c r="J201" s="8"/>
      <c r="K201" s="9"/>
      <c r="L201" s="8"/>
      <c r="M201" s="8"/>
      <c r="N201" s="8"/>
      <c r="O201" s="8"/>
      <c r="P201" s="10" t="str">
        <f t="shared" si="13"/>
        <v/>
      </c>
    </row>
    <row r="202" spans="1:16" x14ac:dyDescent="0.2">
      <c r="A202" s="7" t="str">
        <f t="shared" si="12"/>
        <v/>
      </c>
      <c r="B202" s="8"/>
      <c r="C202" s="8"/>
      <c r="D202" s="8"/>
      <c r="E202" s="8"/>
      <c r="F202" s="9"/>
      <c r="G202" s="8"/>
      <c r="H202" s="8"/>
      <c r="I202" s="8"/>
      <c r="J202" s="8"/>
      <c r="K202" s="9"/>
      <c r="L202" s="8"/>
      <c r="M202" s="8"/>
      <c r="N202" s="8"/>
      <c r="O202" s="8"/>
      <c r="P202" s="10" t="str">
        <f t="shared" si="13"/>
        <v/>
      </c>
    </row>
    <row r="203" spans="1:16" x14ac:dyDescent="0.2">
      <c r="A203" s="7" t="str">
        <f t="shared" si="12"/>
        <v/>
      </c>
      <c r="B203" s="8"/>
      <c r="C203" s="8"/>
      <c r="D203" s="8"/>
      <c r="E203" s="8"/>
      <c r="F203" s="9"/>
      <c r="G203" s="8"/>
      <c r="H203" s="8"/>
      <c r="I203" s="8"/>
      <c r="J203" s="8"/>
      <c r="K203" s="9"/>
      <c r="L203" s="8"/>
      <c r="M203" s="8"/>
      <c r="N203" s="8"/>
      <c r="O203" s="8"/>
      <c r="P203" s="10" t="str">
        <f t="shared" si="13"/>
        <v/>
      </c>
    </row>
    <row r="204" spans="1:16" x14ac:dyDescent="0.2">
      <c r="A204" s="7" t="str">
        <f t="shared" si="12"/>
        <v/>
      </c>
      <c r="B204" s="8"/>
      <c r="C204" s="8"/>
      <c r="D204" s="8"/>
      <c r="E204" s="8"/>
      <c r="F204" s="9"/>
      <c r="G204" s="8"/>
      <c r="H204" s="8"/>
      <c r="I204" s="8"/>
      <c r="J204" s="8"/>
      <c r="K204" s="9"/>
      <c r="L204" s="8"/>
      <c r="M204" s="8"/>
      <c r="N204" s="8"/>
      <c r="O204" s="8"/>
      <c r="P204" s="10" t="str">
        <f t="shared" si="13"/>
        <v/>
      </c>
    </row>
  </sheetData>
  <autoFilter ref="A4:P204" xr:uid="{00000000-0009-0000-0000-000002000000}"/>
  <mergeCells count="2">
    <mergeCell ref="A1:P1"/>
    <mergeCell ref="A2:P2"/>
  </mergeCells>
  <phoneticPr fontId="11" type="noConversion"/>
  <dataValidations count="2">
    <dataValidation type="list" allowBlank="1" sqref="E5:E204" xr:uid="{00000000-0002-0000-0200-000000000000}">
      <formula1>"Male,Female"</formula1>
    </dataValidation>
    <dataValidation type="list" allowBlank="1" sqref="M5:M204" xr:uid="{00000000-0002-0000-0200-000001000000}">
      <formula1>"Active,Graduated,Withdrawn,Inactive"</formula1>
    </dataValidation>
  </dataValidations>
  <pageMargins left="0.25" right="0.25" top="0.4" bottom="0.4" header="0.2" footer="0.2"/>
  <pageSetup scale="30" fitToHeight="0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2000000}">
          <x14:formula1>
            <xm:f>SETTINGS!$B$18:$B$23</xm:f>
          </x14:formula1>
          <xm:sqref>L5:L204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4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14" customWidth="1"/>
    <col min="2" max="2" width="28" customWidth="1"/>
    <col min="3" max="3" width="16" customWidth="1"/>
    <col min="4" max="4" width="24" customWidth="1"/>
    <col min="5" max="5" width="15" customWidth="1"/>
    <col min="6" max="6" width="18" customWidth="1"/>
    <col min="7" max="7" width="15" customWidth="1"/>
    <col min="8" max="8" width="30" customWidth="1"/>
  </cols>
  <sheetData>
    <row r="1" spans="1:8" ht="32" customHeight="1" x14ac:dyDescent="0.2">
      <c r="A1" s="24" t="s">
        <v>90</v>
      </c>
      <c r="B1" s="25"/>
      <c r="C1" s="25"/>
      <c r="D1" s="25"/>
      <c r="E1" s="25"/>
      <c r="F1" s="25"/>
      <c r="G1" s="25"/>
      <c r="H1" s="25"/>
    </row>
    <row r="2" spans="1:8" ht="22" customHeight="1" x14ac:dyDescent="0.2">
      <c r="A2" s="26" t="s">
        <v>91</v>
      </c>
      <c r="B2" s="25"/>
      <c r="C2" s="25"/>
      <c r="D2" s="25"/>
      <c r="E2" s="25"/>
      <c r="F2" s="25"/>
      <c r="G2" s="25"/>
      <c r="H2" s="25"/>
    </row>
    <row r="4" spans="1:8" ht="30" customHeight="1" x14ac:dyDescent="0.2">
      <c r="A4" s="1" t="s">
        <v>92</v>
      </c>
      <c r="B4" s="1" t="s">
        <v>93</v>
      </c>
      <c r="C4" s="1" t="s">
        <v>86</v>
      </c>
      <c r="D4" s="1" t="s">
        <v>57</v>
      </c>
      <c r="E4" s="1" t="s">
        <v>87</v>
      </c>
      <c r="F4" s="1" t="s">
        <v>82</v>
      </c>
      <c r="G4" s="1" t="s">
        <v>94</v>
      </c>
      <c r="H4" s="1" t="s">
        <v>29</v>
      </c>
    </row>
    <row r="5" spans="1:8" x14ac:dyDescent="0.2">
      <c r="A5" s="7" t="str">
        <f t="shared" ref="A5:A24" si="0">IF(B5="","","T-"&amp;TEXT(ROW()-4,"000"))</f>
        <v/>
      </c>
      <c r="B5" s="8"/>
      <c r="C5" s="8"/>
      <c r="D5" s="8"/>
      <c r="E5" s="8"/>
      <c r="F5" s="8"/>
      <c r="G5" s="8"/>
      <c r="H5" s="8"/>
    </row>
    <row r="6" spans="1:8" x14ac:dyDescent="0.2">
      <c r="A6" s="7" t="str">
        <f t="shared" si="0"/>
        <v/>
      </c>
      <c r="B6" s="8"/>
      <c r="C6" s="8"/>
      <c r="D6" s="8"/>
      <c r="E6" s="8"/>
      <c r="F6" s="8"/>
      <c r="G6" s="8"/>
      <c r="H6" s="8"/>
    </row>
    <row r="7" spans="1:8" x14ac:dyDescent="0.2">
      <c r="A7" s="7" t="str">
        <f t="shared" si="0"/>
        <v/>
      </c>
      <c r="B7" s="8"/>
      <c r="C7" s="8"/>
      <c r="D7" s="8"/>
      <c r="E7" s="8"/>
      <c r="F7" s="8"/>
      <c r="G7" s="8"/>
      <c r="H7" s="8"/>
    </row>
    <row r="8" spans="1:8" x14ac:dyDescent="0.2">
      <c r="A8" s="7" t="str">
        <f t="shared" si="0"/>
        <v/>
      </c>
      <c r="B8" s="8"/>
      <c r="C8" s="8"/>
      <c r="D8" s="8"/>
      <c r="E8" s="8"/>
      <c r="F8" s="8"/>
      <c r="G8" s="8"/>
      <c r="H8" s="8"/>
    </row>
    <row r="9" spans="1:8" x14ac:dyDescent="0.2">
      <c r="A9" s="7" t="str">
        <f t="shared" si="0"/>
        <v/>
      </c>
      <c r="B9" s="8"/>
      <c r="C9" s="8"/>
      <c r="D9" s="8"/>
      <c r="E9" s="8"/>
      <c r="F9" s="8"/>
      <c r="G9" s="8"/>
      <c r="H9" s="8"/>
    </row>
    <row r="10" spans="1:8" x14ac:dyDescent="0.2">
      <c r="A10" s="7" t="str">
        <f t="shared" si="0"/>
        <v/>
      </c>
      <c r="B10" s="8"/>
      <c r="C10" s="8"/>
      <c r="D10" s="8"/>
      <c r="E10" s="8"/>
      <c r="F10" s="8"/>
      <c r="G10" s="8"/>
      <c r="H10" s="8"/>
    </row>
    <row r="11" spans="1:8" x14ac:dyDescent="0.2">
      <c r="A11" s="7" t="str">
        <f t="shared" si="0"/>
        <v/>
      </c>
      <c r="B11" s="8"/>
      <c r="C11" s="8"/>
      <c r="D11" s="8"/>
      <c r="E11" s="8"/>
      <c r="F11" s="8"/>
      <c r="G11" s="8"/>
      <c r="H11" s="8"/>
    </row>
    <row r="12" spans="1:8" x14ac:dyDescent="0.2">
      <c r="A12" s="7" t="str">
        <f t="shared" si="0"/>
        <v/>
      </c>
      <c r="B12" s="8"/>
      <c r="C12" s="8"/>
      <c r="D12" s="8"/>
      <c r="E12" s="8"/>
      <c r="F12" s="8"/>
      <c r="G12" s="8"/>
      <c r="H12" s="8"/>
    </row>
    <row r="13" spans="1:8" x14ac:dyDescent="0.2">
      <c r="A13" s="7" t="str">
        <f t="shared" si="0"/>
        <v/>
      </c>
      <c r="B13" s="8"/>
      <c r="C13" s="8"/>
      <c r="D13" s="8"/>
      <c r="E13" s="8"/>
      <c r="F13" s="8"/>
      <c r="G13" s="8"/>
      <c r="H13" s="8"/>
    </row>
    <row r="14" spans="1:8" x14ac:dyDescent="0.2">
      <c r="A14" s="7" t="str">
        <f t="shared" si="0"/>
        <v/>
      </c>
      <c r="B14" s="8"/>
      <c r="C14" s="8"/>
      <c r="D14" s="8"/>
      <c r="E14" s="8"/>
      <c r="F14" s="8"/>
      <c r="G14" s="8"/>
      <c r="H14" s="8"/>
    </row>
    <row r="15" spans="1:8" x14ac:dyDescent="0.2">
      <c r="A15" s="7" t="str">
        <f t="shared" si="0"/>
        <v/>
      </c>
      <c r="B15" s="8"/>
      <c r="C15" s="8"/>
      <c r="D15" s="8"/>
      <c r="E15" s="8"/>
      <c r="F15" s="8"/>
      <c r="G15" s="8"/>
      <c r="H15" s="8"/>
    </row>
    <row r="16" spans="1:8" x14ac:dyDescent="0.2">
      <c r="A16" s="7" t="str">
        <f t="shared" si="0"/>
        <v/>
      </c>
      <c r="B16" s="8"/>
      <c r="C16" s="8"/>
      <c r="D16" s="8"/>
      <c r="E16" s="8"/>
      <c r="F16" s="8"/>
      <c r="G16" s="8"/>
      <c r="H16" s="8"/>
    </row>
    <row r="17" spans="1:8" x14ac:dyDescent="0.2">
      <c r="A17" s="7" t="str">
        <f t="shared" si="0"/>
        <v/>
      </c>
      <c r="B17" s="8"/>
      <c r="C17" s="8"/>
      <c r="D17" s="8"/>
      <c r="E17" s="8"/>
      <c r="F17" s="8"/>
      <c r="G17" s="8"/>
      <c r="H17" s="8"/>
    </row>
    <row r="18" spans="1:8" x14ac:dyDescent="0.2">
      <c r="A18" s="7" t="str">
        <f t="shared" si="0"/>
        <v/>
      </c>
      <c r="B18" s="8"/>
      <c r="C18" s="8"/>
      <c r="D18" s="8"/>
      <c r="E18" s="8"/>
      <c r="F18" s="8"/>
      <c r="G18" s="8"/>
      <c r="H18" s="8"/>
    </row>
    <row r="19" spans="1:8" x14ac:dyDescent="0.2">
      <c r="A19" s="7" t="str">
        <f t="shared" si="0"/>
        <v/>
      </c>
      <c r="B19" s="8"/>
      <c r="C19" s="8"/>
      <c r="D19" s="8"/>
      <c r="E19" s="8"/>
      <c r="F19" s="8"/>
      <c r="G19" s="8"/>
      <c r="H19" s="8"/>
    </row>
    <row r="20" spans="1:8" x14ac:dyDescent="0.2">
      <c r="A20" s="7" t="str">
        <f t="shared" si="0"/>
        <v/>
      </c>
      <c r="B20" s="8"/>
      <c r="C20" s="8"/>
      <c r="D20" s="8"/>
      <c r="E20" s="8"/>
      <c r="F20" s="8"/>
      <c r="G20" s="8"/>
      <c r="H20" s="8"/>
    </row>
    <row r="21" spans="1:8" x14ac:dyDescent="0.2">
      <c r="A21" s="7" t="str">
        <f t="shared" si="0"/>
        <v/>
      </c>
      <c r="B21" s="8"/>
      <c r="C21" s="8"/>
      <c r="D21" s="8"/>
      <c r="E21" s="8"/>
      <c r="F21" s="8"/>
      <c r="G21" s="8"/>
      <c r="H21" s="8"/>
    </row>
    <row r="22" spans="1:8" x14ac:dyDescent="0.2">
      <c r="A22" s="7" t="str">
        <f t="shared" si="0"/>
        <v/>
      </c>
      <c r="B22" s="8"/>
      <c r="C22" s="8"/>
      <c r="D22" s="8"/>
      <c r="E22" s="8"/>
      <c r="F22" s="8"/>
      <c r="G22" s="8"/>
      <c r="H22" s="8"/>
    </row>
    <row r="23" spans="1:8" x14ac:dyDescent="0.2">
      <c r="A23" s="7" t="str">
        <f t="shared" si="0"/>
        <v/>
      </c>
      <c r="B23" s="8"/>
      <c r="C23" s="8"/>
      <c r="D23" s="8"/>
      <c r="E23" s="8"/>
      <c r="F23" s="8"/>
      <c r="G23" s="8"/>
      <c r="H23" s="8"/>
    </row>
    <row r="24" spans="1:8" x14ac:dyDescent="0.2">
      <c r="A24" s="7" t="str">
        <f t="shared" si="0"/>
        <v/>
      </c>
      <c r="B24" s="8"/>
      <c r="C24" s="8"/>
      <c r="D24" s="8"/>
      <c r="E24" s="8"/>
      <c r="F24" s="8"/>
      <c r="G24" s="8"/>
      <c r="H24" s="8"/>
    </row>
  </sheetData>
  <mergeCells count="2">
    <mergeCell ref="A2:H2"/>
    <mergeCell ref="A1:H1"/>
  </mergeCells>
  <dataValidations count="1">
    <dataValidation type="list" allowBlank="1" sqref="E5:E24" xr:uid="{00000000-0002-0000-0300-000000000000}">
      <formula1>"Active,Inactive,Left"</formula1>
    </dataValidation>
  </dataValidations>
  <pageMargins left="0.25" right="0.25" top="0.4" bottom="0.4" header="0.2" footer="0.2"/>
  <pageSetup fitToHeight="0" orientation="portrait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300-000001000000}">
          <x14:formula1>
            <xm:f>SETTINGS!$B$18:$B$23</xm:f>
          </x14:formula1>
          <xm:sqref>C5:C24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1004"/>
  <sheetViews>
    <sheetView showGridLines="0" workbookViewId="0">
      <pane ySplit="4" topLeftCell="A5" activePane="bottomLeft" state="frozen"/>
      <selection pane="bottomLeft" sqref="A1:J1"/>
    </sheetView>
  </sheetViews>
  <sheetFormatPr baseColWidth="10" defaultColWidth="8.83203125" defaultRowHeight="15" x14ac:dyDescent="0.2"/>
  <cols>
    <col min="1" max="1" width="15" customWidth="1"/>
    <col min="2" max="2" width="14" customWidth="1"/>
    <col min="3" max="3" width="15" customWidth="1"/>
    <col min="4" max="4" width="28" customWidth="1"/>
    <col min="5" max="6" width="14" customWidth="1"/>
    <col min="7" max="7" width="15" customWidth="1"/>
    <col min="8" max="8" width="14" customWidth="1"/>
    <col min="9" max="9" width="18" customWidth="1"/>
    <col min="10" max="10" width="28" customWidth="1"/>
  </cols>
  <sheetData>
    <row r="1" spans="1:10" ht="32" customHeight="1" x14ac:dyDescent="0.2">
      <c r="A1" s="24" t="s">
        <v>95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2" customHeight="1" x14ac:dyDescent="0.2">
      <c r="A2" s="26" t="s">
        <v>96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ht="30" customHeight="1" x14ac:dyDescent="0.2">
      <c r="A4" s="1" t="s">
        <v>97</v>
      </c>
      <c r="B4" s="1" t="s">
        <v>98</v>
      </c>
      <c r="C4" s="1" t="s">
        <v>75</v>
      </c>
      <c r="D4" s="1" t="s">
        <v>99</v>
      </c>
      <c r="E4" s="1" t="s">
        <v>86</v>
      </c>
      <c r="F4" s="1" t="s">
        <v>100</v>
      </c>
      <c r="G4" s="1" t="s">
        <v>101</v>
      </c>
      <c r="H4" s="1" t="s">
        <v>102</v>
      </c>
      <c r="I4" s="1" t="s">
        <v>103</v>
      </c>
      <c r="J4" s="1" t="s">
        <v>104</v>
      </c>
    </row>
    <row r="5" spans="1:10" x14ac:dyDescent="0.2">
      <c r="A5" s="7" t="str">
        <f t="shared" ref="A5:A68" si="0">IF(C5="","","F-"&amp;TEXT(ROW()-4,"00000"))</f>
        <v/>
      </c>
      <c r="B5" s="9"/>
      <c r="C5" s="8"/>
      <c r="D5" s="10" t="str">
        <f ca="1">IFERROR(_xludf.XLOOKUP(C5,STUDENTS!$A$5:$A$204,STUDENTS!$C$5:$C$204,""),"")</f>
        <v/>
      </c>
      <c r="E5" s="10" t="str">
        <f ca="1">IFERROR(_xludf.XLOOKUP(C5,STUDENTS!$A$5:$A$204,STUDENTS!$L$5:$L$204,""),"")</f>
        <v/>
      </c>
      <c r="F5" s="10" t="str">
        <f t="shared" ref="F5:F68" si="1">IF(B5="","",TEXT(B5,"dddd"))</f>
        <v/>
      </c>
      <c r="G5" s="8"/>
      <c r="H5" s="11" t="str">
        <f>IF(B5="","",IF(OR(F5="Saturday",F5="Sunday"),SETTINGS!$B$11,IF(G5="Vacation",SETTINGS!$B$13,0)))</f>
        <v/>
      </c>
      <c r="I5" s="12" t="str">
        <f t="shared" ref="I5:I68" si="2">IF(H5="","",H5)</f>
        <v/>
      </c>
      <c r="J5" s="8"/>
    </row>
    <row r="6" spans="1:10" x14ac:dyDescent="0.2">
      <c r="A6" s="7" t="str">
        <f t="shared" si="0"/>
        <v/>
      </c>
      <c r="B6" s="9"/>
      <c r="C6" s="8"/>
      <c r="D6" s="10" t="str">
        <f ca="1">IFERROR(_xludf.XLOOKUP(C6,STUDENTS!$A$5:$A$204,STUDENTS!$C$5:$C$204,""),"")</f>
        <v/>
      </c>
      <c r="E6" s="10" t="str">
        <f ca="1">IFERROR(_xludf.XLOOKUP(C6,STUDENTS!$A$5:$A$204,STUDENTS!$L$5:$L$204,""),"")</f>
        <v/>
      </c>
      <c r="F6" s="10" t="str">
        <f t="shared" si="1"/>
        <v/>
      </c>
      <c r="G6" s="8"/>
      <c r="H6" s="11" t="str">
        <f>IF(B6="","",IF(OR(F6="Saturday",F6="Sunday"),SETTINGS!$B$11,IF(G6="Vacation",SETTINGS!$B$13,0)))</f>
        <v/>
      </c>
      <c r="I6" s="12" t="str">
        <f t="shared" si="2"/>
        <v/>
      </c>
      <c r="J6" s="8"/>
    </row>
    <row r="7" spans="1:10" x14ac:dyDescent="0.2">
      <c r="A7" s="7" t="str">
        <f t="shared" si="0"/>
        <v/>
      </c>
      <c r="B7" s="9"/>
      <c r="C7" s="8"/>
      <c r="D7" s="10" t="str">
        <f ca="1">IFERROR(_xludf.XLOOKUP(C7,STUDENTS!$A$5:$A$204,STUDENTS!$C$5:$C$204,""),"")</f>
        <v/>
      </c>
      <c r="E7" s="10" t="str">
        <f ca="1">IFERROR(_xludf.XLOOKUP(C7,STUDENTS!$A$5:$A$204,STUDENTS!$L$5:$L$204,""),"")</f>
        <v/>
      </c>
      <c r="F7" s="10" t="str">
        <f t="shared" si="1"/>
        <v/>
      </c>
      <c r="G7" s="8"/>
      <c r="H7" s="11" t="str">
        <f>IF(B7="","",IF(OR(F7="Saturday",F7="Sunday"),SETTINGS!$B$11,IF(G7="Vacation",SETTINGS!$B$13,0)))</f>
        <v/>
      </c>
      <c r="I7" s="12" t="str">
        <f t="shared" si="2"/>
        <v/>
      </c>
      <c r="J7" s="8"/>
    </row>
    <row r="8" spans="1:10" x14ac:dyDescent="0.2">
      <c r="A8" s="7" t="str">
        <f t="shared" si="0"/>
        <v/>
      </c>
      <c r="B8" s="9"/>
      <c r="C8" s="8"/>
      <c r="D8" s="10" t="str">
        <f ca="1">IFERROR(_xludf.XLOOKUP(C8,STUDENTS!$A$5:$A$204,STUDENTS!$C$5:$C$204,""),"")</f>
        <v/>
      </c>
      <c r="E8" s="10" t="str">
        <f ca="1">IFERROR(_xludf.XLOOKUP(C8,STUDENTS!$A$5:$A$204,STUDENTS!$L$5:$L$204,""),"")</f>
        <v/>
      </c>
      <c r="F8" s="10" t="str">
        <f t="shared" si="1"/>
        <v/>
      </c>
      <c r="G8" s="8"/>
      <c r="H8" s="11" t="str">
        <f>IF(B8="","",IF(OR(F8="Saturday",F8="Sunday"),SETTINGS!$B$11,IF(G8="Vacation",SETTINGS!$B$13,0)))</f>
        <v/>
      </c>
      <c r="I8" s="12" t="str">
        <f t="shared" si="2"/>
        <v/>
      </c>
      <c r="J8" s="8"/>
    </row>
    <row r="9" spans="1:10" x14ac:dyDescent="0.2">
      <c r="A9" s="7" t="str">
        <f t="shared" si="0"/>
        <v/>
      </c>
      <c r="B9" s="9"/>
      <c r="C9" s="8"/>
      <c r="D9" s="10" t="str">
        <f ca="1">IFERROR(_xludf.XLOOKUP(C9,STUDENTS!$A$5:$A$204,STUDENTS!$C$5:$C$204,""),"")</f>
        <v/>
      </c>
      <c r="E9" s="10" t="str">
        <f ca="1">IFERROR(_xludf.XLOOKUP(C9,STUDENTS!$A$5:$A$204,STUDENTS!$L$5:$L$204,""),"")</f>
        <v/>
      </c>
      <c r="F9" s="10" t="str">
        <f t="shared" si="1"/>
        <v/>
      </c>
      <c r="G9" s="8"/>
      <c r="H9" s="11" t="str">
        <f>IF(B9="","",IF(OR(F9="Saturday",F9="Sunday"),SETTINGS!$B$11,IF(G9="Vacation",SETTINGS!$B$13,0)))</f>
        <v/>
      </c>
      <c r="I9" s="12" t="str">
        <f t="shared" si="2"/>
        <v/>
      </c>
      <c r="J9" s="8"/>
    </row>
    <row r="10" spans="1:10" x14ac:dyDescent="0.2">
      <c r="A10" s="7" t="str">
        <f t="shared" si="0"/>
        <v/>
      </c>
      <c r="B10" s="9"/>
      <c r="C10" s="8"/>
      <c r="D10" s="10" t="str">
        <f ca="1">IFERROR(_xludf.XLOOKUP(C10,STUDENTS!$A$5:$A$204,STUDENTS!$C$5:$C$204,""),"")</f>
        <v/>
      </c>
      <c r="E10" s="10" t="str">
        <f ca="1">IFERROR(_xludf.XLOOKUP(C10,STUDENTS!$A$5:$A$204,STUDENTS!$L$5:$L$204,""),"")</f>
        <v/>
      </c>
      <c r="F10" s="10" t="str">
        <f t="shared" si="1"/>
        <v/>
      </c>
      <c r="G10" s="8"/>
      <c r="H10" s="11" t="str">
        <f>IF(B10="","",IF(OR(F10="Saturday",F10="Sunday"),SETTINGS!$B$11,IF(G10="Vacation",SETTINGS!$B$13,0)))</f>
        <v/>
      </c>
      <c r="I10" s="12" t="str">
        <f t="shared" si="2"/>
        <v/>
      </c>
      <c r="J10" s="8"/>
    </row>
    <row r="11" spans="1:10" x14ac:dyDescent="0.2">
      <c r="A11" s="7" t="str">
        <f t="shared" si="0"/>
        <v/>
      </c>
      <c r="B11" s="9"/>
      <c r="C11" s="8"/>
      <c r="D11" s="10" t="str">
        <f ca="1">IFERROR(_xludf.XLOOKUP(C11,STUDENTS!$A$5:$A$204,STUDENTS!$C$5:$C$204,""),"")</f>
        <v/>
      </c>
      <c r="E11" s="10" t="str">
        <f ca="1">IFERROR(_xludf.XLOOKUP(C11,STUDENTS!$A$5:$A$204,STUDENTS!$L$5:$L$204,""),"")</f>
        <v/>
      </c>
      <c r="F11" s="10" t="str">
        <f t="shared" si="1"/>
        <v/>
      </c>
      <c r="G11" s="8"/>
      <c r="H11" s="11" t="str">
        <f>IF(B11="","",IF(OR(F11="Saturday",F11="Sunday"),SETTINGS!$B$11,IF(G11="Vacation",SETTINGS!$B$13,0)))</f>
        <v/>
      </c>
      <c r="I11" s="12" t="str">
        <f t="shared" si="2"/>
        <v/>
      </c>
      <c r="J11" s="8"/>
    </row>
    <row r="12" spans="1:10" x14ac:dyDescent="0.2">
      <c r="A12" s="7" t="str">
        <f t="shared" si="0"/>
        <v/>
      </c>
      <c r="B12" s="9"/>
      <c r="C12" s="8"/>
      <c r="D12" s="10" t="str">
        <f ca="1">IFERROR(_xludf.XLOOKUP(C12,STUDENTS!$A$5:$A$204,STUDENTS!$C$5:$C$204,""),"")</f>
        <v/>
      </c>
      <c r="E12" s="10" t="str">
        <f ca="1">IFERROR(_xludf.XLOOKUP(C12,STUDENTS!$A$5:$A$204,STUDENTS!$L$5:$L$204,""),"")</f>
        <v/>
      </c>
      <c r="F12" s="10" t="str">
        <f t="shared" si="1"/>
        <v/>
      </c>
      <c r="G12" s="8"/>
      <c r="H12" s="11" t="str">
        <f>IF(B12="","",IF(OR(F12="Saturday",F12="Sunday"),SETTINGS!$B$11,IF(G12="Vacation",SETTINGS!$B$13,0)))</f>
        <v/>
      </c>
      <c r="I12" s="12" t="str">
        <f t="shared" si="2"/>
        <v/>
      </c>
      <c r="J12" s="8"/>
    </row>
    <row r="13" spans="1:10" x14ac:dyDescent="0.2">
      <c r="A13" s="7" t="str">
        <f t="shared" si="0"/>
        <v/>
      </c>
      <c r="B13" s="9"/>
      <c r="C13" s="8"/>
      <c r="D13" s="10" t="str">
        <f ca="1">IFERROR(_xludf.XLOOKUP(C13,STUDENTS!$A$5:$A$204,STUDENTS!$C$5:$C$204,""),"")</f>
        <v/>
      </c>
      <c r="E13" s="10" t="str">
        <f ca="1">IFERROR(_xludf.XLOOKUP(C13,STUDENTS!$A$5:$A$204,STUDENTS!$L$5:$L$204,""),"")</f>
        <v/>
      </c>
      <c r="F13" s="10" t="str">
        <f t="shared" si="1"/>
        <v/>
      </c>
      <c r="G13" s="8"/>
      <c r="H13" s="11" t="str">
        <f>IF(B13="","",IF(OR(F13="Saturday",F13="Sunday"),SETTINGS!$B$11,IF(G13="Vacation",SETTINGS!$B$13,0)))</f>
        <v/>
      </c>
      <c r="I13" s="12" t="str">
        <f t="shared" si="2"/>
        <v/>
      </c>
      <c r="J13" s="8"/>
    </row>
    <row r="14" spans="1:10" x14ac:dyDescent="0.2">
      <c r="A14" s="7" t="str">
        <f t="shared" si="0"/>
        <v/>
      </c>
      <c r="B14" s="9"/>
      <c r="C14" s="8"/>
      <c r="D14" s="10" t="str">
        <f ca="1">IFERROR(_xludf.XLOOKUP(C14,STUDENTS!$A$5:$A$204,STUDENTS!$C$5:$C$204,""),"")</f>
        <v/>
      </c>
      <c r="E14" s="10" t="str">
        <f ca="1">IFERROR(_xludf.XLOOKUP(C14,STUDENTS!$A$5:$A$204,STUDENTS!$L$5:$L$204,""),"")</f>
        <v/>
      </c>
      <c r="F14" s="10" t="str">
        <f t="shared" si="1"/>
        <v/>
      </c>
      <c r="G14" s="8"/>
      <c r="H14" s="11" t="str">
        <f>IF(B14="","",IF(OR(F14="Saturday",F14="Sunday"),SETTINGS!$B$11,IF(G14="Vacation",SETTINGS!$B$13,0)))</f>
        <v/>
      </c>
      <c r="I14" s="12" t="str">
        <f t="shared" si="2"/>
        <v/>
      </c>
      <c r="J14" s="8"/>
    </row>
    <row r="15" spans="1:10" x14ac:dyDescent="0.2">
      <c r="A15" s="7" t="str">
        <f t="shared" si="0"/>
        <v/>
      </c>
      <c r="B15" s="9"/>
      <c r="C15" s="8"/>
      <c r="D15" s="10" t="str">
        <f ca="1">IFERROR(_xludf.XLOOKUP(C15,STUDENTS!$A$5:$A$204,STUDENTS!$C$5:$C$204,""),"")</f>
        <v/>
      </c>
      <c r="E15" s="10" t="str">
        <f ca="1">IFERROR(_xludf.XLOOKUP(C15,STUDENTS!$A$5:$A$204,STUDENTS!$L$5:$L$204,""),"")</f>
        <v/>
      </c>
      <c r="F15" s="10" t="str">
        <f t="shared" si="1"/>
        <v/>
      </c>
      <c r="G15" s="8"/>
      <c r="H15" s="11" t="str">
        <f>IF(B15="","",IF(OR(F15="Saturday",F15="Sunday"),SETTINGS!$B$11,IF(G15="Vacation",SETTINGS!$B$13,0)))</f>
        <v/>
      </c>
      <c r="I15" s="12" t="str">
        <f t="shared" si="2"/>
        <v/>
      </c>
      <c r="J15" s="8"/>
    </row>
    <row r="16" spans="1:10" x14ac:dyDescent="0.2">
      <c r="A16" s="7" t="str">
        <f t="shared" si="0"/>
        <v/>
      </c>
      <c r="B16" s="9"/>
      <c r="C16" s="8"/>
      <c r="D16" s="10" t="str">
        <f ca="1">IFERROR(_xludf.XLOOKUP(C16,STUDENTS!$A$5:$A$204,STUDENTS!$C$5:$C$204,""),"")</f>
        <v/>
      </c>
      <c r="E16" s="10" t="str">
        <f ca="1">IFERROR(_xludf.XLOOKUP(C16,STUDENTS!$A$5:$A$204,STUDENTS!$L$5:$L$204,""),"")</f>
        <v/>
      </c>
      <c r="F16" s="10" t="str">
        <f t="shared" si="1"/>
        <v/>
      </c>
      <c r="G16" s="8"/>
      <c r="H16" s="11" t="str">
        <f>IF(B16="","",IF(OR(F16="Saturday",F16="Sunday"),SETTINGS!$B$11,IF(G16="Vacation",SETTINGS!$B$13,0)))</f>
        <v/>
      </c>
      <c r="I16" s="12" t="str">
        <f t="shared" si="2"/>
        <v/>
      </c>
      <c r="J16" s="8"/>
    </row>
    <row r="17" spans="1:10" x14ac:dyDescent="0.2">
      <c r="A17" s="7" t="str">
        <f t="shared" si="0"/>
        <v/>
      </c>
      <c r="B17" s="9"/>
      <c r="C17" s="8"/>
      <c r="D17" s="10" t="str">
        <f ca="1">IFERROR(_xludf.XLOOKUP(C17,STUDENTS!$A$5:$A$204,STUDENTS!$C$5:$C$204,""),"")</f>
        <v/>
      </c>
      <c r="E17" s="10" t="str">
        <f ca="1">IFERROR(_xludf.XLOOKUP(C17,STUDENTS!$A$5:$A$204,STUDENTS!$L$5:$L$204,""),"")</f>
        <v/>
      </c>
      <c r="F17" s="10" t="str">
        <f t="shared" si="1"/>
        <v/>
      </c>
      <c r="G17" s="8"/>
      <c r="H17" s="11" t="str">
        <f>IF(B17="","",IF(OR(F17="Saturday",F17="Sunday"),SETTINGS!$B$11,IF(G17="Vacation",SETTINGS!$B$13,0)))</f>
        <v/>
      </c>
      <c r="I17" s="12" t="str">
        <f t="shared" si="2"/>
        <v/>
      </c>
      <c r="J17" s="8"/>
    </row>
    <row r="18" spans="1:10" x14ac:dyDescent="0.2">
      <c r="A18" s="7" t="str">
        <f t="shared" si="0"/>
        <v/>
      </c>
      <c r="B18" s="9"/>
      <c r="C18" s="8"/>
      <c r="D18" s="10" t="str">
        <f ca="1">IFERROR(_xludf.XLOOKUP(C18,STUDENTS!$A$5:$A$204,STUDENTS!$C$5:$C$204,""),"")</f>
        <v/>
      </c>
      <c r="E18" s="10" t="str">
        <f ca="1">IFERROR(_xludf.XLOOKUP(C18,STUDENTS!$A$5:$A$204,STUDENTS!$L$5:$L$204,""),"")</f>
        <v/>
      </c>
      <c r="F18" s="10" t="str">
        <f t="shared" si="1"/>
        <v/>
      </c>
      <c r="G18" s="8"/>
      <c r="H18" s="11" t="str">
        <f>IF(B18="","",IF(OR(F18="Saturday",F18="Sunday"),SETTINGS!$B$11,IF(G18="Vacation",SETTINGS!$B$13,0)))</f>
        <v/>
      </c>
      <c r="I18" s="12" t="str">
        <f t="shared" si="2"/>
        <v/>
      </c>
      <c r="J18" s="8"/>
    </row>
    <row r="19" spans="1:10" x14ac:dyDescent="0.2">
      <c r="A19" s="7" t="str">
        <f t="shared" si="0"/>
        <v/>
      </c>
      <c r="B19" s="9"/>
      <c r="C19" s="8"/>
      <c r="D19" s="10" t="str">
        <f ca="1">IFERROR(_xludf.XLOOKUP(C19,STUDENTS!$A$5:$A$204,STUDENTS!$C$5:$C$204,""),"")</f>
        <v/>
      </c>
      <c r="E19" s="10" t="str">
        <f ca="1">IFERROR(_xludf.XLOOKUP(C19,STUDENTS!$A$5:$A$204,STUDENTS!$L$5:$L$204,""),"")</f>
        <v/>
      </c>
      <c r="F19" s="10" t="str">
        <f t="shared" si="1"/>
        <v/>
      </c>
      <c r="G19" s="8"/>
      <c r="H19" s="11" t="str">
        <f>IF(B19="","",IF(OR(F19="Saturday",F19="Sunday"),SETTINGS!$B$11,IF(G19="Vacation",SETTINGS!$B$13,0)))</f>
        <v/>
      </c>
      <c r="I19" s="12" t="str">
        <f t="shared" si="2"/>
        <v/>
      </c>
      <c r="J19" s="8"/>
    </row>
    <row r="20" spans="1:10" x14ac:dyDescent="0.2">
      <c r="A20" s="7" t="str">
        <f t="shared" si="0"/>
        <v/>
      </c>
      <c r="B20" s="9"/>
      <c r="C20" s="8"/>
      <c r="D20" s="10" t="str">
        <f ca="1">IFERROR(_xludf.XLOOKUP(C20,STUDENTS!$A$5:$A$204,STUDENTS!$C$5:$C$204,""),"")</f>
        <v/>
      </c>
      <c r="E20" s="10" t="str">
        <f ca="1">IFERROR(_xludf.XLOOKUP(C20,STUDENTS!$A$5:$A$204,STUDENTS!$L$5:$L$204,""),"")</f>
        <v/>
      </c>
      <c r="F20" s="10" t="str">
        <f t="shared" si="1"/>
        <v/>
      </c>
      <c r="G20" s="8"/>
      <c r="H20" s="11" t="str">
        <f>IF(B20="","",IF(OR(F20="Saturday",F20="Sunday"),SETTINGS!$B$11,IF(G20="Vacation",SETTINGS!$B$13,0)))</f>
        <v/>
      </c>
      <c r="I20" s="12" t="str">
        <f t="shared" si="2"/>
        <v/>
      </c>
      <c r="J20" s="8"/>
    </row>
    <row r="21" spans="1:10" x14ac:dyDescent="0.2">
      <c r="A21" s="7" t="str">
        <f t="shared" si="0"/>
        <v/>
      </c>
      <c r="B21" s="9"/>
      <c r="C21" s="8"/>
      <c r="D21" s="10" t="str">
        <f ca="1">IFERROR(_xludf.XLOOKUP(C21,STUDENTS!$A$5:$A$204,STUDENTS!$C$5:$C$204,""),"")</f>
        <v/>
      </c>
      <c r="E21" s="10" t="str">
        <f ca="1">IFERROR(_xludf.XLOOKUP(C21,STUDENTS!$A$5:$A$204,STUDENTS!$L$5:$L$204,""),"")</f>
        <v/>
      </c>
      <c r="F21" s="10" t="str">
        <f t="shared" si="1"/>
        <v/>
      </c>
      <c r="G21" s="8"/>
      <c r="H21" s="11" t="str">
        <f>IF(B21="","",IF(OR(F21="Saturday",F21="Sunday"),SETTINGS!$B$11,IF(G21="Vacation",SETTINGS!$B$13,0)))</f>
        <v/>
      </c>
      <c r="I21" s="12" t="str">
        <f t="shared" si="2"/>
        <v/>
      </c>
      <c r="J21" s="8"/>
    </row>
    <row r="22" spans="1:10" x14ac:dyDescent="0.2">
      <c r="A22" s="7" t="str">
        <f t="shared" si="0"/>
        <v/>
      </c>
      <c r="B22" s="9"/>
      <c r="C22" s="8"/>
      <c r="D22" s="10" t="str">
        <f ca="1">IFERROR(_xludf.XLOOKUP(C22,STUDENTS!$A$5:$A$204,STUDENTS!$C$5:$C$204,""),"")</f>
        <v/>
      </c>
      <c r="E22" s="10" t="str">
        <f ca="1">IFERROR(_xludf.XLOOKUP(C22,STUDENTS!$A$5:$A$204,STUDENTS!$L$5:$L$204,""),"")</f>
        <v/>
      </c>
      <c r="F22" s="10" t="str">
        <f t="shared" si="1"/>
        <v/>
      </c>
      <c r="G22" s="8"/>
      <c r="H22" s="11" t="str">
        <f>IF(B22="","",IF(OR(F22="Saturday",F22="Sunday"),SETTINGS!$B$11,IF(G22="Vacation",SETTINGS!$B$13,0)))</f>
        <v/>
      </c>
      <c r="I22" s="12" t="str">
        <f t="shared" si="2"/>
        <v/>
      </c>
      <c r="J22" s="8"/>
    </row>
    <row r="23" spans="1:10" x14ac:dyDescent="0.2">
      <c r="A23" s="7" t="str">
        <f t="shared" si="0"/>
        <v/>
      </c>
      <c r="B23" s="9"/>
      <c r="C23" s="8"/>
      <c r="D23" s="10" t="str">
        <f ca="1">IFERROR(_xludf.XLOOKUP(C23,STUDENTS!$A$5:$A$204,STUDENTS!$C$5:$C$204,""),"")</f>
        <v/>
      </c>
      <c r="E23" s="10" t="str">
        <f ca="1">IFERROR(_xludf.XLOOKUP(C23,STUDENTS!$A$5:$A$204,STUDENTS!$L$5:$L$204,""),"")</f>
        <v/>
      </c>
      <c r="F23" s="10" t="str">
        <f t="shared" si="1"/>
        <v/>
      </c>
      <c r="G23" s="8"/>
      <c r="H23" s="11" t="str">
        <f>IF(B23="","",IF(OR(F23="Saturday",F23="Sunday"),SETTINGS!$B$11,IF(G23="Vacation",SETTINGS!$B$13,0)))</f>
        <v/>
      </c>
      <c r="I23" s="12" t="str">
        <f t="shared" si="2"/>
        <v/>
      </c>
      <c r="J23" s="8"/>
    </row>
    <row r="24" spans="1:10" x14ac:dyDescent="0.2">
      <c r="A24" s="7" t="str">
        <f t="shared" si="0"/>
        <v/>
      </c>
      <c r="B24" s="9"/>
      <c r="C24" s="8"/>
      <c r="D24" s="10" t="str">
        <f ca="1">IFERROR(_xludf.XLOOKUP(C24,STUDENTS!$A$5:$A$204,STUDENTS!$C$5:$C$204,""),"")</f>
        <v/>
      </c>
      <c r="E24" s="10" t="str">
        <f ca="1">IFERROR(_xludf.XLOOKUP(C24,STUDENTS!$A$5:$A$204,STUDENTS!$L$5:$L$204,""),"")</f>
        <v/>
      </c>
      <c r="F24" s="10" t="str">
        <f t="shared" si="1"/>
        <v/>
      </c>
      <c r="G24" s="8"/>
      <c r="H24" s="11" t="str">
        <f>IF(B24="","",IF(OR(F24="Saturday",F24="Sunday"),SETTINGS!$B$11,IF(G24="Vacation",SETTINGS!$B$13,0)))</f>
        <v/>
      </c>
      <c r="I24" s="12" t="str">
        <f t="shared" si="2"/>
        <v/>
      </c>
      <c r="J24" s="8"/>
    </row>
    <row r="25" spans="1:10" x14ac:dyDescent="0.2">
      <c r="A25" s="7" t="str">
        <f t="shared" si="0"/>
        <v/>
      </c>
      <c r="B25" s="9"/>
      <c r="C25" s="8"/>
      <c r="D25" s="10" t="str">
        <f ca="1">IFERROR(_xludf.XLOOKUP(C25,STUDENTS!$A$5:$A$204,STUDENTS!$C$5:$C$204,""),"")</f>
        <v/>
      </c>
      <c r="E25" s="10" t="str">
        <f ca="1">IFERROR(_xludf.XLOOKUP(C25,STUDENTS!$A$5:$A$204,STUDENTS!$L$5:$L$204,""),"")</f>
        <v/>
      </c>
      <c r="F25" s="10" t="str">
        <f t="shared" si="1"/>
        <v/>
      </c>
      <c r="G25" s="8"/>
      <c r="H25" s="11" t="str">
        <f>IF(B25="","",IF(OR(F25="Saturday",F25="Sunday"),SETTINGS!$B$11,IF(G25="Vacation",SETTINGS!$B$13,0)))</f>
        <v/>
      </c>
      <c r="I25" s="12" t="str">
        <f t="shared" si="2"/>
        <v/>
      </c>
      <c r="J25" s="8"/>
    </row>
    <row r="26" spans="1:10" x14ac:dyDescent="0.2">
      <c r="A26" s="7" t="str">
        <f t="shared" si="0"/>
        <v/>
      </c>
      <c r="B26" s="9"/>
      <c r="C26" s="8"/>
      <c r="D26" s="10" t="str">
        <f ca="1">IFERROR(_xludf.XLOOKUP(C26,STUDENTS!$A$5:$A$204,STUDENTS!$C$5:$C$204,""),"")</f>
        <v/>
      </c>
      <c r="E26" s="10" t="str">
        <f ca="1">IFERROR(_xludf.XLOOKUP(C26,STUDENTS!$A$5:$A$204,STUDENTS!$L$5:$L$204,""),"")</f>
        <v/>
      </c>
      <c r="F26" s="10" t="str">
        <f t="shared" si="1"/>
        <v/>
      </c>
      <c r="G26" s="8"/>
      <c r="H26" s="11" t="str">
        <f>IF(B26="","",IF(OR(F26="Saturday",F26="Sunday"),SETTINGS!$B$11,IF(G26="Vacation",SETTINGS!$B$13,0)))</f>
        <v/>
      </c>
      <c r="I26" s="12" t="str">
        <f t="shared" si="2"/>
        <v/>
      </c>
      <c r="J26" s="8"/>
    </row>
    <row r="27" spans="1:10" x14ac:dyDescent="0.2">
      <c r="A27" s="7" t="str">
        <f t="shared" si="0"/>
        <v/>
      </c>
      <c r="B27" s="9"/>
      <c r="C27" s="8"/>
      <c r="D27" s="10" t="str">
        <f ca="1">IFERROR(_xludf.XLOOKUP(C27,STUDENTS!$A$5:$A$204,STUDENTS!$C$5:$C$204,""),"")</f>
        <v/>
      </c>
      <c r="E27" s="10" t="str">
        <f ca="1">IFERROR(_xludf.XLOOKUP(C27,STUDENTS!$A$5:$A$204,STUDENTS!$L$5:$L$204,""),"")</f>
        <v/>
      </c>
      <c r="F27" s="10" t="str">
        <f t="shared" si="1"/>
        <v/>
      </c>
      <c r="G27" s="8"/>
      <c r="H27" s="11" t="str">
        <f>IF(B27="","",IF(OR(F27="Saturday",F27="Sunday"),SETTINGS!$B$11,IF(G27="Vacation",SETTINGS!$B$13,0)))</f>
        <v/>
      </c>
      <c r="I27" s="12" t="str">
        <f t="shared" si="2"/>
        <v/>
      </c>
      <c r="J27" s="8"/>
    </row>
    <row r="28" spans="1:10" x14ac:dyDescent="0.2">
      <c r="A28" s="7" t="str">
        <f t="shared" si="0"/>
        <v/>
      </c>
      <c r="B28" s="9"/>
      <c r="C28" s="8"/>
      <c r="D28" s="10" t="str">
        <f ca="1">IFERROR(_xludf.XLOOKUP(C28,STUDENTS!$A$5:$A$204,STUDENTS!$C$5:$C$204,""),"")</f>
        <v/>
      </c>
      <c r="E28" s="10" t="str">
        <f ca="1">IFERROR(_xludf.XLOOKUP(C28,STUDENTS!$A$5:$A$204,STUDENTS!$L$5:$L$204,""),"")</f>
        <v/>
      </c>
      <c r="F28" s="10" t="str">
        <f t="shared" si="1"/>
        <v/>
      </c>
      <c r="G28" s="8"/>
      <c r="H28" s="11" t="str">
        <f>IF(B28="","",IF(OR(F28="Saturday",F28="Sunday"),SETTINGS!$B$11,IF(G28="Vacation",SETTINGS!$B$13,0)))</f>
        <v/>
      </c>
      <c r="I28" s="12" t="str">
        <f t="shared" si="2"/>
        <v/>
      </c>
      <c r="J28" s="8"/>
    </row>
    <row r="29" spans="1:10" x14ac:dyDescent="0.2">
      <c r="A29" s="7" t="str">
        <f t="shared" si="0"/>
        <v/>
      </c>
      <c r="B29" s="9"/>
      <c r="C29" s="8"/>
      <c r="D29" s="10" t="str">
        <f ca="1">IFERROR(_xludf.XLOOKUP(C29,STUDENTS!$A$5:$A$204,STUDENTS!$C$5:$C$204,""),"")</f>
        <v/>
      </c>
      <c r="E29" s="10" t="str">
        <f ca="1">IFERROR(_xludf.XLOOKUP(C29,STUDENTS!$A$5:$A$204,STUDENTS!$L$5:$L$204,""),"")</f>
        <v/>
      </c>
      <c r="F29" s="10" t="str">
        <f t="shared" si="1"/>
        <v/>
      </c>
      <c r="G29" s="8"/>
      <c r="H29" s="11" t="str">
        <f>IF(B29="","",IF(OR(F29="Saturday",F29="Sunday"),SETTINGS!$B$11,IF(G29="Vacation",SETTINGS!$B$13,0)))</f>
        <v/>
      </c>
      <c r="I29" s="12" t="str">
        <f t="shared" si="2"/>
        <v/>
      </c>
      <c r="J29" s="8"/>
    </row>
    <row r="30" spans="1:10" x14ac:dyDescent="0.2">
      <c r="A30" s="7" t="str">
        <f t="shared" si="0"/>
        <v/>
      </c>
      <c r="B30" s="9"/>
      <c r="C30" s="8"/>
      <c r="D30" s="10" t="str">
        <f ca="1">IFERROR(_xludf.XLOOKUP(C30,STUDENTS!$A$5:$A$204,STUDENTS!$C$5:$C$204,""),"")</f>
        <v/>
      </c>
      <c r="E30" s="10" t="str">
        <f ca="1">IFERROR(_xludf.XLOOKUP(C30,STUDENTS!$A$5:$A$204,STUDENTS!$L$5:$L$204,""),"")</f>
        <v/>
      </c>
      <c r="F30" s="10" t="str">
        <f t="shared" si="1"/>
        <v/>
      </c>
      <c r="G30" s="8"/>
      <c r="H30" s="11" t="str">
        <f>IF(B30="","",IF(OR(F30="Saturday",F30="Sunday"),SETTINGS!$B$11,IF(G30="Vacation",SETTINGS!$B$13,0)))</f>
        <v/>
      </c>
      <c r="I30" s="12" t="str">
        <f t="shared" si="2"/>
        <v/>
      </c>
      <c r="J30" s="8"/>
    </row>
    <row r="31" spans="1:10" x14ac:dyDescent="0.2">
      <c r="A31" s="7" t="str">
        <f t="shared" si="0"/>
        <v/>
      </c>
      <c r="B31" s="9"/>
      <c r="C31" s="8"/>
      <c r="D31" s="10" t="str">
        <f ca="1">IFERROR(_xludf.XLOOKUP(C31,STUDENTS!$A$5:$A$204,STUDENTS!$C$5:$C$204,""),"")</f>
        <v/>
      </c>
      <c r="E31" s="10" t="str">
        <f ca="1">IFERROR(_xludf.XLOOKUP(C31,STUDENTS!$A$5:$A$204,STUDENTS!$L$5:$L$204,""),"")</f>
        <v/>
      </c>
      <c r="F31" s="10" t="str">
        <f t="shared" si="1"/>
        <v/>
      </c>
      <c r="G31" s="8"/>
      <c r="H31" s="11" t="str">
        <f>IF(B31="","",IF(OR(F31="Saturday",F31="Sunday"),SETTINGS!$B$11,IF(G31="Vacation",SETTINGS!$B$13,0)))</f>
        <v/>
      </c>
      <c r="I31" s="12" t="str">
        <f t="shared" si="2"/>
        <v/>
      </c>
      <c r="J31" s="8"/>
    </row>
    <row r="32" spans="1:10" x14ac:dyDescent="0.2">
      <c r="A32" s="7" t="str">
        <f t="shared" si="0"/>
        <v/>
      </c>
      <c r="B32" s="9"/>
      <c r="C32" s="8"/>
      <c r="D32" s="10" t="str">
        <f ca="1">IFERROR(_xludf.XLOOKUP(C32,STUDENTS!$A$5:$A$204,STUDENTS!$C$5:$C$204,""),"")</f>
        <v/>
      </c>
      <c r="E32" s="10" t="str">
        <f ca="1">IFERROR(_xludf.XLOOKUP(C32,STUDENTS!$A$5:$A$204,STUDENTS!$L$5:$L$204,""),"")</f>
        <v/>
      </c>
      <c r="F32" s="10" t="str">
        <f t="shared" si="1"/>
        <v/>
      </c>
      <c r="G32" s="8"/>
      <c r="H32" s="11" t="str">
        <f>IF(B32="","",IF(OR(F32="Saturday",F32="Sunday"),SETTINGS!$B$11,IF(G32="Vacation",SETTINGS!$B$13,0)))</f>
        <v/>
      </c>
      <c r="I32" s="12" t="str">
        <f t="shared" si="2"/>
        <v/>
      </c>
      <c r="J32" s="8"/>
    </row>
    <row r="33" spans="1:10" x14ac:dyDescent="0.2">
      <c r="A33" s="7" t="str">
        <f t="shared" si="0"/>
        <v/>
      </c>
      <c r="B33" s="9"/>
      <c r="C33" s="8"/>
      <c r="D33" s="10" t="str">
        <f ca="1">IFERROR(_xludf.XLOOKUP(C33,STUDENTS!$A$5:$A$204,STUDENTS!$C$5:$C$204,""),"")</f>
        <v/>
      </c>
      <c r="E33" s="10" t="str">
        <f ca="1">IFERROR(_xludf.XLOOKUP(C33,STUDENTS!$A$5:$A$204,STUDENTS!$L$5:$L$204,""),"")</f>
        <v/>
      </c>
      <c r="F33" s="10" t="str">
        <f t="shared" si="1"/>
        <v/>
      </c>
      <c r="G33" s="8"/>
      <c r="H33" s="11" t="str">
        <f>IF(B33="","",IF(OR(F33="Saturday",F33="Sunday"),SETTINGS!$B$11,IF(G33="Vacation",SETTINGS!$B$13,0)))</f>
        <v/>
      </c>
      <c r="I33" s="12" t="str">
        <f t="shared" si="2"/>
        <v/>
      </c>
      <c r="J33" s="8"/>
    </row>
    <row r="34" spans="1:10" x14ac:dyDescent="0.2">
      <c r="A34" s="7" t="str">
        <f t="shared" si="0"/>
        <v/>
      </c>
      <c r="B34" s="9"/>
      <c r="C34" s="8"/>
      <c r="D34" s="10" t="str">
        <f ca="1">IFERROR(_xludf.XLOOKUP(C34,STUDENTS!$A$5:$A$204,STUDENTS!$C$5:$C$204,""),"")</f>
        <v/>
      </c>
      <c r="E34" s="10" t="str">
        <f ca="1">IFERROR(_xludf.XLOOKUP(C34,STUDENTS!$A$5:$A$204,STUDENTS!$L$5:$L$204,""),"")</f>
        <v/>
      </c>
      <c r="F34" s="10" t="str">
        <f t="shared" si="1"/>
        <v/>
      </c>
      <c r="G34" s="8"/>
      <c r="H34" s="11" t="str">
        <f>IF(B34="","",IF(OR(F34="Saturday",F34="Sunday"),SETTINGS!$B$11,IF(G34="Vacation",SETTINGS!$B$13,0)))</f>
        <v/>
      </c>
      <c r="I34" s="12" t="str">
        <f t="shared" si="2"/>
        <v/>
      </c>
      <c r="J34" s="8"/>
    </row>
    <row r="35" spans="1:10" x14ac:dyDescent="0.2">
      <c r="A35" s="7" t="str">
        <f t="shared" si="0"/>
        <v/>
      </c>
      <c r="B35" s="9"/>
      <c r="C35" s="8"/>
      <c r="D35" s="10" t="str">
        <f ca="1">IFERROR(_xludf.XLOOKUP(C35,STUDENTS!$A$5:$A$204,STUDENTS!$C$5:$C$204,""),"")</f>
        <v/>
      </c>
      <c r="E35" s="10" t="str">
        <f ca="1">IFERROR(_xludf.XLOOKUP(C35,STUDENTS!$A$5:$A$204,STUDENTS!$L$5:$L$204,""),"")</f>
        <v/>
      </c>
      <c r="F35" s="10" t="str">
        <f t="shared" si="1"/>
        <v/>
      </c>
      <c r="G35" s="8"/>
      <c r="H35" s="11" t="str">
        <f>IF(B35="","",IF(OR(F35="Saturday",F35="Sunday"),SETTINGS!$B$11,IF(G35="Vacation",SETTINGS!$B$13,0)))</f>
        <v/>
      </c>
      <c r="I35" s="12" t="str">
        <f t="shared" si="2"/>
        <v/>
      </c>
      <c r="J35" s="8"/>
    </row>
    <row r="36" spans="1:10" x14ac:dyDescent="0.2">
      <c r="A36" s="7" t="str">
        <f t="shared" si="0"/>
        <v/>
      </c>
      <c r="B36" s="9"/>
      <c r="C36" s="8"/>
      <c r="D36" s="10" t="str">
        <f ca="1">IFERROR(_xludf.XLOOKUP(C36,STUDENTS!$A$5:$A$204,STUDENTS!$C$5:$C$204,""),"")</f>
        <v/>
      </c>
      <c r="E36" s="10" t="str">
        <f ca="1">IFERROR(_xludf.XLOOKUP(C36,STUDENTS!$A$5:$A$204,STUDENTS!$L$5:$L$204,""),"")</f>
        <v/>
      </c>
      <c r="F36" s="10" t="str">
        <f t="shared" si="1"/>
        <v/>
      </c>
      <c r="G36" s="8"/>
      <c r="H36" s="11" t="str">
        <f>IF(B36="","",IF(OR(F36="Saturday",F36="Sunday"),SETTINGS!$B$11,IF(G36="Vacation",SETTINGS!$B$13,0)))</f>
        <v/>
      </c>
      <c r="I36" s="12" t="str">
        <f t="shared" si="2"/>
        <v/>
      </c>
      <c r="J36" s="8"/>
    </row>
    <row r="37" spans="1:10" x14ac:dyDescent="0.2">
      <c r="A37" s="7" t="str">
        <f t="shared" si="0"/>
        <v/>
      </c>
      <c r="B37" s="9"/>
      <c r="C37" s="8"/>
      <c r="D37" s="10" t="str">
        <f ca="1">IFERROR(_xludf.XLOOKUP(C37,STUDENTS!$A$5:$A$204,STUDENTS!$C$5:$C$204,""),"")</f>
        <v/>
      </c>
      <c r="E37" s="10" t="str">
        <f ca="1">IFERROR(_xludf.XLOOKUP(C37,STUDENTS!$A$5:$A$204,STUDENTS!$L$5:$L$204,""),"")</f>
        <v/>
      </c>
      <c r="F37" s="10" t="str">
        <f t="shared" si="1"/>
        <v/>
      </c>
      <c r="G37" s="8"/>
      <c r="H37" s="11" t="str">
        <f>IF(B37="","",IF(OR(F37="Saturday",F37="Sunday"),SETTINGS!$B$11,IF(G37="Vacation",SETTINGS!$B$13,0)))</f>
        <v/>
      </c>
      <c r="I37" s="12" t="str">
        <f t="shared" si="2"/>
        <v/>
      </c>
      <c r="J37" s="8"/>
    </row>
    <row r="38" spans="1:10" x14ac:dyDescent="0.2">
      <c r="A38" s="7" t="str">
        <f t="shared" si="0"/>
        <v/>
      </c>
      <c r="B38" s="9"/>
      <c r="C38" s="8"/>
      <c r="D38" s="10" t="str">
        <f ca="1">IFERROR(_xludf.XLOOKUP(C38,STUDENTS!$A$5:$A$204,STUDENTS!$C$5:$C$204,""),"")</f>
        <v/>
      </c>
      <c r="E38" s="10" t="str">
        <f ca="1">IFERROR(_xludf.XLOOKUP(C38,STUDENTS!$A$5:$A$204,STUDENTS!$L$5:$L$204,""),"")</f>
        <v/>
      </c>
      <c r="F38" s="10" t="str">
        <f t="shared" si="1"/>
        <v/>
      </c>
      <c r="G38" s="8"/>
      <c r="H38" s="11" t="str">
        <f>IF(B38="","",IF(OR(F38="Saturday",F38="Sunday"),SETTINGS!$B$11,IF(G38="Vacation",SETTINGS!$B$13,0)))</f>
        <v/>
      </c>
      <c r="I38" s="12" t="str">
        <f t="shared" si="2"/>
        <v/>
      </c>
      <c r="J38" s="8"/>
    </row>
    <row r="39" spans="1:10" x14ac:dyDescent="0.2">
      <c r="A39" s="7" t="str">
        <f t="shared" si="0"/>
        <v/>
      </c>
      <c r="B39" s="9"/>
      <c r="C39" s="8"/>
      <c r="D39" s="10" t="str">
        <f ca="1">IFERROR(_xludf.XLOOKUP(C39,STUDENTS!$A$5:$A$204,STUDENTS!$C$5:$C$204,""),"")</f>
        <v/>
      </c>
      <c r="E39" s="10" t="str">
        <f ca="1">IFERROR(_xludf.XLOOKUP(C39,STUDENTS!$A$5:$A$204,STUDENTS!$L$5:$L$204,""),"")</f>
        <v/>
      </c>
      <c r="F39" s="10" t="str">
        <f t="shared" si="1"/>
        <v/>
      </c>
      <c r="G39" s="8"/>
      <c r="H39" s="11" t="str">
        <f>IF(B39="","",IF(OR(F39="Saturday",F39="Sunday"),SETTINGS!$B$11,IF(G39="Vacation",SETTINGS!$B$13,0)))</f>
        <v/>
      </c>
      <c r="I39" s="12" t="str">
        <f t="shared" si="2"/>
        <v/>
      </c>
      <c r="J39" s="8"/>
    </row>
    <row r="40" spans="1:10" x14ac:dyDescent="0.2">
      <c r="A40" s="7" t="str">
        <f t="shared" si="0"/>
        <v/>
      </c>
      <c r="B40" s="9"/>
      <c r="C40" s="8"/>
      <c r="D40" s="10" t="str">
        <f ca="1">IFERROR(_xludf.XLOOKUP(C40,STUDENTS!$A$5:$A$204,STUDENTS!$C$5:$C$204,""),"")</f>
        <v/>
      </c>
      <c r="E40" s="10" t="str">
        <f ca="1">IFERROR(_xludf.XLOOKUP(C40,STUDENTS!$A$5:$A$204,STUDENTS!$L$5:$L$204,""),"")</f>
        <v/>
      </c>
      <c r="F40" s="10" t="str">
        <f t="shared" si="1"/>
        <v/>
      </c>
      <c r="G40" s="8"/>
      <c r="H40" s="11" t="str">
        <f>IF(B40="","",IF(OR(F40="Saturday",F40="Sunday"),SETTINGS!$B$11,IF(G40="Vacation",SETTINGS!$B$13,0)))</f>
        <v/>
      </c>
      <c r="I40" s="12" t="str">
        <f t="shared" si="2"/>
        <v/>
      </c>
      <c r="J40" s="8"/>
    </row>
    <row r="41" spans="1:10" x14ac:dyDescent="0.2">
      <c r="A41" s="7" t="str">
        <f t="shared" si="0"/>
        <v/>
      </c>
      <c r="B41" s="9"/>
      <c r="C41" s="8"/>
      <c r="D41" s="10" t="str">
        <f ca="1">IFERROR(_xludf.XLOOKUP(C41,STUDENTS!$A$5:$A$204,STUDENTS!$C$5:$C$204,""),"")</f>
        <v/>
      </c>
      <c r="E41" s="10" t="str">
        <f ca="1">IFERROR(_xludf.XLOOKUP(C41,STUDENTS!$A$5:$A$204,STUDENTS!$L$5:$L$204,""),"")</f>
        <v/>
      </c>
      <c r="F41" s="10" t="str">
        <f t="shared" si="1"/>
        <v/>
      </c>
      <c r="G41" s="8"/>
      <c r="H41" s="11" t="str">
        <f>IF(B41="","",IF(OR(F41="Saturday",F41="Sunday"),SETTINGS!$B$11,IF(G41="Vacation",SETTINGS!$B$13,0)))</f>
        <v/>
      </c>
      <c r="I41" s="12" t="str">
        <f t="shared" si="2"/>
        <v/>
      </c>
      <c r="J41" s="8"/>
    </row>
    <row r="42" spans="1:10" x14ac:dyDescent="0.2">
      <c r="A42" s="7" t="str">
        <f t="shared" si="0"/>
        <v/>
      </c>
      <c r="B42" s="9"/>
      <c r="C42" s="8"/>
      <c r="D42" s="10" t="str">
        <f ca="1">IFERROR(_xludf.XLOOKUP(C42,STUDENTS!$A$5:$A$204,STUDENTS!$C$5:$C$204,""),"")</f>
        <v/>
      </c>
      <c r="E42" s="10" t="str">
        <f ca="1">IFERROR(_xludf.XLOOKUP(C42,STUDENTS!$A$5:$A$204,STUDENTS!$L$5:$L$204,""),"")</f>
        <v/>
      </c>
      <c r="F42" s="10" t="str">
        <f t="shared" si="1"/>
        <v/>
      </c>
      <c r="G42" s="8"/>
      <c r="H42" s="11" t="str">
        <f>IF(B42="","",IF(OR(F42="Saturday",F42="Sunday"),SETTINGS!$B$11,IF(G42="Vacation",SETTINGS!$B$13,0)))</f>
        <v/>
      </c>
      <c r="I42" s="12" t="str">
        <f t="shared" si="2"/>
        <v/>
      </c>
      <c r="J42" s="8"/>
    </row>
    <row r="43" spans="1:10" x14ac:dyDescent="0.2">
      <c r="A43" s="7" t="str">
        <f t="shared" si="0"/>
        <v/>
      </c>
      <c r="B43" s="9"/>
      <c r="C43" s="8"/>
      <c r="D43" s="10" t="str">
        <f ca="1">IFERROR(_xludf.XLOOKUP(C43,STUDENTS!$A$5:$A$204,STUDENTS!$C$5:$C$204,""),"")</f>
        <v/>
      </c>
      <c r="E43" s="10" t="str">
        <f ca="1">IFERROR(_xludf.XLOOKUP(C43,STUDENTS!$A$5:$A$204,STUDENTS!$L$5:$L$204,""),"")</f>
        <v/>
      </c>
      <c r="F43" s="10" t="str">
        <f t="shared" si="1"/>
        <v/>
      </c>
      <c r="G43" s="8"/>
      <c r="H43" s="11" t="str">
        <f>IF(B43="","",IF(OR(F43="Saturday",F43="Sunday"),SETTINGS!$B$11,IF(G43="Vacation",SETTINGS!$B$13,0)))</f>
        <v/>
      </c>
      <c r="I43" s="12" t="str">
        <f t="shared" si="2"/>
        <v/>
      </c>
      <c r="J43" s="8"/>
    </row>
    <row r="44" spans="1:10" x14ac:dyDescent="0.2">
      <c r="A44" s="7" t="str">
        <f t="shared" si="0"/>
        <v/>
      </c>
      <c r="B44" s="9"/>
      <c r="C44" s="8"/>
      <c r="D44" s="10" t="str">
        <f ca="1">IFERROR(_xludf.XLOOKUP(C44,STUDENTS!$A$5:$A$204,STUDENTS!$C$5:$C$204,""),"")</f>
        <v/>
      </c>
      <c r="E44" s="10" t="str">
        <f ca="1">IFERROR(_xludf.XLOOKUP(C44,STUDENTS!$A$5:$A$204,STUDENTS!$L$5:$L$204,""),"")</f>
        <v/>
      </c>
      <c r="F44" s="10" t="str">
        <f t="shared" si="1"/>
        <v/>
      </c>
      <c r="G44" s="8"/>
      <c r="H44" s="11" t="str">
        <f>IF(B44="","",IF(OR(F44="Saturday",F44="Sunday"),SETTINGS!$B$11,IF(G44="Vacation",SETTINGS!$B$13,0)))</f>
        <v/>
      </c>
      <c r="I44" s="12" t="str">
        <f t="shared" si="2"/>
        <v/>
      </c>
      <c r="J44" s="8"/>
    </row>
    <row r="45" spans="1:10" x14ac:dyDescent="0.2">
      <c r="A45" s="7" t="str">
        <f t="shared" si="0"/>
        <v/>
      </c>
      <c r="B45" s="9"/>
      <c r="C45" s="8"/>
      <c r="D45" s="10" t="str">
        <f ca="1">IFERROR(_xludf.XLOOKUP(C45,STUDENTS!$A$5:$A$204,STUDENTS!$C$5:$C$204,""),"")</f>
        <v/>
      </c>
      <c r="E45" s="10" t="str">
        <f ca="1">IFERROR(_xludf.XLOOKUP(C45,STUDENTS!$A$5:$A$204,STUDENTS!$L$5:$L$204,""),"")</f>
        <v/>
      </c>
      <c r="F45" s="10" t="str">
        <f t="shared" si="1"/>
        <v/>
      </c>
      <c r="G45" s="8"/>
      <c r="H45" s="11" t="str">
        <f>IF(B45="","",IF(OR(F45="Saturday",F45="Sunday"),SETTINGS!$B$11,IF(G45="Vacation",SETTINGS!$B$13,0)))</f>
        <v/>
      </c>
      <c r="I45" s="12" t="str">
        <f t="shared" si="2"/>
        <v/>
      </c>
      <c r="J45" s="8"/>
    </row>
    <row r="46" spans="1:10" x14ac:dyDescent="0.2">
      <c r="A46" s="7" t="str">
        <f t="shared" si="0"/>
        <v/>
      </c>
      <c r="B46" s="9"/>
      <c r="C46" s="8"/>
      <c r="D46" s="10" t="str">
        <f ca="1">IFERROR(_xludf.XLOOKUP(C46,STUDENTS!$A$5:$A$204,STUDENTS!$C$5:$C$204,""),"")</f>
        <v/>
      </c>
      <c r="E46" s="10" t="str">
        <f ca="1">IFERROR(_xludf.XLOOKUP(C46,STUDENTS!$A$5:$A$204,STUDENTS!$L$5:$L$204,""),"")</f>
        <v/>
      </c>
      <c r="F46" s="10" t="str">
        <f t="shared" si="1"/>
        <v/>
      </c>
      <c r="G46" s="8"/>
      <c r="H46" s="11" t="str">
        <f>IF(B46="","",IF(OR(F46="Saturday",F46="Sunday"),SETTINGS!$B$11,IF(G46="Vacation",SETTINGS!$B$13,0)))</f>
        <v/>
      </c>
      <c r="I46" s="12" t="str">
        <f t="shared" si="2"/>
        <v/>
      </c>
      <c r="J46" s="8"/>
    </row>
    <row r="47" spans="1:10" x14ac:dyDescent="0.2">
      <c r="A47" s="7" t="str">
        <f t="shared" si="0"/>
        <v/>
      </c>
      <c r="B47" s="9"/>
      <c r="C47" s="8"/>
      <c r="D47" s="10" t="str">
        <f ca="1">IFERROR(_xludf.XLOOKUP(C47,STUDENTS!$A$5:$A$204,STUDENTS!$C$5:$C$204,""),"")</f>
        <v/>
      </c>
      <c r="E47" s="10" t="str">
        <f ca="1">IFERROR(_xludf.XLOOKUP(C47,STUDENTS!$A$5:$A$204,STUDENTS!$L$5:$L$204,""),"")</f>
        <v/>
      </c>
      <c r="F47" s="10" t="str">
        <f t="shared" si="1"/>
        <v/>
      </c>
      <c r="G47" s="8"/>
      <c r="H47" s="11" t="str">
        <f>IF(B47="","",IF(OR(F47="Saturday",F47="Sunday"),SETTINGS!$B$11,IF(G47="Vacation",SETTINGS!$B$13,0)))</f>
        <v/>
      </c>
      <c r="I47" s="12" t="str">
        <f t="shared" si="2"/>
        <v/>
      </c>
      <c r="J47" s="8"/>
    </row>
    <row r="48" spans="1:10" x14ac:dyDescent="0.2">
      <c r="A48" s="7" t="str">
        <f t="shared" si="0"/>
        <v/>
      </c>
      <c r="B48" s="9"/>
      <c r="C48" s="8"/>
      <c r="D48" s="10" t="str">
        <f ca="1">IFERROR(_xludf.XLOOKUP(C48,STUDENTS!$A$5:$A$204,STUDENTS!$C$5:$C$204,""),"")</f>
        <v/>
      </c>
      <c r="E48" s="10" t="str">
        <f ca="1">IFERROR(_xludf.XLOOKUP(C48,STUDENTS!$A$5:$A$204,STUDENTS!$L$5:$L$204,""),"")</f>
        <v/>
      </c>
      <c r="F48" s="10" t="str">
        <f t="shared" si="1"/>
        <v/>
      </c>
      <c r="G48" s="8"/>
      <c r="H48" s="11" t="str">
        <f>IF(B48="","",IF(OR(F48="Saturday",F48="Sunday"),SETTINGS!$B$11,IF(G48="Vacation",SETTINGS!$B$13,0)))</f>
        <v/>
      </c>
      <c r="I48" s="12" t="str">
        <f t="shared" si="2"/>
        <v/>
      </c>
      <c r="J48" s="8"/>
    </row>
    <row r="49" spans="1:10" x14ac:dyDescent="0.2">
      <c r="A49" s="7" t="str">
        <f t="shared" si="0"/>
        <v/>
      </c>
      <c r="B49" s="9"/>
      <c r="C49" s="8"/>
      <c r="D49" s="10" t="str">
        <f ca="1">IFERROR(_xludf.XLOOKUP(C49,STUDENTS!$A$5:$A$204,STUDENTS!$C$5:$C$204,""),"")</f>
        <v/>
      </c>
      <c r="E49" s="10" t="str">
        <f ca="1">IFERROR(_xludf.XLOOKUP(C49,STUDENTS!$A$5:$A$204,STUDENTS!$L$5:$L$204,""),"")</f>
        <v/>
      </c>
      <c r="F49" s="10" t="str">
        <f t="shared" si="1"/>
        <v/>
      </c>
      <c r="G49" s="8"/>
      <c r="H49" s="11" t="str">
        <f>IF(B49="","",IF(OR(F49="Saturday",F49="Sunday"),SETTINGS!$B$11,IF(G49="Vacation",SETTINGS!$B$13,0)))</f>
        <v/>
      </c>
      <c r="I49" s="12" t="str">
        <f t="shared" si="2"/>
        <v/>
      </c>
      <c r="J49" s="8"/>
    </row>
    <row r="50" spans="1:10" x14ac:dyDescent="0.2">
      <c r="A50" s="7" t="str">
        <f t="shared" si="0"/>
        <v/>
      </c>
      <c r="B50" s="9"/>
      <c r="C50" s="8"/>
      <c r="D50" s="10" t="str">
        <f ca="1">IFERROR(_xludf.XLOOKUP(C50,STUDENTS!$A$5:$A$204,STUDENTS!$C$5:$C$204,""),"")</f>
        <v/>
      </c>
      <c r="E50" s="10" t="str">
        <f ca="1">IFERROR(_xludf.XLOOKUP(C50,STUDENTS!$A$5:$A$204,STUDENTS!$L$5:$L$204,""),"")</f>
        <v/>
      </c>
      <c r="F50" s="10" t="str">
        <f t="shared" si="1"/>
        <v/>
      </c>
      <c r="G50" s="8"/>
      <c r="H50" s="11" t="str">
        <f>IF(B50="","",IF(OR(F50="Saturday",F50="Sunday"),SETTINGS!$B$11,IF(G50="Vacation",SETTINGS!$B$13,0)))</f>
        <v/>
      </c>
      <c r="I50" s="12" t="str">
        <f t="shared" si="2"/>
        <v/>
      </c>
      <c r="J50" s="8"/>
    </row>
    <row r="51" spans="1:10" x14ac:dyDescent="0.2">
      <c r="A51" s="7" t="str">
        <f t="shared" si="0"/>
        <v/>
      </c>
      <c r="B51" s="9"/>
      <c r="C51" s="8"/>
      <c r="D51" s="10" t="str">
        <f ca="1">IFERROR(_xludf.XLOOKUP(C51,STUDENTS!$A$5:$A$204,STUDENTS!$C$5:$C$204,""),"")</f>
        <v/>
      </c>
      <c r="E51" s="10" t="str">
        <f ca="1">IFERROR(_xludf.XLOOKUP(C51,STUDENTS!$A$5:$A$204,STUDENTS!$L$5:$L$204,""),"")</f>
        <v/>
      </c>
      <c r="F51" s="10" t="str">
        <f t="shared" si="1"/>
        <v/>
      </c>
      <c r="G51" s="8"/>
      <c r="H51" s="11" t="str">
        <f>IF(B51="","",IF(OR(F51="Saturday",F51="Sunday"),SETTINGS!$B$11,IF(G51="Vacation",SETTINGS!$B$13,0)))</f>
        <v/>
      </c>
      <c r="I51" s="12" t="str">
        <f t="shared" si="2"/>
        <v/>
      </c>
      <c r="J51" s="8"/>
    </row>
    <row r="52" spans="1:10" x14ac:dyDescent="0.2">
      <c r="A52" s="7" t="str">
        <f t="shared" si="0"/>
        <v/>
      </c>
      <c r="B52" s="9"/>
      <c r="C52" s="8"/>
      <c r="D52" s="10" t="str">
        <f ca="1">IFERROR(_xludf.XLOOKUP(C52,STUDENTS!$A$5:$A$204,STUDENTS!$C$5:$C$204,""),"")</f>
        <v/>
      </c>
      <c r="E52" s="10" t="str">
        <f ca="1">IFERROR(_xludf.XLOOKUP(C52,STUDENTS!$A$5:$A$204,STUDENTS!$L$5:$L$204,""),"")</f>
        <v/>
      </c>
      <c r="F52" s="10" t="str">
        <f t="shared" si="1"/>
        <v/>
      </c>
      <c r="G52" s="8"/>
      <c r="H52" s="11" t="str">
        <f>IF(B52="","",IF(OR(F52="Saturday",F52="Sunday"),SETTINGS!$B$11,IF(G52="Vacation",SETTINGS!$B$13,0)))</f>
        <v/>
      </c>
      <c r="I52" s="12" t="str">
        <f t="shared" si="2"/>
        <v/>
      </c>
      <c r="J52" s="8"/>
    </row>
    <row r="53" spans="1:10" x14ac:dyDescent="0.2">
      <c r="A53" s="7" t="str">
        <f t="shared" si="0"/>
        <v/>
      </c>
      <c r="B53" s="9"/>
      <c r="C53" s="8"/>
      <c r="D53" s="10" t="str">
        <f ca="1">IFERROR(_xludf.XLOOKUP(C53,STUDENTS!$A$5:$A$204,STUDENTS!$C$5:$C$204,""),"")</f>
        <v/>
      </c>
      <c r="E53" s="10" t="str">
        <f ca="1">IFERROR(_xludf.XLOOKUP(C53,STUDENTS!$A$5:$A$204,STUDENTS!$L$5:$L$204,""),"")</f>
        <v/>
      </c>
      <c r="F53" s="10" t="str">
        <f t="shared" si="1"/>
        <v/>
      </c>
      <c r="G53" s="8"/>
      <c r="H53" s="11" t="str">
        <f>IF(B53="","",IF(OR(F53="Saturday",F53="Sunday"),SETTINGS!$B$11,IF(G53="Vacation",SETTINGS!$B$13,0)))</f>
        <v/>
      </c>
      <c r="I53" s="12" t="str">
        <f t="shared" si="2"/>
        <v/>
      </c>
      <c r="J53" s="8"/>
    </row>
    <row r="54" spans="1:10" x14ac:dyDescent="0.2">
      <c r="A54" s="7" t="str">
        <f t="shared" si="0"/>
        <v/>
      </c>
      <c r="B54" s="9"/>
      <c r="C54" s="8"/>
      <c r="D54" s="10" t="str">
        <f ca="1">IFERROR(_xludf.XLOOKUP(C54,STUDENTS!$A$5:$A$204,STUDENTS!$C$5:$C$204,""),"")</f>
        <v/>
      </c>
      <c r="E54" s="10" t="str">
        <f ca="1">IFERROR(_xludf.XLOOKUP(C54,STUDENTS!$A$5:$A$204,STUDENTS!$L$5:$L$204,""),"")</f>
        <v/>
      </c>
      <c r="F54" s="10" t="str">
        <f t="shared" si="1"/>
        <v/>
      </c>
      <c r="G54" s="8"/>
      <c r="H54" s="11" t="str">
        <f>IF(B54="","",IF(OR(F54="Saturday",F54="Sunday"),SETTINGS!$B$11,IF(G54="Vacation",SETTINGS!$B$13,0)))</f>
        <v/>
      </c>
      <c r="I54" s="12" t="str">
        <f t="shared" si="2"/>
        <v/>
      </c>
      <c r="J54" s="8"/>
    </row>
    <row r="55" spans="1:10" x14ac:dyDescent="0.2">
      <c r="A55" s="7" t="str">
        <f t="shared" si="0"/>
        <v/>
      </c>
      <c r="B55" s="9"/>
      <c r="C55" s="8"/>
      <c r="D55" s="10" t="str">
        <f ca="1">IFERROR(_xludf.XLOOKUP(C55,STUDENTS!$A$5:$A$204,STUDENTS!$C$5:$C$204,""),"")</f>
        <v/>
      </c>
      <c r="E55" s="10" t="str">
        <f ca="1">IFERROR(_xludf.XLOOKUP(C55,STUDENTS!$A$5:$A$204,STUDENTS!$L$5:$L$204,""),"")</f>
        <v/>
      </c>
      <c r="F55" s="10" t="str">
        <f t="shared" si="1"/>
        <v/>
      </c>
      <c r="G55" s="8"/>
      <c r="H55" s="11" t="str">
        <f>IF(B55="","",IF(OR(F55="Saturday",F55="Sunday"),SETTINGS!$B$11,IF(G55="Vacation",SETTINGS!$B$13,0)))</f>
        <v/>
      </c>
      <c r="I55" s="12" t="str">
        <f t="shared" si="2"/>
        <v/>
      </c>
      <c r="J55" s="8"/>
    </row>
    <row r="56" spans="1:10" x14ac:dyDescent="0.2">
      <c r="A56" s="7" t="str">
        <f t="shared" si="0"/>
        <v/>
      </c>
      <c r="B56" s="9"/>
      <c r="C56" s="8"/>
      <c r="D56" s="10" t="str">
        <f ca="1">IFERROR(_xludf.XLOOKUP(C56,STUDENTS!$A$5:$A$204,STUDENTS!$C$5:$C$204,""),"")</f>
        <v/>
      </c>
      <c r="E56" s="10" t="str">
        <f ca="1">IFERROR(_xludf.XLOOKUP(C56,STUDENTS!$A$5:$A$204,STUDENTS!$L$5:$L$204,""),"")</f>
        <v/>
      </c>
      <c r="F56" s="10" t="str">
        <f t="shared" si="1"/>
        <v/>
      </c>
      <c r="G56" s="8"/>
      <c r="H56" s="11" t="str">
        <f>IF(B56="","",IF(OR(F56="Saturday",F56="Sunday"),SETTINGS!$B$11,IF(G56="Vacation",SETTINGS!$B$13,0)))</f>
        <v/>
      </c>
      <c r="I56" s="12" t="str">
        <f t="shared" si="2"/>
        <v/>
      </c>
      <c r="J56" s="8"/>
    </row>
    <row r="57" spans="1:10" x14ac:dyDescent="0.2">
      <c r="A57" s="7" t="str">
        <f t="shared" si="0"/>
        <v/>
      </c>
      <c r="B57" s="9"/>
      <c r="C57" s="8"/>
      <c r="D57" s="10" t="str">
        <f ca="1">IFERROR(_xludf.XLOOKUP(C57,STUDENTS!$A$5:$A$204,STUDENTS!$C$5:$C$204,""),"")</f>
        <v/>
      </c>
      <c r="E57" s="10" t="str">
        <f ca="1">IFERROR(_xludf.XLOOKUP(C57,STUDENTS!$A$5:$A$204,STUDENTS!$L$5:$L$204,""),"")</f>
        <v/>
      </c>
      <c r="F57" s="10" t="str">
        <f t="shared" si="1"/>
        <v/>
      </c>
      <c r="G57" s="8"/>
      <c r="H57" s="11" t="str">
        <f>IF(B57="","",IF(OR(F57="Saturday",F57="Sunday"),SETTINGS!$B$11,IF(G57="Vacation",SETTINGS!$B$13,0)))</f>
        <v/>
      </c>
      <c r="I57" s="12" t="str">
        <f t="shared" si="2"/>
        <v/>
      </c>
      <c r="J57" s="8"/>
    </row>
    <row r="58" spans="1:10" x14ac:dyDescent="0.2">
      <c r="A58" s="7" t="str">
        <f t="shared" si="0"/>
        <v/>
      </c>
      <c r="B58" s="9"/>
      <c r="C58" s="8"/>
      <c r="D58" s="10" t="str">
        <f ca="1">IFERROR(_xludf.XLOOKUP(C58,STUDENTS!$A$5:$A$204,STUDENTS!$C$5:$C$204,""),"")</f>
        <v/>
      </c>
      <c r="E58" s="10" t="str">
        <f ca="1">IFERROR(_xludf.XLOOKUP(C58,STUDENTS!$A$5:$A$204,STUDENTS!$L$5:$L$204,""),"")</f>
        <v/>
      </c>
      <c r="F58" s="10" t="str">
        <f t="shared" si="1"/>
        <v/>
      </c>
      <c r="G58" s="8"/>
      <c r="H58" s="11" t="str">
        <f>IF(B58="","",IF(OR(F58="Saturday",F58="Sunday"),SETTINGS!$B$11,IF(G58="Vacation",SETTINGS!$B$13,0)))</f>
        <v/>
      </c>
      <c r="I58" s="12" t="str">
        <f t="shared" si="2"/>
        <v/>
      </c>
      <c r="J58" s="8"/>
    </row>
    <row r="59" spans="1:10" x14ac:dyDescent="0.2">
      <c r="A59" s="7" t="str">
        <f t="shared" si="0"/>
        <v/>
      </c>
      <c r="B59" s="9"/>
      <c r="C59" s="8"/>
      <c r="D59" s="10" t="str">
        <f ca="1">IFERROR(_xludf.XLOOKUP(C59,STUDENTS!$A$5:$A$204,STUDENTS!$C$5:$C$204,""),"")</f>
        <v/>
      </c>
      <c r="E59" s="10" t="str">
        <f ca="1">IFERROR(_xludf.XLOOKUP(C59,STUDENTS!$A$5:$A$204,STUDENTS!$L$5:$L$204,""),"")</f>
        <v/>
      </c>
      <c r="F59" s="10" t="str">
        <f t="shared" si="1"/>
        <v/>
      </c>
      <c r="G59" s="8"/>
      <c r="H59" s="11" t="str">
        <f>IF(B59="","",IF(OR(F59="Saturday",F59="Sunday"),SETTINGS!$B$11,IF(G59="Vacation",SETTINGS!$B$13,0)))</f>
        <v/>
      </c>
      <c r="I59" s="12" t="str">
        <f t="shared" si="2"/>
        <v/>
      </c>
      <c r="J59" s="8"/>
    </row>
    <row r="60" spans="1:10" x14ac:dyDescent="0.2">
      <c r="A60" s="7" t="str">
        <f t="shared" si="0"/>
        <v/>
      </c>
      <c r="B60" s="9"/>
      <c r="C60" s="8"/>
      <c r="D60" s="10" t="str">
        <f ca="1">IFERROR(_xludf.XLOOKUP(C60,STUDENTS!$A$5:$A$204,STUDENTS!$C$5:$C$204,""),"")</f>
        <v/>
      </c>
      <c r="E60" s="10" t="str">
        <f ca="1">IFERROR(_xludf.XLOOKUP(C60,STUDENTS!$A$5:$A$204,STUDENTS!$L$5:$L$204,""),"")</f>
        <v/>
      </c>
      <c r="F60" s="10" t="str">
        <f t="shared" si="1"/>
        <v/>
      </c>
      <c r="G60" s="8"/>
      <c r="H60" s="11" t="str">
        <f>IF(B60="","",IF(OR(F60="Saturday",F60="Sunday"),SETTINGS!$B$11,IF(G60="Vacation",SETTINGS!$B$13,0)))</f>
        <v/>
      </c>
      <c r="I60" s="12" t="str">
        <f t="shared" si="2"/>
        <v/>
      </c>
      <c r="J60" s="8"/>
    </row>
    <row r="61" spans="1:10" x14ac:dyDescent="0.2">
      <c r="A61" s="7" t="str">
        <f t="shared" si="0"/>
        <v/>
      </c>
      <c r="B61" s="9"/>
      <c r="C61" s="8"/>
      <c r="D61" s="10" t="str">
        <f ca="1">IFERROR(_xludf.XLOOKUP(C61,STUDENTS!$A$5:$A$204,STUDENTS!$C$5:$C$204,""),"")</f>
        <v/>
      </c>
      <c r="E61" s="10" t="str">
        <f ca="1">IFERROR(_xludf.XLOOKUP(C61,STUDENTS!$A$5:$A$204,STUDENTS!$L$5:$L$204,""),"")</f>
        <v/>
      </c>
      <c r="F61" s="10" t="str">
        <f t="shared" si="1"/>
        <v/>
      </c>
      <c r="G61" s="8"/>
      <c r="H61" s="11" t="str">
        <f>IF(B61="","",IF(OR(F61="Saturday",F61="Sunday"),SETTINGS!$B$11,IF(G61="Vacation",SETTINGS!$B$13,0)))</f>
        <v/>
      </c>
      <c r="I61" s="12" t="str">
        <f t="shared" si="2"/>
        <v/>
      </c>
      <c r="J61" s="8"/>
    </row>
    <row r="62" spans="1:10" x14ac:dyDescent="0.2">
      <c r="A62" s="7" t="str">
        <f t="shared" si="0"/>
        <v/>
      </c>
      <c r="B62" s="9"/>
      <c r="C62" s="8"/>
      <c r="D62" s="10" t="str">
        <f ca="1">IFERROR(_xludf.XLOOKUP(C62,STUDENTS!$A$5:$A$204,STUDENTS!$C$5:$C$204,""),"")</f>
        <v/>
      </c>
      <c r="E62" s="10" t="str">
        <f ca="1">IFERROR(_xludf.XLOOKUP(C62,STUDENTS!$A$5:$A$204,STUDENTS!$L$5:$L$204,""),"")</f>
        <v/>
      </c>
      <c r="F62" s="10" t="str">
        <f t="shared" si="1"/>
        <v/>
      </c>
      <c r="G62" s="8"/>
      <c r="H62" s="11" t="str">
        <f>IF(B62="","",IF(OR(F62="Saturday",F62="Sunday"),SETTINGS!$B$11,IF(G62="Vacation",SETTINGS!$B$13,0)))</f>
        <v/>
      </c>
      <c r="I62" s="12" t="str">
        <f t="shared" si="2"/>
        <v/>
      </c>
      <c r="J62" s="8"/>
    </row>
    <row r="63" spans="1:10" x14ac:dyDescent="0.2">
      <c r="A63" s="7" t="str">
        <f t="shared" si="0"/>
        <v/>
      </c>
      <c r="B63" s="9"/>
      <c r="C63" s="8"/>
      <c r="D63" s="10" t="str">
        <f ca="1">IFERROR(_xludf.XLOOKUP(C63,STUDENTS!$A$5:$A$204,STUDENTS!$C$5:$C$204,""),"")</f>
        <v/>
      </c>
      <c r="E63" s="10" t="str">
        <f ca="1">IFERROR(_xludf.XLOOKUP(C63,STUDENTS!$A$5:$A$204,STUDENTS!$L$5:$L$204,""),"")</f>
        <v/>
      </c>
      <c r="F63" s="10" t="str">
        <f t="shared" si="1"/>
        <v/>
      </c>
      <c r="G63" s="8"/>
      <c r="H63" s="11" t="str">
        <f>IF(B63="","",IF(OR(F63="Saturday",F63="Sunday"),SETTINGS!$B$11,IF(G63="Vacation",SETTINGS!$B$13,0)))</f>
        <v/>
      </c>
      <c r="I63" s="12" t="str">
        <f t="shared" si="2"/>
        <v/>
      </c>
      <c r="J63" s="8"/>
    </row>
    <row r="64" spans="1:10" x14ac:dyDescent="0.2">
      <c r="A64" s="7" t="str">
        <f t="shared" si="0"/>
        <v/>
      </c>
      <c r="B64" s="9"/>
      <c r="C64" s="8"/>
      <c r="D64" s="10" t="str">
        <f ca="1">IFERROR(_xludf.XLOOKUP(C64,STUDENTS!$A$5:$A$204,STUDENTS!$C$5:$C$204,""),"")</f>
        <v/>
      </c>
      <c r="E64" s="10" t="str">
        <f ca="1">IFERROR(_xludf.XLOOKUP(C64,STUDENTS!$A$5:$A$204,STUDENTS!$L$5:$L$204,""),"")</f>
        <v/>
      </c>
      <c r="F64" s="10" t="str">
        <f t="shared" si="1"/>
        <v/>
      </c>
      <c r="G64" s="8"/>
      <c r="H64" s="11" t="str">
        <f>IF(B64="","",IF(OR(F64="Saturday",F64="Sunday"),SETTINGS!$B$11,IF(G64="Vacation",SETTINGS!$B$13,0)))</f>
        <v/>
      </c>
      <c r="I64" s="12" t="str">
        <f t="shared" si="2"/>
        <v/>
      </c>
      <c r="J64" s="8"/>
    </row>
    <row r="65" spans="1:10" x14ac:dyDescent="0.2">
      <c r="A65" s="7" t="str">
        <f t="shared" si="0"/>
        <v/>
      </c>
      <c r="B65" s="9"/>
      <c r="C65" s="8"/>
      <c r="D65" s="10" t="str">
        <f ca="1">IFERROR(_xludf.XLOOKUP(C65,STUDENTS!$A$5:$A$204,STUDENTS!$C$5:$C$204,""),"")</f>
        <v/>
      </c>
      <c r="E65" s="10" t="str">
        <f ca="1">IFERROR(_xludf.XLOOKUP(C65,STUDENTS!$A$5:$A$204,STUDENTS!$L$5:$L$204,""),"")</f>
        <v/>
      </c>
      <c r="F65" s="10" t="str">
        <f t="shared" si="1"/>
        <v/>
      </c>
      <c r="G65" s="8"/>
      <c r="H65" s="11" t="str">
        <f>IF(B65="","",IF(OR(F65="Saturday",F65="Sunday"),SETTINGS!$B$11,IF(G65="Vacation",SETTINGS!$B$13,0)))</f>
        <v/>
      </c>
      <c r="I65" s="12" t="str">
        <f t="shared" si="2"/>
        <v/>
      </c>
      <c r="J65" s="8"/>
    </row>
    <row r="66" spans="1:10" x14ac:dyDescent="0.2">
      <c r="A66" s="7" t="str">
        <f t="shared" si="0"/>
        <v/>
      </c>
      <c r="B66" s="9"/>
      <c r="C66" s="8"/>
      <c r="D66" s="10" t="str">
        <f ca="1">IFERROR(_xludf.XLOOKUP(C66,STUDENTS!$A$5:$A$204,STUDENTS!$C$5:$C$204,""),"")</f>
        <v/>
      </c>
      <c r="E66" s="10" t="str">
        <f ca="1">IFERROR(_xludf.XLOOKUP(C66,STUDENTS!$A$5:$A$204,STUDENTS!$L$5:$L$204,""),"")</f>
        <v/>
      </c>
      <c r="F66" s="10" t="str">
        <f t="shared" si="1"/>
        <v/>
      </c>
      <c r="G66" s="8"/>
      <c r="H66" s="11" t="str">
        <f>IF(B66="","",IF(OR(F66="Saturday",F66="Sunday"),SETTINGS!$B$11,IF(G66="Vacation",SETTINGS!$B$13,0)))</f>
        <v/>
      </c>
      <c r="I66" s="12" t="str">
        <f t="shared" si="2"/>
        <v/>
      </c>
      <c r="J66" s="8"/>
    </row>
    <row r="67" spans="1:10" x14ac:dyDescent="0.2">
      <c r="A67" s="7" t="str">
        <f t="shared" si="0"/>
        <v/>
      </c>
      <c r="B67" s="9"/>
      <c r="C67" s="8"/>
      <c r="D67" s="10" t="str">
        <f ca="1">IFERROR(_xludf.XLOOKUP(C67,STUDENTS!$A$5:$A$204,STUDENTS!$C$5:$C$204,""),"")</f>
        <v/>
      </c>
      <c r="E67" s="10" t="str">
        <f ca="1">IFERROR(_xludf.XLOOKUP(C67,STUDENTS!$A$5:$A$204,STUDENTS!$L$5:$L$204,""),"")</f>
        <v/>
      </c>
      <c r="F67" s="10" t="str">
        <f t="shared" si="1"/>
        <v/>
      </c>
      <c r="G67" s="8"/>
      <c r="H67" s="11" t="str">
        <f>IF(B67="","",IF(OR(F67="Saturday",F67="Sunday"),SETTINGS!$B$11,IF(G67="Vacation",SETTINGS!$B$13,0)))</f>
        <v/>
      </c>
      <c r="I67" s="12" t="str">
        <f t="shared" si="2"/>
        <v/>
      </c>
      <c r="J67" s="8"/>
    </row>
    <row r="68" spans="1:10" x14ac:dyDescent="0.2">
      <c r="A68" s="7" t="str">
        <f t="shared" si="0"/>
        <v/>
      </c>
      <c r="B68" s="9"/>
      <c r="C68" s="8"/>
      <c r="D68" s="10" t="str">
        <f ca="1">IFERROR(_xludf.XLOOKUP(C68,STUDENTS!$A$5:$A$204,STUDENTS!$C$5:$C$204,""),"")</f>
        <v/>
      </c>
      <c r="E68" s="10" t="str">
        <f ca="1">IFERROR(_xludf.XLOOKUP(C68,STUDENTS!$A$5:$A$204,STUDENTS!$L$5:$L$204,""),"")</f>
        <v/>
      </c>
      <c r="F68" s="10" t="str">
        <f t="shared" si="1"/>
        <v/>
      </c>
      <c r="G68" s="8"/>
      <c r="H68" s="11" t="str">
        <f>IF(B68="","",IF(OR(F68="Saturday",F68="Sunday"),SETTINGS!$B$11,IF(G68="Vacation",SETTINGS!$B$13,0)))</f>
        <v/>
      </c>
      <c r="I68" s="12" t="str">
        <f t="shared" si="2"/>
        <v/>
      </c>
      <c r="J68" s="8"/>
    </row>
    <row r="69" spans="1:10" x14ac:dyDescent="0.2">
      <c r="A69" s="7" t="str">
        <f t="shared" ref="A69:A132" si="3">IF(C69="","","F-"&amp;TEXT(ROW()-4,"00000"))</f>
        <v/>
      </c>
      <c r="B69" s="9"/>
      <c r="C69" s="8"/>
      <c r="D69" s="10" t="str">
        <f ca="1">IFERROR(_xludf.XLOOKUP(C69,STUDENTS!$A$5:$A$204,STUDENTS!$C$5:$C$204,""),"")</f>
        <v/>
      </c>
      <c r="E69" s="10" t="str">
        <f ca="1">IFERROR(_xludf.XLOOKUP(C69,STUDENTS!$A$5:$A$204,STUDENTS!$L$5:$L$204,""),"")</f>
        <v/>
      </c>
      <c r="F69" s="10" t="str">
        <f t="shared" ref="F69:F132" si="4">IF(B69="","",TEXT(B69,"dddd"))</f>
        <v/>
      </c>
      <c r="G69" s="8"/>
      <c r="H69" s="11" t="str">
        <f>IF(B69="","",IF(OR(F69="Saturday",F69="Sunday"),SETTINGS!$B$11,IF(G69="Vacation",SETTINGS!$B$13,0)))</f>
        <v/>
      </c>
      <c r="I69" s="12" t="str">
        <f t="shared" ref="I69:I132" si="5">IF(H69="","",H69)</f>
        <v/>
      </c>
      <c r="J69" s="8"/>
    </row>
    <row r="70" spans="1:10" x14ac:dyDescent="0.2">
      <c r="A70" s="7" t="str">
        <f t="shared" si="3"/>
        <v/>
      </c>
      <c r="B70" s="9"/>
      <c r="C70" s="8"/>
      <c r="D70" s="10" t="str">
        <f ca="1">IFERROR(_xludf.XLOOKUP(C70,STUDENTS!$A$5:$A$204,STUDENTS!$C$5:$C$204,""),"")</f>
        <v/>
      </c>
      <c r="E70" s="10" t="str">
        <f ca="1">IFERROR(_xludf.XLOOKUP(C70,STUDENTS!$A$5:$A$204,STUDENTS!$L$5:$L$204,""),"")</f>
        <v/>
      </c>
      <c r="F70" s="10" t="str">
        <f t="shared" si="4"/>
        <v/>
      </c>
      <c r="G70" s="8"/>
      <c r="H70" s="11" t="str">
        <f>IF(B70="","",IF(OR(F70="Saturday",F70="Sunday"),SETTINGS!$B$11,IF(G70="Vacation",SETTINGS!$B$13,0)))</f>
        <v/>
      </c>
      <c r="I70" s="12" t="str">
        <f t="shared" si="5"/>
        <v/>
      </c>
      <c r="J70" s="8"/>
    </row>
    <row r="71" spans="1:10" x14ac:dyDescent="0.2">
      <c r="A71" s="7" t="str">
        <f t="shared" si="3"/>
        <v/>
      </c>
      <c r="B71" s="9"/>
      <c r="C71" s="8"/>
      <c r="D71" s="10" t="str">
        <f ca="1">IFERROR(_xludf.XLOOKUP(C71,STUDENTS!$A$5:$A$204,STUDENTS!$C$5:$C$204,""),"")</f>
        <v/>
      </c>
      <c r="E71" s="10" t="str">
        <f ca="1">IFERROR(_xludf.XLOOKUP(C71,STUDENTS!$A$5:$A$204,STUDENTS!$L$5:$L$204,""),"")</f>
        <v/>
      </c>
      <c r="F71" s="10" t="str">
        <f t="shared" si="4"/>
        <v/>
      </c>
      <c r="G71" s="8"/>
      <c r="H71" s="11" t="str">
        <f>IF(B71="","",IF(OR(F71="Saturday",F71="Sunday"),SETTINGS!$B$11,IF(G71="Vacation",SETTINGS!$B$13,0)))</f>
        <v/>
      </c>
      <c r="I71" s="12" t="str">
        <f t="shared" si="5"/>
        <v/>
      </c>
      <c r="J71" s="8"/>
    </row>
    <row r="72" spans="1:10" x14ac:dyDescent="0.2">
      <c r="A72" s="7" t="str">
        <f t="shared" si="3"/>
        <v/>
      </c>
      <c r="B72" s="9"/>
      <c r="C72" s="8"/>
      <c r="D72" s="10" t="str">
        <f ca="1">IFERROR(_xludf.XLOOKUP(C72,STUDENTS!$A$5:$A$204,STUDENTS!$C$5:$C$204,""),"")</f>
        <v/>
      </c>
      <c r="E72" s="10" t="str">
        <f ca="1">IFERROR(_xludf.XLOOKUP(C72,STUDENTS!$A$5:$A$204,STUDENTS!$L$5:$L$204,""),"")</f>
        <v/>
      </c>
      <c r="F72" s="10" t="str">
        <f t="shared" si="4"/>
        <v/>
      </c>
      <c r="G72" s="8"/>
      <c r="H72" s="11" t="str">
        <f>IF(B72="","",IF(OR(F72="Saturday",F72="Sunday"),SETTINGS!$B$11,IF(G72="Vacation",SETTINGS!$B$13,0)))</f>
        <v/>
      </c>
      <c r="I72" s="12" t="str">
        <f t="shared" si="5"/>
        <v/>
      </c>
      <c r="J72" s="8"/>
    </row>
    <row r="73" spans="1:10" x14ac:dyDescent="0.2">
      <c r="A73" s="7" t="str">
        <f t="shared" si="3"/>
        <v/>
      </c>
      <c r="B73" s="9"/>
      <c r="C73" s="8"/>
      <c r="D73" s="10" t="str">
        <f ca="1">IFERROR(_xludf.XLOOKUP(C73,STUDENTS!$A$5:$A$204,STUDENTS!$C$5:$C$204,""),"")</f>
        <v/>
      </c>
      <c r="E73" s="10" t="str">
        <f ca="1">IFERROR(_xludf.XLOOKUP(C73,STUDENTS!$A$5:$A$204,STUDENTS!$L$5:$L$204,""),"")</f>
        <v/>
      </c>
      <c r="F73" s="10" t="str">
        <f t="shared" si="4"/>
        <v/>
      </c>
      <c r="G73" s="8"/>
      <c r="H73" s="11" t="str">
        <f>IF(B73="","",IF(OR(F73="Saturday",F73="Sunday"),SETTINGS!$B$11,IF(G73="Vacation",SETTINGS!$B$13,0)))</f>
        <v/>
      </c>
      <c r="I73" s="12" t="str">
        <f t="shared" si="5"/>
        <v/>
      </c>
      <c r="J73" s="8"/>
    </row>
    <row r="74" spans="1:10" x14ac:dyDescent="0.2">
      <c r="A74" s="7" t="str">
        <f t="shared" si="3"/>
        <v/>
      </c>
      <c r="B74" s="9"/>
      <c r="C74" s="8"/>
      <c r="D74" s="10" t="str">
        <f ca="1">IFERROR(_xludf.XLOOKUP(C74,STUDENTS!$A$5:$A$204,STUDENTS!$C$5:$C$204,""),"")</f>
        <v/>
      </c>
      <c r="E74" s="10" t="str">
        <f ca="1">IFERROR(_xludf.XLOOKUP(C74,STUDENTS!$A$5:$A$204,STUDENTS!$L$5:$L$204,""),"")</f>
        <v/>
      </c>
      <c r="F74" s="10" t="str">
        <f t="shared" si="4"/>
        <v/>
      </c>
      <c r="G74" s="8"/>
      <c r="H74" s="11" t="str">
        <f>IF(B74="","",IF(OR(F74="Saturday",F74="Sunday"),SETTINGS!$B$11,IF(G74="Vacation",SETTINGS!$B$13,0)))</f>
        <v/>
      </c>
      <c r="I74" s="12" t="str">
        <f t="shared" si="5"/>
        <v/>
      </c>
      <c r="J74" s="8"/>
    </row>
    <row r="75" spans="1:10" x14ac:dyDescent="0.2">
      <c r="A75" s="7" t="str">
        <f t="shared" si="3"/>
        <v/>
      </c>
      <c r="B75" s="9"/>
      <c r="C75" s="8"/>
      <c r="D75" s="10" t="str">
        <f ca="1">IFERROR(_xludf.XLOOKUP(C75,STUDENTS!$A$5:$A$204,STUDENTS!$C$5:$C$204,""),"")</f>
        <v/>
      </c>
      <c r="E75" s="10" t="str">
        <f ca="1">IFERROR(_xludf.XLOOKUP(C75,STUDENTS!$A$5:$A$204,STUDENTS!$L$5:$L$204,""),"")</f>
        <v/>
      </c>
      <c r="F75" s="10" t="str">
        <f t="shared" si="4"/>
        <v/>
      </c>
      <c r="G75" s="8"/>
      <c r="H75" s="11" t="str">
        <f>IF(B75="","",IF(OR(F75="Saturday",F75="Sunday"),SETTINGS!$B$11,IF(G75="Vacation",SETTINGS!$B$13,0)))</f>
        <v/>
      </c>
      <c r="I75" s="12" t="str">
        <f t="shared" si="5"/>
        <v/>
      </c>
      <c r="J75" s="8"/>
    </row>
    <row r="76" spans="1:10" x14ac:dyDescent="0.2">
      <c r="A76" s="7" t="str">
        <f t="shared" si="3"/>
        <v/>
      </c>
      <c r="B76" s="9"/>
      <c r="C76" s="8"/>
      <c r="D76" s="10" t="str">
        <f ca="1">IFERROR(_xludf.XLOOKUP(C76,STUDENTS!$A$5:$A$204,STUDENTS!$C$5:$C$204,""),"")</f>
        <v/>
      </c>
      <c r="E76" s="10" t="str">
        <f ca="1">IFERROR(_xludf.XLOOKUP(C76,STUDENTS!$A$5:$A$204,STUDENTS!$L$5:$L$204,""),"")</f>
        <v/>
      </c>
      <c r="F76" s="10" t="str">
        <f t="shared" si="4"/>
        <v/>
      </c>
      <c r="G76" s="8"/>
      <c r="H76" s="11" t="str">
        <f>IF(B76="","",IF(OR(F76="Saturday",F76="Sunday"),SETTINGS!$B$11,IF(G76="Vacation",SETTINGS!$B$13,0)))</f>
        <v/>
      </c>
      <c r="I76" s="12" t="str">
        <f t="shared" si="5"/>
        <v/>
      </c>
      <c r="J76" s="8"/>
    </row>
    <row r="77" spans="1:10" x14ac:dyDescent="0.2">
      <c r="A77" s="7" t="str">
        <f t="shared" si="3"/>
        <v/>
      </c>
      <c r="B77" s="9"/>
      <c r="C77" s="8"/>
      <c r="D77" s="10" t="str">
        <f ca="1">IFERROR(_xludf.XLOOKUP(C77,STUDENTS!$A$5:$A$204,STUDENTS!$C$5:$C$204,""),"")</f>
        <v/>
      </c>
      <c r="E77" s="10" t="str">
        <f ca="1">IFERROR(_xludf.XLOOKUP(C77,STUDENTS!$A$5:$A$204,STUDENTS!$L$5:$L$204,""),"")</f>
        <v/>
      </c>
      <c r="F77" s="10" t="str">
        <f t="shared" si="4"/>
        <v/>
      </c>
      <c r="G77" s="8"/>
      <c r="H77" s="11" t="str">
        <f>IF(B77="","",IF(OR(F77="Saturday",F77="Sunday"),SETTINGS!$B$11,IF(G77="Vacation",SETTINGS!$B$13,0)))</f>
        <v/>
      </c>
      <c r="I77" s="12" t="str">
        <f t="shared" si="5"/>
        <v/>
      </c>
      <c r="J77" s="8"/>
    </row>
    <row r="78" spans="1:10" x14ac:dyDescent="0.2">
      <c r="A78" s="7" t="str">
        <f t="shared" si="3"/>
        <v/>
      </c>
      <c r="B78" s="9"/>
      <c r="C78" s="8"/>
      <c r="D78" s="10" t="str">
        <f ca="1">IFERROR(_xludf.XLOOKUP(C78,STUDENTS!$A$5:$A$204,STUDENTS!$C$5:$C$204,""),"")</f>
        <v/>
      </c>
      <c r="E78" s="10" t="str">
        <f ca="1">IFERROR(_xludf.XLOOKUP(C78,STUDENTS!$A$5:$A$204,STUDENTS!$L$5:$L$204,""),"")</f>
        <v/>
      </c>
      <c r="F78" s="10" t="str">
        <f t="shared" si="4"/>
        <v/>
      </c>
      <c r="G78" s="8"/>
      <c r="H78" s="11" t="str">
        <f>IF(B78="","",IF(OR(F78="Saturday",F78="Sunday"),SETTINGS!$B$11,IF(G78="Vacation",SETTINGS!$B$13,0)))</f>
        <v/>
      </c>
      <c r="I78" s="12" t="str">
        <f t="shared" si="5"/>
        <v/>
      </c>
      <c r="J78" s="8"/>
    </row>
    <row r="79" spans="1:10" x14ac:dyDescent="0.2">
      <c r="A79" s="7" t="str">
        <f t="shared" si="3"/>
        <v/>
      </c>
      <c r="B79" s="9"/>
      <c r="C79" s="8"/>
      <c r="D79" s="10" t="str">
        <f ca="1">IFERROR(_xludf.XLOOKUP(C79,STUDENTS!$A$5:$A$204,STUDENTS!$C$5:$C$204,""),"")</f>
        <v/>
      </c>
      <c r="E79" s="10" t="str">
        <f ca="1">IFERROR(_xludf.XLOOKUP(C79,STUDENTS!$A$5:$A$204,STUDENTS!$L$5:$L$204,""),"")</f>
        <v/>
      </c>
      <c r="F79" s="10" t="str">
        <f t="shared" si="4"/>
        <v/>
      </c>
      <c r="G79" s="8"/>
      <c r="H79" s="11" t="str">
        <f>IF(B79="","",IF(OR(F79="Saturday",F79="Sunday"),SETTINGS!$B$11,IF(G79="Vacation",SETTINGS!$B$13,0)))</f>
        <v/>
      </c>
      <c r="I79" s="12" t="str">
        <f t="shared" si="5"/>
        <v/>
      </c>
      <c r="J79" s="8"/>
    </row>
    <row r="80" spans="1:10" x14ac:dyDescent="0.2">
      <c r="A80" s="7" t="str">
        <f t="shared" si="3"/>
        <v/>
      </c>
      <c r="B80" s="9"/>
      <c r="C80" s="8"/>
      <c r="D80" s="10" t="str">
        <f ca="1">IFERROR(_xludf.XLOOKUP(C80,STUDENTS!$A$5:$A$204,STUDENTS!$C$5:$C$204,""),"")</f>
        <v/>
      </c>
      <c r="E80" s="10" t="str">
        <f ca="1">IFERROR(_xludf.XLOOKUP(C80,STUDENTS!$A$5:$A$204,STUDENTS!$L$5:$L$204,""),"")</f>
        <v/>
      </c>
      <c r="F80" s="10" t="str">
        <f t="shared" si="4"/>
        <v/>
      </c>
      <c r="G80" s="8"/>
      <c r="H80" s="11" t="str">
        <f>IF(B80="","",IF(OR(F80="Saturday",F80="Sunday"),SETTINGS!$B$11,IF(G80="Vacation",SETTINGS!$B$13,0)))</f>
        <v/>
      </c>
      <c r="I80" s="12" t="str">
        <f t="shared" si="5"/>
        <v/>
      </c>
      <c r="J80" s="8"/>
    </row>
    <row r="81" spans="1:10" x14ac:dyDescent="0.2">
      <c r="A81" s="7" t="str">
        <f t="shared" si="3"/>
        <v/>
      </c>
      <c r="B81" s="9"/>
      <c r="C81" s="8"/>
      <c r="D81" s="10" t="str">
        <f ca="1">IFERROR(_xludf.XLOOKUP(C81,STUDENTS!$A$5:$A$204,STUDENTS!$C$5:$C$204,""),"")</f>
        <v/>
      </c>
      <c r="E81" s="10" t="str">
        <f ca="1">IFERROR(_xludf.XLOOKUP(C81,STUDENTS!$A$5:$A$204,STUDENTS!$L$5:$L$204,""),"")</f>
        <v/>
      </c>
      <c r="F81" s="10" t="str">
        <f t="shared" si="4"/>
        <v/>
      </c>
      <c r="G81" s="8"/>
      <c r="H81" s="11" t="str">
        <f>IF(B81="","",IF(OR(F81="Saturday",F81="Sunday"),SETTINGS!$B$11,IF(G81="Vacation",SETTINGS!$B$13,0)))</f>
        <v/>
      </c>
      <c r="I81" s="12" t="str">
        <f t="shared" si="5"/>
        <v/>
      </c>
      <c r="J81" s="8"/>
    </row>
    <row r="82" spans="1:10" x14ac:dyDescent="0.2">
      <c r="A82" s="7" t="str">
        <f t="shared" si="3"/>
        <v/>
      </c>
      <c r="B82" s="9"/>
      <c r="C82" s="8"/>
      <c r="D82" s="10" t="str">
        <f ca="1">IFERROR(_xludf.XLOOKUP(C82,STUDENTS!$A$5:$A$204,STUDENTS!$C$5:$C$204,""),"")</f>
        <v/>
      </c>
      <c r="E82" s="10" t="str">
        <f ca="1">IFERROR(_xludf.XLOOKUP(C82,STUDENTS!$A$5:$A$204,STUDENTS!$L$5:$L$204,""),"")</f>
        <v/>
      </c>
      <c r="F82" s="10" t="str">
        <f t="shared" si="4"/>
        <v/>
      </c>
      <c r="G82" s="8"/>
      <c r="H82" s="11" t="str">
        <f>IF(B82="","",IF(OR(F82="Saturday",F82="Sunday"),SETTINGS!$B$11,IF(G82="Vacation",SETTINGS!$B$13,0)))</f>
        <v/>
      </c>
      <c r="I82" s="12" t="str">
        <f t="shared" si="5"/>
        <v/>
      </c>
      <c r="J82" s="8"/>
    </row>
    <row r="83" spans="1:10" x14ac:dyDescent="0.2">
      <c r="A83" s="7" t="str">
        <f t="shared" si="3"/>
        <v/>
      </c>
      <c r="B83" s="9"/>
      <c r="C83" s="8"/>
      <c r="D83" s="10" t="str">
        <f ca="1">IFERROR(_xludf.XLOOKUP(C83,STUDENTS!$A$5:$A$204,STUDENTS!$C$5:$C$204,""),"")</f>
        <v/>
      </c>
      <c r="E83" s="10" t="str">
        <f ca="1">IFERROR(_xludf.XLOOKUP(C83,STUDENTS!$A$5:$A$204,STUDENTS!$L$5:$L$204,""),"")</f>
        <v/>
      </c>
      <c r="F83" s="10" t="str">
        <f t="shared" si="4"/>
        <v/>
      </c>
      <c r="G83" s="8"/>
      <c r="H83" s="11" t="str">
        <f>IF(B83="","",IF(OR(F83="Saturday",F83="Sunday"),SETTINGS!$B$11,IF(G83="Vacation",SETTINGS!$B$13,0)))</f>
        <v/>
      </c>
      <c r="I83" s="12" t="str">
        <f t="shared" si="5"/>
        <v/>
      </c>
      <c r="J83" s="8"/>
    </row>
    <row r="84" spans="1:10" x14ac:dyDescent="0.2">
      <c r="A84" s="7" t="str">
        <f t="shared" si="3"/>
        <v/>
      </c>
      <c r="B84" s="9"/>
      <c r="C84" s="8"/>
      <c r="D84" s="10" t="str">
        <f ca="1">IFERROR(_xludf.XLOOKUP(C84,STUDENTS!$A$5:$A$204,STUDENTS!$C$5:$C$204,""),"")</f>
        <v/>
      </c>
      <c r="E84" s="10" t="str">
        <f ca="1">IFERROR(_xludf.XLOOKUP(C84,STUDENTS!$A$5:$A$204,STUDENTS!$L$5:$L$204,""),"")</f>
        <v/>
      </c>
      <c r="F84" s="10" t="str">
        <f t="shared" si="4"/>
        <v/>
      </c>
      <c r="G84" s="8"/>
      <c r="H84" s="11" t="str">
        <f>IF(B84="","",IF(OR(F84="Saturday",F84="Sunday"),SETTINGS!$B$11,IF(G84="Vacation",SETTINGS!$B$13,0)))</f>
        <v/>
      </c>
      <c r="I84" s="12" t="str">
        <f t="shared" si="5"/>
        <v/>
      </c>
      <c r="J84" s="8"/>
    </row>
    <row r="85" spans="1:10" x14ac:dyDescent="0.2">
      <c r="A85" s="7" t="str">
        <f t="shared" si="3"/>
        <v/>
      </c>
      <c r="B85" s="9"/>
      <c r="C85" s="8"/>
      <c r="D85" s="10" t="str">
        <f ca="1">IFERROR(_xludf.XLOOKUP(C85,STUDENTS!$A$5:$A$204,STUDENTS!$C$5:$C$204,""),"")</f>
        <v/>
      </c>
      <c r="E85" s="10" t="str">
        <f ca="1">IFERROR(_xludf.XLOOKUP(C85,STUDENTS!$A$5:$A$204,STUDENTS!$L$5:$L$204,""),"")</f>
        <v/>
      </c>
      <c r="F85" s="10" t="str">
        <f t="shared" si="4"/>
        <v/>
      </c>
      <c r="G85" s="8"/>
      <c r="H85" s="11" t="str">
        <f>IF(B85="","",IF(OR(F85="Saturday",F85="Sunday"),SETTINGS!$B$11,IF(G85="Vacation",SETTINGS!$B$13,0)))</f>
        <v/>
      </c>
      <c r="I85" s="12" t="str">
        <f t="shared" si="5"/>
        <v/>
      </c>
      <c r="J85" s="8"/>
    </row>
    <row r="86" spans="1:10" x14ac:dyDescent="0.2">
      <c r="A86" s="7" t="str">
        <f t="shared" si="3"/>
        <v/>
      </c>
      <c r="B86" s="9"/>
      <c r="C86" s="8"/>
      <c r="D86" s="10" t="str">
        <f ca="1">IFERROR(_xludf.XLOOKUP(C86,STUDENTS!$A$5:$A$204,STUDENTS!$C$5:$C$204,""),"")</f>
        <v/>
      </c>
      <c r="E86" s="10" t="str">
        <f ca="1">IFERROR(_xludf.XLOOKUP(C86,STUDENTS!$A$5:$A$204,STUDENTS!$L$5:$L$204,""),"")</f>
        <v/>
      </c>
      <c r="F86" s="10" t="str">
        <f t="shared" si="4"/>
        <v/>
      </c>
      <c r="G86" s="8"/>
      <c r="H86" s="11" t="str">
        <f>IF(B86="","",IF(OR(F86="Saturday",F86="Sunday"),SETTINGS!$B$11,IF(G86="Vacation",SETTINGS!$B$13,0)))</f>
        <v/>
      </c>
      <c r="I86" s="12" t="str">
        <f t="shared" si="5"/>
        <v/>
      </c>
      <c r="J86" s="8"/>
    </row>
    <row r="87" spans="1:10" x14ac:dyDescent="0.2">
      <c r="A87" s="7" t="str">
        <f t="shared" si="3"/>
        <v/>
      </c>
      <c r="B87" s="9"/>
      <c r="C87" s="8"/>
      <c r="D87" s="10" t="str">
        <f ca="1">IFERROR(_xludf.XLOOKUP(C87,STUDENTS!$A$5:$A$204,STUDENTS!$C$5:$C$204,""),"")</f>
        <v/>
      </c>
      <c r="E87" s="10" t="str">
        <f ca="1">IFERROR(_xludf.XLOOKUP(C87,STUDENTS!$A$5:$A$204,STUDENTS!$L$5:$L$204,""),"")</f>
        <v/>
      </c>
      <c r="F87" s="10" t="str">
        <f t="shared" si="4"/>
        <v/>
      </c>
      <c r="G87" s="8"/>
      <c r="H87" s="11" t="str">
        <f>IF(B87="","",IF(OR(F87="Saturday",F87="Sunday"),SETTINGS!$B$11,IF(G87="Vacation",SETTINGS!$B$13,0)))</f>
        <v/>
      </c>
      <c r="I87" s="12" t="str">
        <f t="shared" si="5"/>
        <v/>
      </c>
      <c r="J87" s="8"/>
    </row>
    <row r="88" spans="1:10" x14ac:dyDescent="0.2">
      <c r="A88" s="7" t="str">
        <f t="shared" si="3"/>
        <v/>
      </c>
      <c r="B88" s="9"/>
      <c r="C88" s="8"/>
      <c r="D88" s="10" t="str">
        <f ca="1">IFERROR(_xludf.XLOOKUP(C88,STUDENTS!$A$5:$A$204,STUDENTS!$C$5:$C$204,""),"")</f>
        <v/>
      </c>
      <c r="E88" s="10" t="str">
        <f ca="1">IFERROR(_xludf.XLOOKUP(C88,STUDENTS!$A$5:$A$204,STUDENTS!$L$5:$L$204,""),"")</f>
        <v/>
      </c>
      <c r="F88" s="10" t="str">
        <f t="shared" si="4"/>
        <v/>
      </c>
      <c r="G88" s="8"/>
      <c r="H88" s="11" t="str">
        <f>IF(B88="","",IF(OR(F88="Saturday",F88="Sunday"),SETTINGS!$B$11,IF(G88="Vacation",SETTINGS!$B$13,0)))</f>
        <v/>
      </c>
      <c r="I88" s="12" t="str">
        <f t="shared" si="5"/>
        <v/>
      </c>
      <c r="J88" s="8"/>
    </row>
    <row r="89" spans="1:10" x14ac:dyDescent="0.2">
      <c r="A89" s="7" t="str">
        <f t="shared" si="3"/>
        <v/>
      </c>
      <c r="B89" s="9"/>
      <c r="C89" s="8"/>
      <c r="D89" s="10" t="str">
        <f ca="1">IFERROR(_xludf.XLOOKUP(C89,STUDENTS!$A$5:$A$204,STUDENTS!$C$5:$C$204,""),"")</f>
        <v/>
      </c>
      <c r="E89" s="10" t="str">
        <f ca="1">IFERROR(_xludf.XLOOKUP(C89,STUDENTS!$A$5:$A$204,STUDENTS!$L$5:$L$204,""),"")</f>
        <v/>
      </c>
      <c r="F89" s="10" t="str">
        <f t="shared" si="4"/>
        <v/>
      </c>
      <c r="G89" s="8"/>
      <c r="H89" s="11" t="str">
        <f>IF(B89="","",IF(OR(F89="Saturday",F89="Sunday"),SETTINGS!$B$11,IF(G89="Vacation",SETTINGS!$B$13,0)))</f>
        <v/>
      </c>
      <c r="I89" s="12" t="str">
        <f t="shared" si="5"/>
        <v/>
      </c>
      <c r="J89" s="8"/>
    </row>
    <row r="90" spans="1:10" x14ac:dyDescent="0.2">
      <c r="A90" s="7" t="str">
        <f t="shared" si="3"/>
        <v/>
      </c>
      <c r="B90" s="9"/>
      <c r="C90" s="8"/>
      <c r="D90" s="10" t="str">
        <f ca="1">IFERROR(_xludf.XLOOKUP(C90,STUDENTS!$A$5:$A$204,STUDENTS!$C$5:$C$204,""),"")</f>
        <v/>
      </c>
      <c r="E90" s="10" t="str">
        <f ca="1">IFERROR(_xludf.XLOOKUP(C90,STUDENTS!$A$5:$A$204,STUDENTS!$L$5:$L$204,""),"")</f>
        <v/>
      </c>
      <c r="F90" s="10" t="str">
        <f t="shared" si="4"/>
        <v/>
      </c>
      <c r="G90" s="8"/>
      <c r="H90" s="11" t="str">
        <f>IF(B90="","",IF(OR(F90="Saturday",F90="Sunday"),SETTINGS!$B$11,IF(G90="Vacation",SETTINGS!$B$13,0)))</f>
        <v/>
      </c>
      <c r="I90" s="12" t="str">
        <f t="shared" si="5"/>
        <v/>
      </c>
      <c r="J90" s="8"/>
    </row>
    <row r="91" spans="1:10" x14ac:dyDescent="0.2">
      <c r="A91" s="7" t="str">
        <f t="shared" si="3"/>
        <v/>
      </c>
      <c r="B91" s="9"/>
      <c r="C91" s="8"/>
      <c r="D91" s="10" t="str">
        <f ca="1">IFERROR(_xludf.XLOOKUP(C91,STUDENTS!$A$5:$A$204,STUDENTS!$C$5:$C$204,""),"")</f>
        <v/>
      </c>
      <c r="E91" s="10" t="str">
        <f ca="1">IFERROR(_xludf.XLOOKUP(C91,STUDENTS!$A$5:$A$204,STUDENTS!$L$5:$L$204,""),"")</f>
        <v/>
      </c>
      <c r="F91" s="10" t="str">
        <f t="shared" si="4"/>
        <v/>
      </c>
      <c r="G91" s="8"/>
      <c r="H91" s="11" t="str">
        <f>IF(B91="","",IF(OR(F91="Saturday",F91="Sunday"),SETTINGS!$B$11,IF(G91="Vacation",SETTINGS!$B$13,0)))</f>
        <v/>
      </c>
      <c r="I91" s="12" t="str">
        <f t="shared" si="5"/>
        <v/>
      </c>
      <c r="J91" s="8"/>
    </row>
    <row r="92" spans="1:10" x14ac:dyDescent="0.2">
      <c r="A92" s="7" t="str">
        <f t="shared" si="3"/>
        <v/>
      </c>
      <c r="B92" s="9"/>
      <c r="C92" s="8"/>
      <c r="D92" s="10" t="str">
        <f ca="1">IFERROR(_xludf.XLOOKUP(C92,STUDENTS!$A$5:$A$204,STUDENTS!$C$5:$C$204,""),"")</f>
        <v/>
      </c>
      <c r="E92" s="10" t="str">
        <f ca="1">IFERROR(_xludf.XLOOKUP(C92,STUDENTS!$A$5:$A$204,STUDENTS!$L$5:$L$204,""),"")</f>
        <v/>
      </c>
      <c r="F92" s="10" t="str">
        <f t="shared" si="4"/>
        <v/>
      </c>
      <c r="G92" s="8"/>
      <c r="H92" s="11" t="str">
        <f>IF(B92="","",IF(OR(F92="Saturday",F92="Sunday"),SETTINGS!$B$11,IF(G92="Vacation",SETTINGS!$B$13,0)))</f>
        <v/>
      </c>
      <c r="I92" s="12" t="str">
        <f t="shared" si="5"/>
        <v/>
      </c>
      <c r="J92" s="8"/>
    </row>
    <row r="93" spans="1:10" x14ac:dyDescent="0.2">
      <c r="A93" s="7" t="str">
        <f t="shared" si="3"/>
        <v/>
      </c>
      <c r="B93" s="9"/>
      <c r="C93" s="8"/>
      <c r="D93" s="10" t="str">
        <f ca="1">IFERROR(_xludf.XLOOKUP(C93,STUDENTS!$A$5:$A$204,STUDENTS!$C$5:$C$204,""),"")</f>
        <v/>
      </c>
      <c r="E93" s="10" t="str">
        <f ca="1">IFERROR(_xludf.XLOOKUP(C93,STUDENTS!$A$5:$A$204,STUDENTS!$L$5:$L$204,""),"")</f>
        <v/>
      </c>
      <c r="F93" s="10" t="str">
        <f t="shared" si="4"/>
        <v/>
      </c>
      <c r="G93" s="8"/>
      <c r="H93" s="11" t="str">
        <f>IF(B93="","",IF(OR(F93="Saturday",F93="Sunday"),SETTINGS!$B$11,IF(G93="Vacation",SETTINGS!$B$13,0)))</f>
        <v/>
      </c>
      <c r="I93" s="12" t="str">
        <f t="shared" si="5"/>
        <v/>
      </c>
      <c r="J93" s="8"/>
    </row>
    <row r="94" spans="1:10" x14ac:dyDescent="0.2">
      <c r="A94" s="7" t="str">
        <f t="shared" si="3"/>
        <v/>
      </c>
      <c r="B94" s="9"/>
      <c r="C94" s="8"/>
      <c r="D94" s="10" t="str">
        <f ca="1">IFERROR(_xludf.XLOOKUP(C94,STUDENTS!$A$5:$A$204,STUDENTS!$C$5:$C$204,""),"")</f>
        <v/>
      </c>
      <c r="E94" s="10" t="str">
        <f ca="1">IFERROR(_xludf.XLOOKUP(C94,STUDENTS!$A$5:$A$204,STUDENTS!$L$5:$L$204,""),"")</f>
        <v/>
      </c>
      <c r="F94" s="10" t="str">
        <f t="shared" si="4"/>
        <v/>
      </c>
      <c r="G94" s="8"/>
      <c r="H94" s="11" t="str">
        <f>IF(B94="","",IF(OR(F94="Saturday",F94="Sunday"),SETTINGS!$B$11,IF(G94="Vacation",SETTINGS!$B$13,0)))</f>
        <v/>
      </c>
      <c r="I94" s="12" t="str">
        <f t="shared" si="5"/>
        <v/>
      </c>
      <c r="J94" s="8"/>
    </row>
    <row r="95" spans="1:10" x14ac:dyDescent="0.2">
      <c r="A95" s="7" t="str">
        <f t="shared" si="3"/>
        <v/>
      </c>
      <c r="B95" s="9"/>
      <c r="C95" s="8"/>
      <c r="D95" s="10" t="str">
        <f ca="1">IFERROR(_xludf.XLOOKUP(C95,STUDENTS!$A$5:$A$204,STUDENTS!$C$5:$C$204,""),"")</f>
        <v/>
      </c>
      <c r="E95" s="10" t="str">
        <f ca="1">IFERROR(_xludf.XLOOKUP(C95,STUDENTS!$A$5:$A$204,STUDENTS!$L$5:$L$204,""),"")</f>
        <v/>
      </c>
      <c r="F95" s="10" t="str">
        <f t="shared" si="4"/>
        <v/>
      </c>
      <c r="G95" s="8"/>
      <c r="H95" s="11" t="str">
        <f>IF(B95="","",IF(OR(F95="Saturday",F95="Sunday"),SETTINGS!$B$11,IF(G95="Vacation",SETTINGS!$B$13,0)))</f>
        <v/>
      </c>
      <c r="I95" s="12" t="str">
        <f t="shared" si="5"/>
        <v/>
      </c>
      <c r="J95" s="8"/>
    </row>
    <row r="96" spans="1:10" x14ac:dyDescent="0.2">
      <c r="A96" s="7" t="str">
        <f t="shared" si="3"/>
        <v/>
      </c>
      <c r="B96" s="9"/>
      <c r="C96" s="8"/>
      <c r="D96" s="10" t="str">
        <f ca="1">IFERROR(_xludf.XLOOKUP(C96,STUDENTS!$A$5:$A$204,STUDENTS!$C$5:$C$204,""),"")</f>
        <v/>
      </c>
      <c r="E96" s="10" t="str">
        <f ca="1">IFERROR(_xludf.XLOOKUP(C96,STUDENTS!$A$5:$A$204,STUDENTS!$L$5:$L$204,""),"")</f>
        <v/>
      </c>
      <c r="F96" s="10" t="str">
        <f t="shared" si="4"/>
        <v/>
      </c>
      <c r="G96" s="8"/>
      <c r="H96" s="11" t="str">
        <f>IF(B96="","",IF(OR(F96="Saturday",F96="Sunday"),SETTINGS!$B$11,IF(G96="Vacation",SETTINGS!$B$13,0)))</f>
        <v/>
      </c>
      <c r="I96" s="12" t="str">
        <f t="shared" si="5"/>
        <v/>
      </c>
      <c r="J96" s="8"/>
    </row>
    <row r="97" spans="1:10" x14ac:dyDescent="0.2">
      <c r="A97" s="7" t="str">
        <f t="shared" si="3"/>
        <v/>
      </c>
      <c r="B97" s="9"/>
      <c r="C97" s="8"/>
      <c r="D97" s="10" t="str">
        <f ca="1">IFERROR(_xludf.XLOOKUP(C97,STUDENTS!$A$5:$A$204,STUDENTS!$C$5:$C$204,""),"")</f>
        <v/>
      </c>
      <c r="E97" s="10" t="str">
        <f ca="1">IFERROR(_xludf.XLOOKUP(C97,STUDENTS!$A$5:$A$204,STUDENTS!$L$5:$L$204,""),"")</f>
        <v/>
      </c>
      <c r="F97" s="10" t="str">
        <f t="shared" si="4"/>
        <v/>
      </c>
      <c r="G97" s="8"/>
      <c r="H97" s="11" t="str">
        <f>IF(B97="","",IF(OR(F97="Saturday",F97="Sunday"),SETTINGS!$B$11,IF(G97="Vacation",SETTINGS!$B$13,0)))</f>
        <v/>
      </c>
      <c r="I97" s="12" t="str">
        <f t="shared" si="5"/>
        <v/>
      </c>
      <c r="J97" s="8"/>
    </row>
    <row r="98" spans="1:10" x14ac:dyDescent="0.2">
      <c r="A98" s="7" t="str">
        <f t="shared" si="3"/>
        <v/>
      </c>
      <c r="B98" s="9"/>
      <c r="C98" s="8"/>
      <c r="D98" s="10" t="str">
        <f ca="1">IFERROR(_xludf.XLOOKUP(C98,STUDENTS!$A$5:$A$204,STUDENTS!$C$5:$C$204,""),"")</f>
        <v/>
      </c>
      <c r="E98" s="10" t="str">
        <f ca="1">IFERROR(_xludf.XLOOKUP(C98,STUDENTS!$A$5:$A$204,STUDENTS!$L$5:$L$204,""),"")</f>
        <v/>
      </c>
      <c r="F98" s="10" t="str">
        <f t="shared" si="4"/>
        <v/>
      </c>
      <c r="G98" s="8"/>
      <c r="H98" s="11" t="str">
        <f>IF(B98="","",IF(OR(F98="Saturday",F98="Sunday"),SETTINGS!$B$11,IF(G98="Vacation",SETTINGS!$B$13,0)))</f>
        <v/>
      </c>
      <c r="I98" s="12" t="str">
        <f t="shared" si="5"/>
        <v/>
      </c>
      <c r="J98" s="8"/>
    </row>
    <row r="99" spans="1:10" x14ac:dyDescent="0.2">
      <c r="A99" s="7" t="str">
        <f t="shared" si="3"/>
        <v/>
      </c>
      <c r="B99" s="9"/>
      <c r="C99" s="8"/>
      <c r="D99" s="10" t="str">
        <f ca="1">IFERROR(_xludf.XLOOKUP(C99,STUDENTS!$A$5:$A$204,STUDENTS!$C$5:$C$204,""),"")</f>
        <v/>
      </c>
      <c r="E99" s="10" t="str">
        <f ca="1">IFERROR(_xludf.XLOOKUP(C99,STUDENTS!$A$5:$A$204,STUDENTS!$L$5:$L$204,""),"")</f>
        <v/>
      </c>
      <c r="F99" s="10" t="str">
        <f t="shared" si="4"/>
        <v/>
      </c>
      <c r="G99" s="8"/>
      <c r="H99" s="11" t="str">
        <f>IF(B99="","",IF(OR(F99="Saturday",F99="Sunday"),SETTINGS!$B$11,IF(G99="Vacation",SETTINGS!$B$13,0)))</f>
        <v/>
      </c>
      <c r="I99" s="12" t="str">
        <f t="shared" si="5"/>
        <v/>
      </c>
      <c r="J99" s="8"/>
    </row>
    <row r="100" spans="1:10" x14ac:dyDescent="0.2">
      <c r="A100" s="7" t="str">
        <f t="shared" si="3"/>
        <v/>
      </c>
      <c r="B100" s="9"/>
      <c r="C100" s="8"/>
      <c r="D100" s="10" t="str">
        <f ca="1">IFERROR(_xludf.XLOOKUP(C100,STUDENTS!$A$5:$A$204,STUDENTS!$C$5:$C$204,""),"")</f>
        <v/>
      </c>
      <c r="E100" s="10" t="str">
        <f ca="1">IFERROR(_xludf.XLOOKUP(C100,STUDENTS!$A$5:$A$204,STUDENTS!$L$5:$L$204,""),"")</f>
        <v/>
      </c>
      <c r="F100" s="10" t="str">
        <f t="shared" si="4"/>
        <v/>
      </c>
      <c r="G100" s="8"/>
      <c r="H100" s="11" t="str">
        <f>IF(B100="","",IF(OR(F100="Saturday",F100="Sunday"),SETTINGS!$B$11,IF(G100="Vacation",SETTINGS!$B$13,0)))</f>
        <v/>
      </c>
      <c r="I100" s="12" t="str">
        <f t="shared" si="5"/>
        <v/>
      </c>
      <c r="J100" s="8"/>
    </row>
    <row r="101" spans="1:10" x14ac:dyDescent="0.2">
      <c r="A101" s="7" t="str">
        <f t="shared" si="3"/>
        <v/>
      </c>
      <c r="B101" s="9"/>
      <c r="C101" s="8"/>
      <c r="D101" s="10" t="str">
        <f ca="1">IFERROR(_xludf.XLOOKUP(C101,STUDENTS!$A$5:$A$204,STUDENTS!$C$5:$C$204,""),"")</f>
        <v/>
      </c>
      <c r="E101" s="10" t="str">
        <f ca="1">IFERROR(_xludf.XLOOKUP(C101,STUDENTS!$A$5:$A$204,STUDENTS!$L$5:$L$204,""),"")</f>
        <v/>
      </c>
      <c r="F101" s="10" t="str">
        <f t="shared" si="4"/>
        <v/>
      </c>
      <c r="G101" s="8"/>
      <c r="H101" s="11" t="str">
        <f>IF(B101="","",IF(OR(F101="Saturday",F101="Sunday"),SETTINGS!$B$11,IF(G101="Vacation",SETTINGS!$B$13,0)))</f>
        <v/>
      </c>
      <c r="I101" s="12" t="str">
        <f t="shared" si="5"/>
        <v/>
      </c>
      <c r="J101" s="8"/>
    </row>
    <row r="102" spans="1:10" x14ac:dyDescent="0.2">
      <c r="A102" s="7" t="str">
        <f t="shared" si="3"/>
        <v/>
      </c>
      <c r="B102" s="9"/>
      <c r="C102" s="8"/>
      <c r="D102" s="10" t="str">
        <f ca="1">IFERROR(_xludf.XLOOKUP(C102,STUDENTS!$A$5:$A$204,STUDENTS!$C$5:$C$204,""),"")</f>
        <v/>
      </c>
      <c r="E102" s="10" t="str">
        <f ca="1">IFERROR(_xludf.XLOOKUP(C102,STUDENTS!$A$5:$A$204,STUDENTS!$L$5:$L$204,""),"")</f>
        <v/>
      </c>
      <c r="F102" s="10" t="str">
        <f t="shared" si="4"/>
        <v/>
      </c>
      <c r="G102" s="8"/>
      <c r="H102" s="11" t="str">
        <f>IF(B102="","",IF(OR(F102="Saturday",F102="Sunday"),SETTINGS!$B$11,IF(G102="Vacation",SETTINGS!$B$13,0)))</f>
        <v/>
      </c>
      <c r="I102" s="12" t="str">
        <f t="shared" si="5"/>
        <v/>
      </c>
      <c r="J102" s="8"/>
    </row>
    <row r="103" spans="1:10" x14ac:dyDescent="0.2">
      <c r="A103" s="7" t="str">
        <f t="shared" si="3"/>
        <v/>
      </c>
      <c r="B103" s="9"/>
      <c r="C103" s="8"/>
      <c r="D103" s="10" t="str">
        <f ca="1">IFERROR(_xludf.XLOOKUP(C103,STUDENTS!$A$5:$A$204,STUDENTS!$C$5:$C$204,""),"")</f>
        <v/>
      </c>
      <c r="E103" s="10" t="str">
        <f ca="1">IFERROR(_xludf.XLOOKUP(C103,STUDENTS!$A$5:$A$204,STUDENTS!$L$5:$L$204,""),"")</f>
        <v/>
      </c>
      <c r="F103" s="10" t="str">
        <f t="shared" si="4"/>
        <v/>
      </c>
      <c r="G103" s="8"/>
      <c r="H103" s="11" t="str">
        <f>IF(B103="","",IF(OR(F103="Saturday",F103="Sunday"),SETTINGS!$B$11,IF(G103="Vacation",SETTINGS!$B$13,0)))</f>
        <v/>
      </c>
      <c r="I103" s="12" t="str">
        <f t="shared" si="5"/>
        <v/>
      </c>
      <c r="J103" s="8"/>
    </row>
    <row r="104" spans="1:10" x14ac:dyDescent="0.2">
      <c r="A104" s="7" t="str">
        <f t="shared" si="3"/>
        <v/>
      </c>
      <c r="B104" s="9"/>
      <c r="C104" s="8"/>
      <c r="D104" s="10" t="str">
        <f ca="1">IFERROR(_xludf.XLOOKUP(C104,STUDENTS!$A$5:$A$204,STUDENTS!$C$5:$C$204,""),"")</f>
        <v/>
      </c>
      <c r="E104" s="10" t="str">
        <f ca="1">IFERROR(_xludf.XLOOKUP(C104,STUDENTS!$A$5:$A$204,STUDENTS!$L$5:$L$204,""),"")</f>
        <v/>
      </c>
      <c r="F104" s="10" t="str">
        <f t="shared" si="4"/>
        <v/>
      </c>
      <c r="G104" s="8"/>
      <c r="H104" s="11" t="str">
        <f>IF(B104="","",IF(OR(F104="Saturday",F104="Sunday"),SETTINGS!$B$11,IF(G104="Vacation",SETTINGS!$B$13,0)))</f>
        <v/>
      </c>
      <c r="I104" s="12" t="str">
        <f t="shared" si="5"/>
        <v/>
      </c>
      <c r="J104" s="8"/>
    </row>
    <row r="105" spans="1:10" x14ac:dyDescent="0.2">
      <c r="A105" s="7" t="str">
        <f t="shared" si="3"/>
        <v/>
      </c>
      <c r="B105" s="9"/>
      <c r="C105" s="8"/>
      <c r="D105" s="10" t="str">
        <f ca="1">IFERROR(_xludf.XLOOKUP(C105,STUDENTS!$A$5:$A$204,STUDENTS!$C$5:$C$204,""),"")</f>
        <v/>
      </c>
      <c r="E105" s="10" t="str">
        <f ca="1">IFERROR(_xludf.XLOOKUP(C105,STUDENTS!$A$5:$A$204,STUDENTS!$L$5:$L$204,""),"")</f>
        <v/>
      </c>
      <c r="F105" s="10" t="str">
        <f t="shared" si="4"/>
        <v/>
      </c>
      <c r="G105" s="8"/>
      <c r="H105" s="11" t="str">
        <f>IF(B105="","",IF(OR(F105="Saturday",F105="Sunday"),SETTINGS!$B$11,IF(G105="Vacation",SETTINGS!$B$13,0)))</f>
        <v/>
      </c>
      <c r="I105" s="12" t="str">
        <f t="shared" si="5"/>
        <v/>
      </c>
      <c r="J105" s="8"/>
    </row>
    <row r="106" spans="1:10" x14ac:dyDescent="0.2">
      <c r="A106" s="7" t="str">
        <f t="shared" si="3"/>
        <v/>
      </c>
      <c r="B106" s="9"/>
      <c r="C106" s="8"/>
      <c r="D106" s="10" t="str">
        <f ca="1">IFERROR(_xludf.XLOOKUP(C106,STUDENTS!$A$5:$A$204,STUDENTS!$C$5:$C$204,""),"")</f>
        <v/>
      </c>
      <c r="E106" s="10" t="str">
        <f ca="1">IFERROR(_xludf.XLOOKUP(C106,STUDENTS!$A$5:$A$204,STUDENTS!$L$5:$L$204,""),"")</f>
        <v/>
      </c>
      <c r="F106" s="10" t="str">
        <f t="shared" si="4"/>
        <v/>
      </c>
      <c r="G106" s="8"/>
      <c r="H106" s="11" t="str">
        <f>IF(B106="","",IF(OR(F106="Saturday",F106="Sunday"),SETTINGS!$B$11,IF(G106="Vacation",SETTINGS!$B$13,0)))</f>
        <v/>
      </c>
      <c r="I106" s="12" t="str">
        <f t="shared" si="5"/>
        <v/>
      </c>
      <c r="J106" s="8"/>
    </row>
    <row r="107" spans="1:10" x14ac:dyDescent="0.2">
      <c r="A107" s="7" t="str">
        <f t="shared" si="3"/>
        <v/>
      </c>
      <c r="B107" s="9"/>
      <c r="C107" s="8"/>
      <c r="D107" s="10" t="str">
        <f ca="1">IFERROR(_xludf.XLOOKUP(C107,STUDENTS!$A$5:$A$204,STUDENTS!$C$5:$C$204,""),"")</f>
        <v/>
      </c>
      <c r="E107" s="10" t="str">
        <f ca="1">IFERROR(_xludf.XLOOKUP(C107,STUDENTS!$A$5:$A$204,STUDENTS!$L$5:$L$204,""),"")</f>
        <v/>
      </c>
      <c r="F107" s="10" t="str">
        <f t="shared" si="4"/>
        <v/>
      </c>
      <c r="G107" s="8"/>
      <c r="H107" s="11" t="str">
        <f>IF(B107="","",IF(OR(F107="Saturday",F107="Sunday"),SETTINGS!$B$11,IF(G107="Vacation",SETTINGS!$B$13,0)))</f>
        <v/>
      </c>
      <c r="I107" s="12" t="str">
        <f t="shared" si="5"/>
        <v/>
      </c>
      <c r="J107" s="8"/>
    </row>
    <row r="108" spans="1:10" x14ac:dyDescent="0.2">
      <c r="A108" s="7" t="str">
        <f t="shared" si="3"/>
        <v/>
      </c>
      <c r="B108" s="9"/>
      <c r="C108" s="8"/>
      <c r="D108" s="10" t="str">
        <f ca="1">IFERROR(_xludf.XLOOKUP(C108,STUDENTS!$A$5:$A$204,STUDENTS!$C$5:$C$204,""),"")</f>
        <v/>
      </c>
      <c r="E108" s="10" t="str">
        <f ca="1">IFERROR(_xludf.XLOOKUP(C108,STUDENTS!$A$5:$A$204,STUDENTS!$L$5:$L$204,""),"")</f>
        <v/>
      </c>
      <c r="F108" s="10" t="str">
        <f t="shared" si="4"/>
        <v/>
      </c>
      <c r="G108" s="8"/>
      <c r="H108" s="11" t="str">
        <f>IF(B108="","",IF(OR(F108="Saturday",F108="Sunday"),SETTINGS!$B$11,IF(G108="Vacation",SETTINGS!$B$13,0)))</f>
        <v/>
      </c>
      <c r="I108" s="12" t="str">
        <f t="shared" si="5"/>
        <v/>
      </c>
      <c r="J108" s="8"/>
    </row>
    <row r="109" spans="1:10" x14ac:dyDescent="0.2">
      <c r="A109" s="7" t="str">
        <f t="shared" si="3"/>
        <v/>
      </c>
      <c r="B109" s="9"/>
      <c r="C109" s="8"/>
      <c r="D109" s="10" t="str">
        <f ca="1">IFERROR(_xludf.XLOOKUP(C109,STUDENTS!$A$5:$A$204,STUDENTS!$C$5:$C$204,""),"")</f>
        <v/>
      </c>
      <c r="E109" s="10" t="str">
        <f ca="1">IFERROR(_xludf.XLOOKUP(C109,STUDENTS!$A$5:$A$204,STUDENTS!$L$5:$L$204,""),"")</f>
        <v/>
      </c>
      <c r="F109" s="10" t="str">
        <f t="shared" si="4"/>
        <v/>
      </c>
      <c r="G109" s="8"/>
      <c r="H109" s="11" t="str">
        <f>IF(B109="","",IF(OR(F109="Saturday",F109="Sunday"),SETTINGS!$B$11,IF(G109="Vacation",SETTINGS!$B$13,0)))</f>
        <v/>
      </c>
      <c r="I109" s="12" t="str">
        <f t="shared" si="5"/>
        <v/>
      </c>
      <c r="J109" s="8"/>
    </row>
    <row r="110" spans="1:10" x14ac:dyDescent="0.2">
      <c r="A110" s="7" t="str">
        <f t="shared" si="3"/>
        <v/>
      </c>
      <c r="B110" s="9"/>
      <c r="C110" s="8"/>
      <c r="D110" s="10" t="str">
        <f ca="1">IFERROR(_xludf.XLOOKUP(C110,STUDENTS!$A$5:$A$204,STUDENTS!$C$5:$C$204,""),"")</f>
        <v/>
      </c>
      <c r="E110" s="10" t="str">
        <f ca="1">IFERROR(_xludf.XLOOKUP(C110,STUDENTS!$A$5:$A$204,STUDENTS!$L$5:$L$204,""),"")</f>
        <v/>
      </c>
      <c r="F110" s="10" t="str">
        <f t="shared" si="4"/>
        <v/>
      </c>
      <c r="G110" s="8"/>
      <c r="H110" s="11" t="str">
        <f>IF(B110="","",IF(OR(F110="Saturday",F110="Sunday"),SETTINGS!$B$11,IF(G110="Vacation",SETTINGS!$B$13,0)))</f>
        <v/>
      </c>
      <c r="I110" s="12" t="str">
        <f t="shared" si="5"/>
        <v/>
      </c>
      <c r="J110" s="8"/>
    </row>
    <row r="111" spans="1:10" x14ac:dyDescent="0.2">
      <c r="A111" s="7" t="str">
        <f t="shared" si="3"/>
        <v/>
      </c>
      <c r="B111" s="9"/>
      <c r="C111" s="8"/>
      <c r="D111" s="10" t="str">
        <f ca="1">IFERROR(_xludf.XLOOKUP(C111,STUDENTS!$A$5:$A$204,STUDENTS!$C$5:$C$204,""),"")</f>
        <v/>
      </c>
      <c r="E111" s="10" t="str">
        <f ca="1">IFERROR(_xludf.XLOOKUP(C111,STUDENTS!$A$5:$A$204,STUDENTS!$L$5:$L$204,""),"")</f>
        <v/>
      </c>
      <c r="F111" s="10" t="str">
        <f t="shared" si="4"/>
        <v/>
      </c>
      <c r="G111" s="8"/>
      <c r="H111" s="11" t="str">
        <f>IF(B111="","",IF(OR(F111="Saturday",F111="Sunday"),SETTINGS!$B$11,IF(G111="Vacation",SETTINGS!$B$13,0)))</f>
        <v/>
      </c>
      <c r="I111" s="12" t="str">
        <f t="shared" si="5"/>
        <v/>
      </c>
      <c r="J111" s="8"/>
    </row>
    <row r="112" spans="1:10" x14ac:dyDescent="0.2">
      <c r="A112" s="7" t="str">
        <f t="shared" si="3"/>
        <v/>
      </c>
      <c r="B112" s="9"/>
      <c r="C112" s="8"/>
      <c r="D112" s="10" t="str">
        <f ca="1">IFERROR(_xludf.XLOOKUP(C112,STUDENTS!$A$5:$A$204,STUDENTS!$C$5:$C$204,""),"")</f>
        <v/>
      </c>
      <c r="E112" s="10" t="str">
        <f ca="1">IFERROR(_xludf.XLOOKUP(C112,STUDENTS!$A$5:$A$204,STUDENTS!$L$5:$L$204,""),"")</f>
        <v/>
      </c>
      <c r="F112" s="10" t="str">
        <f t="shared" si="4"/>
        <v/>
      </c>
      <c r="G112" s="8"/>
      <c r="H112" s="11" t="str">
        <f>IF(B112="","",IF(OR(F112="Saturday",F112="Sunday"),SETTINGS!$B$11,IF(G112="Vacation",SETTINGS!$B$13,0)))</f>
        <v/>
      </c>
      <c r="I112" s="12" t="str">
        <f t="shared" si="5"/>
        <v/>
      </c>
      <c r="J112" s="8"/>
    </row>
    <row r="113" spans="1:10" x14ac:dyDescent="0.2">
      <c r="A113" s="7" t="str">
        <f t="shared" si="3"/>
        <v/>
      </c>
      <c r="B113" s="9"/>
      <c r="C113" s="8"/>
      <c r="D113" s="10" t="str">
        <f ca="1">IFERROR(_xludf.XLOOKUP(C113,STUDENTS!$A$5:$A$204,STUDENTS!$C$5:$C$204,""),"")</f>
        <v/>
      </c>
      <c r="E113" s="10" t="str">
        <f ca="1">IFERROR(_xludf.XLOOKUP(C113,STUDENTS!$A$5:$A$204,STUDENTS!$L$5:$L$204,""),"")</f>
        <v/>
      </c>
      <c r="F113" s="10" t="str">
        <f t="shared" si="4"/>
        <v/>
      </c>
      <c r="G113" s="8"/>
      <c r="H113" s="11" t="str">
        <f>IF(B113="","",IF(OR(F113="Saturday",F113="Sunday"),SETTINGS!$B$11,IF(G113="Vacation",SETTINGS!$B$13,0)))</f>
        <v/>
      </c>
      <c r="I113" s="12" t="str">
        <f t="shared" si="5"/>
        <v/>
      </c>
      <c r="J113" s="8"/>
    </row>
    <row r="114" spans="1:10" x14ac:dyDescent="0.2">
      <c r="A114" s="7" t="str">
        <f t="shared" si="3"/>
        <v/>
      </c>
      <c r="B114" s="9"/>
      <c r="C114" s="8"/>
      <c r="D114" s="10" t="str">
        <f ca="1">IFERROR(_xludf.XLOOKUP(C114,STUDENTS!$A$5:$A$204,STUDENTS!$C$5:$C$204,""),"")</f>
        <v/>
      </c>
      <c r="E114" s="10" t="str">
        <f ca="1">IFERROR(_xludf.XLOOKUP(C114,STUDENTS!$A$5:$A$204,STUDENTS!$L$5:$L$204,""),"")</f>
        <v/>
      </c>
      <c r="F114" s="10" t="str">
        <f t="shared" si="4"/>
        <v/>
      </c>
      <c r="G114" s="8"/>
      <c r="H114" s="11" t="str">
        <f>IF(B114="","",IF(OR(F114="Saturday",F114="Sunday"),SETTINGS!$B$11,IF(G114="Vacation",SETTINGS!$B$13,0)))</f>
        <v/>
      </c>
      <c r="I114" s="12" t="str">
        <f t="shared" si="5"/>
        <v/>
      </c>
      <c r="J114" s="8"/>
    </row>
    <row r="115" spans="1:10" x14ac:dyDescent="0.2">
      <c r="A115" s="7" t="str">
        <f t="shared" si="3"/>
        <v/>
      </c>
      <c r="B115" s="9"/>
      <c r="C115" s="8"/>
      <c r="D115" s="10" t="str">
        <f ca="1">IFERROR(_xludf.XLOOKUP(C115,STUDENTS!$A$5:$A$204,STUDENTS!$C$5:$C$204,""),"")</f>
        <v/>
      </c>
      <c r="E115" s="10" t="str">
        <f ca="1">IFERROR(_xludf.XLOOKUP(C115,STUDENTS!$A$5:$A$204,STUDENTS!$L$5:$L$204,""),"")</f>
        <v/>
      </c>
      <c r="F115" s="10" t="str">
        <f t="shared" si="4"/>
        <v/>
      </c>
      <c r="G115" s="8"/>
      <c r="H115" s="11" t="str">
        <f>IF(B115="","",IF(OR(F115="Saturday",F115="Sunday"),SETTINGS!$B$11,IF(G115="Vacation",SETTINGS!$B$13,0)))</f>
        <v/>
      </c>
      <c r="I115" s="12" t="str">
        <f t="shared" si="5"/>
        <v/>
      </c>
      <c r="J115" s="8"/>
    </row>
    <row r="116" spans="1:10" x14ac:dyDescent="0.2">
      <c r="A116" s="7" t="str">
        <f t="shared" si="3"/>
        <v/>
      </c>
      <c r="B116" s="9"/>
      <c r="C116" s="8"/>
      <c r="D116" s="10" t="str">
        <f ca="1">IFERROR(_xludf.XLOOKUP(C116,STUDENTS!$A$5:$A$204,STUDENTS!$C$5:$C$204,""),"")</f>
        <v/>
      </c>
      <c r="E116" s="10" t="str">
        <f ca="1">IFERROR(_xludf.XLOOKUP(C116,STUDENTS!$A$5:$A$204,STUDENTS!$L$5:$L$204,""),"")</f>
        <v/>
      </c>
      <c r="F116" s="10" t="str">
        <f t="shared" si="4"/>
        <v/>
      </c>
      <c r="G116" s="8"/>
      <c r="H116" s="11" t="str">
        <f>IF(B116="","",IF(OR(F116="Saturday",F116="Sunday"),SETTINGS!$B$11,IF(G116="Vacation",SETTINGS!$B$13,0)))</f>
        <v/>
      </c>
      <c r="I116" s="12" t="str">
        <f t="shared" si="5"/>
        <v/>
      </c>
      <c r="J116" s="8"/>
    </row>
    <row r="117" spans="1:10" x14ac:dyDescent="0.2">
      <c r="A117" s="7" t="str">
        <f t="shared" si="3"/>
        <v/>
      </c>
      <c r="B117" s="9"/>
      <c r="C117" s="8"/>
      <c r="D117" s="10" t="str">
        <f ca="1">IFERROR(_xludf.XLOOKUP(C117,STUDENTS!$A$5:$A$204,STUDENTS!$C$5:$C$204,""),"")</f>
        <v/>
      </c>
      <c r="E117" s="10" t="str">
        <f ca="1">IFERROR(_xludf.XLOOKUP(C117,STUDENTS!$A$5:$A$204,STUDENTS!$L$5:$L$204,""),"")</f>
        <v/>
      </c>
      <c r="F117" s="10" t="str">
        <f t="shared" si="4"/>
        <v/>
      </c>
      <c r="G117" s="8"/>
      <c r="H117" s="11" t="str">
        <f>IF(B117="","",IF(OR(F117="Saturday",F117="Sunday"),SETTINGS!$B$11,IF(G117="Vacation",SETTINGS!$B$13,0)))</f>
        <v/>
      </c>
      <c r="I117" s="12" t="str">
        <f t="shared" si="5"/>
        <v/>
      </c>
      <c r="J117" s="8"/>
    </row>
    <row r="118" spans="1:10" x14ac:dyDescent="0.2">
      <c r="A118" s="7" t="str">
        <f t="shared" si="3"/>
        <v/>
      </c>
      <c r="B118" s="9"/>
      <c r="C118" s="8"/>
      <c r="D118" s="10" t="str">
        <f ca="1">IFERROR(_xludf.XLOOKUP(C118,STUDENTS!$A$5:$A$204,STUDENTS!$C$5:$C$204,""),"")</f>
        <v/>
      </c>
      <c r="E118" s="10" t="str">
        <f ca="1">IFERROR(_xludf.XLOOKUP(C118,STUDENTS!$A$5:$A$204,STUDENTS!$L$5:$L$204,""),"")</f>
        <v/>
      </c>
      <c r="F118" s="10" t="str">
        <f t="shared" si="4"/>
        <v/>
      </c>
      <c r="G118" s="8"/>
      <c r="H118" s="11" t="str">
        <f>IF(B118="","",IF(OR(F118="Saturday",F118="Sunday"),SETTINGS!$B$11,IF(G118="Vacation",SETTINGS!$B$13,0)))</f>
        <v/>
      </c>
      <c r="I118" s="12" t="str">
        <f t="shared" si="5"/>
        <v/>
      </c>
      <c r="J118" s="8"/>
    </row>
    <row r="119" spans="1:10" x14ac:dyDescent="0.2">
      <c r="A119" s="7" t="str">
        <f t="shared" si="3"/>
        <v/>
      </c>
      <c r="B119" s="9"/>
      <c r="C119" s="8"/>
      <c r="D119" s="10" t="str">
        <f ca="1">IFERROR(_xludf.XLOOKUP(C119,STUDENTS!$A$5:$A$204,STUDENTS!$C$5:$C$204,""),"")</f>
        <v/>
      </c>
      <c r="E119" s="10" t="str">
        <f ca="1">IFERROR(_xludf.XLOOKUP(C119,STUDENTS!$A$5:$A$204,STUDENTS!$L$5:$L$204,""),"")</f>
        <v/>
      </c>
      <c r="F119" s="10" t="str">
        <f t="shared" si="4"/>
        <v/>
      </c>
      <c r="G119" s="8"/>
      <c r="H119" s="11" t="str">
        <f>IF(B119="","",IF(OR(F119="Saturday",F119="Sunday"),SETTINGS!$B$11,IF(G119="Vacation",SETTINGS!$B$13,0)))</f>
        <v/>
      </c>
      <c r="I119" s="12" t="str">
        <f t="shared" si="5"/>
        <v/>
      </c>
      <c r="J119" s="8"/>
    </row>
    <row r="120" spans="1:10" x14ac:dyDescent="0.2">
      <c r="A120" s="7" t="str">
        <f t="shared" si="3"/>
        <v/>
      </c>
      <c r="B120" s="9"/>
      <c r="C120" s="8"/>
      <c r="D120" s="10" t="str">
        <f ca="1">IFERROR(_xludf.XLOOKUP(C120,STUDENTS!$A$5:$A$204,STUDENTS!$C$5:$C$204,""),"")</f>
        <v/>
      </c>
      <c r="E120" s="10" t="str">
        <f ca="1">IFERROR(_xludf.XLOOKUP(C120,STUDENTS!$A$5:$A$204,STUDENTS!$L$5:$L$204,""),"")</f>
        <v/>
      </c>
      <c r="F120" s="10" t="str">
        <f t="shared" si="4"/>
        <v/>
      </c>
      <c r="G120" s="8"/>
      <c r="H120" s="11" t="str">
        <f>IF(B120="","",IF(OR(F120="Saturday",F120="Sunday"),SETTINGS!$B$11,IF(G120="Vacation",SETTINGS!$B$13,0)))</f>
        <v/>
      </c>
      <c r="I120" s="12" t="str">
        <f t="shared" si="5"/>
        <v/>
      </c>
      <c r="J120" s="8"/>
    </row>
    <row r="121" spans="1:10" x14ac:dyDescent="0.2">
      <c r="A121" s="7" t="str">
        <f t="shared" si="3"/>
        <v/>
      </c>
      <c r="B121" s="9"/>
      <c r="C121" s="8"/>
      <c r="D121" s="10" t="str">
        <f ca="1">IFERROR(_xludf.XLOOKUP(C121,STUDENTS!$A$5:$A$204,STUDENTS!$C$5:$C$204,""),"")</f>
        <v/>
      </c>
      <c r="E121" s="10" t="str">
        <f ca="1">IFERROR(_xludf.XLOOKUP(C121,STUDENTS!$A$5:$A$204,STUDENTS!$L$5:$L$204,""),"")</f>
        <v/>
      </c>
      <c r="F121" s="10" t="str">
        <f t="shared" si="4"/>
        <v/>
      </c>
      <c r="G121" s="8"/>
      <c r="H121" s="11" t="str">
        <f>IF(B121="","",IF(OR(F121="Saturday",F121="Sunday"),SETTINGS!$B$11,IF(G121="Vacation",SETTINGS!$B$13,0)))</f>
        <v/>
      </c>
      <c r="I121" s="12" t="str">
        <f t="shared" si="5"/>
        <v/>
      </c>
      <c r="J121" s="8"/>
    </row>
    <row r="122" spans="1:10" x14ac:dyDescent="0.2">
      <c r="A122" s="7" t="str">
        <f t="shared" si="3"/>
        <v/>
      </c>
      <c r="B122" s="9"/>
      <c r="C122" s="8"/>
      <c r="D122" s="10" t="str">
        <f ca="1">IFERROR(_xludf.XLOOKUP(C122,STUDENTS!$A$5:$A$204,STUDENTS!$C$5:$C$204,""),"")</f>
        <v/>
      </c>
      <c r="E122" s="10" t="str">
        <f ca="1">IFERROR(_xludf.XLOOKUP(C122,STUDENTS!$A$5:$A$204,STUDENTS!$L$5:$L$204,""),"")</f>
        <v/>
      </c>
      <c r="F122" s="10" t="str">
        <f t="shared" si="4"/>
        <v/>
      </c>
      <c r="G122" s="8"/>
      <c r="H122" s="11" t="str">
        <f>IF(B122="","",IF(OR(F122="Saturday",F122="Sunday"),SETTINGS!$B$11,IF(G122="Vacation",SETTINGS!$B$13,0)))</f>
        <v/>
      </c>
      <c r="I122" s="12" t="str">
        <f t="shared" si="5"/>
        <v/>
      </c>
      <c r="J122" s="8"/>
    </row>
    <row r="123" spans="1:10" x14ac:dyDescent="0.2">
      <c r="A123" s="7" t="str">
        <f t="shared" si="3"/>
        <v/>
      </c>
      <c r="B123" s="9"/>
      <c r="C123" s="8"/>
      <c r="D123" s="10" t="str">
        <f ca="1">IFERROR(_xludf.XLOOKUP(C123,STUDENTS!$A$5:$A$204,STUDENTS!$C$5:$C$204,""),"")</f>
        <v/>
      </c>
      <c r="E123" s="10" t="str">
        <f ca="1">IFERROR(_xludf.XLOOKUP(C123,STUDENTS!$A$5:$A$204,STUDENTS!$L$5:$L$204,""),"")</f>
        <v/>
      </c>
      <c r="F123" s="10" t="str">
        <f t="shared" si="4"/>
        <v/>
      </c>
      <c r="G123" s="8"/>
      <c r="H123" s="11" t="str">
        <f>IF(B123="","",IF(OR(F123="Saturday",F123="Sunday"),SETTINGS!$B$11,IF(G123="Vacation",SETTINGS!$B$13,0)))</f>
        <v/>
      </c>
      <c r="I123" s="12" t="str">
        <f t="shared" si="5"/>
        <v/>
      </c>
      <c r="J123" s="8"/>
    </row>
    <row r="124" spans="1:10" x14ac:dyDescent="0.2">
      <c r="A124" s="7" t="str">
        <f t="shared" si="3"/>
        <v/>
      </c>
      <c r="B124" s="9"/>
      <c r="C124" s="8"/>
      <c r="D124" s="10" t="str">
        <f ca="1">IFERROR(_xludf.XLOOKUP(C124,STUDENTS!$A$5:$A$204,STUDENTS!$C$5:$C$204,""),"")</f>
        <v/>
      </c>
      <c r="E124" s="10" t="str">
        <f ca="1">IFERROR(_xludf.XLOOKUP(C124,STUDENTS!$A$5:$A$204,STUDENTS!$L$5:$L$204,""),"")</f>
        <v/>
      </c>
      <c r="F124" s="10" t="str">
        <f t="shared" si="4"/>
        <v/>
      </c>
      <c r="G124" s="8"/>
      <c r="H124" s="11" t="str">
        <f>IF(B124="","",IF(OR(F124="Saturday",F124="Sunday"),SETTINGS!$B$11,IF(G124="Vacation",SETTINGS!$B$13,0)))</f>
        <v/>
      </c>
      <c r="I124" s="12" t="str">
        <f t="shared" si="5"/>
        <v/>
      </c>
      <c r="J124" s="8"/>
    </row>
    <row r="125" spans="1:10" x14ac:dyDescent="0.2">
      <c r="A125" s="7" t="str">
        <f t="shared" si="3"/>
        <v/>
      </c>
      <c r="B125" s="9"/>
      <c r="C125" s="8"/>
      <c r="D125" s="10" t="str">
        <f ca="1">IFERROR(_xludf.XLOOKUP(C125,STUDENTS!$A$5:$A$204,STUDENTS!$C$5:$C$204,""),"")</f>
        <v/>
      </c>
      <c r="E125" s="10" t="str">
        <f ca="1">IFERROR(_xludf.XLOOKUP(C125,STUDENTS!$A$5:$A$204,STUDENTS!$L$5:$L$204,""),"")</f>
        <v/>
      </c>
      <c r="F125" s="10" t="str">
        <f t="shared" si="4"/>
        <v/>
      </c>
      <c r="G125" s="8"/>
      <c r="H125" s="11" t="str">
        <f>IF(B125="","",IF(OR(F125="Saturday",F125="Sunday"),SETTINGS!$B$11,IF(G125="Vacation",SETTINGS!$B$13,0)))</f>
        <v/>
      </c>
      <c r="I125" s="12" t="str">
        <f t="shared" si="5"/>
        <v/>
      </c>
      <c r="J125" s="8"/>
    </row>
    <row r="126" spans="1:10" x14ac:dyDescent="0.2">
      <c r="A126" s="7" t="str">
        <f t="shared" si="3"/>
        <v/>
      </c>
      <c r="B126" s="9"/>
      <c r="C126" s="8"/>
      <c r="D126" s="10" t="str">
        <f ca="1">IFERROR(_xludf.XLOOKUP(C126,STUDENTS!$A$5:$A$204,STUDENTS!$C$5:$C$204,""),"")</f>
        <v/>
      </c>
      <c r="E126" s="10" t="str">
        <f ca="1">IFERROR(_xludf.XLOOKUP(C126,STUDENTS!$A$5:$A$204,STUDENTS!$L$5:$L$204,""),"")</f>
        <v/>
      </c>
      <c r="F126" s="10" t="str">
        <f t="shared" si="4"/>
        <v/>
      </c>
      <c r="G126" s="8"/>
      <c r="H126" s="11" t="str">
        <f>IF(B126="","",IF(OR(F126="Saturday",F126="Sunday"),SETTINGS!$B$11,IF(G126="Vacation",SETTINGS!$B$13,0)))</f>
        <v/>
      </c>
      <c r="I126" s="12" t="str">
        <f t="shared" si="5"/>
        <v/>
      </c>
      <c r="J126" s="8"/>
    </row>
    <row r="127" spans="1:10" x14ac:dyDescent="0.2">
      <c r="A127" s="7" t="str">
        <f t="shared" si="3"/>
        <v/>
      </c>
      <c r="B127" s="9"/>
      <c r="C127" s="8"/>
      <c r="D127" s="10" t="str">
        <f ca="1">IFERROR(_xludf.XLOOKUP(C127,STUDENTS!$A$5:$A$204,STUDENTS!$C$5:$C$204,""),"")</f>
        <v/>
      </c>
      <c r="E127" s="10" t="str">
        <f ca="1">IFERROR(_xludf.XLOOKUP(C127,STUDENTS!$A$5:$A$204,STUDENTS!$L$5:$L$204,""),"")</f>
        <v/>
      </c>
      <c r="F127" s="10" t="str">
        <f t="shared" si="4"/>
        <v/>
      </c>
      <c r="G127" s="8"/>
      <c r="H127" s="11" t="str">
        <f>IF(B127="","",IF(OR(F127="Saturday",F127="Sunday"),SETTINGS!$B$11,IF(G127="Vacation",SETTINGS!$B$13,0)))</f>
        <v/>
      </c>
      <c r="I127" s="12" t="str">
        <f t="shared" si="5"/>
        <v/>
      </c>
      <c r="J127" s="8"/>
    </row>
    <row r="128" spans="1:10" x14ac:dyDescent="0.2">
      <c r="A128" s="7" t="str">
        <f t="shared" si="3"/>
        <v/>
      </c>
      <c r="B128" s="9"/>
      <c r="C128" s="8"/>
      <c r="D128" s="10" t="str">
        <f ca="1">IFERROR(_xludf.XLOOKUP(C128,STUDENTS!$A$5:$A$204,STUDENTS!$C$5:$C$204,""),"")</f>
        <v/>
      </c>
      <c r="E128" s="10" t="str">
        <f ca="1">IFERROR(_xludf.XLOOKUP(C128,STUDENTS!$A$5:$A$204,STUDENTS!$L$5:$L$204,""),"")</f>
        <v/>
      </c>
      <c r="F128" s="10" t="str">
        <f t="shared" si="4"/>
        <v/>
      </c>
      <c r="G128" s="8"/>
      <c r="H128" s="11" t="str">
        <f>IF(B128="","",IF(OR(F128="Saturday",F128="Sunday"),SETTINGS!$B$11,IF(G128="Vacation",SETTINGS!$B$13,0)))</f>
        <v/>
      </c>
      <c r="I128" s="12" t="str">
        <f t="shared" si="5"/>
        <v/>
      </c>
      <c r="J128" s="8"/>
    </row>
    <row r="129" spans="1:10" x14ac:dyDescent="0.2">
      <c r="A129" s="7" t="str">
        <f t="shared" si="3"/>
        <v/>
      </c>
      <c r="B129" s="9"/>
      <c r="C129" s="8"/>
      <c r="D129" s="10" t="str">
        <f ca="1">IFERROR(_xludf.XLOOKUP(C129,STUDENTS!$A$5:$A$204,STUDENTS!$C$5:$C$204,""),"")</f>
        <v/>
      </c>
      <c r="E129" s="10" t="str">
        <f ca="1">IFERROR(_xludf.XLOOKUP(C129,STUDENTS!$A$5:$A$204,STUDENTS!$L$5:$L$204,""),"")</f>
        <v/>
      </c>
      <c r="F129" s="10" t="str">
        <f t="shared" si="4"/>
        <v/>
      </c>
      <c r="G129" s="8"/>
      <c r="H129" s="11" t="str">
        <f>IF(B129="","",IF(OR(F129="Saturday",F129="Sunday"),SETTINGS!$B$11,IF(G129="Vacation",SETTINGS!$B$13,0)))</f>
        <v/>
      </c>
      <c r="I129" s="12" t="str">
        <f t="shared" si="5"/>
        <v/>
      </c>
      <c r="J129" s="8"/>
    </row>
    <row r="130" spans="1:10" x14ac:dyDescent="0.2">
      <c r="A130" s="7" t="str">
        <f t="shared" si="3"/>
        <v/>
      </c>
      <c r="B130" s="9"/>
      <c r="C130" s="8"/>
      <c r="D130" s="10" t="str">
        <f ca="1">IFERROR(_xludf.XLOOKUP(C130,STUDENTS!$A$5:$A$204,STUDENTS!$C$5:$C$204,""),"")</f>
        <v/>
      </c>
      <c r="E130" s="10" t="str">
        <f ca="1">IFERROR(_xludf.XLOOKUP(C130,STUDENTS!$A$5:$A$204,STUDENTS!$L$5:$L$204,""),"")</f>
        <v/>
      </c>
      <c r="F130" s="10" t="str">
        <f t="shared" si="4"/>
        <v/>
      </c>
      <c r="G130" s="8"/>
      <c r="H130" s="11" t="str">
        <f>IF(B130="","",IF(OR(F130="Saturday",F130="Sunday"),SETTINGS!$B$11,IF(G130="Vacation",SETTINGS!$B$13,0)))</f>
        <v/>
      </c>
      <c r="I130" s="12" t="str">
        <f t="shared" si="5"/>
        <v/>
      </c>
      <c r="J130" s="8"/>
    </row>
    <row r="131" spans="1:10" x14ac:dyDescent="0.2">
      <c r="A131" s="7" t="str">
        <f t="shared" si="3"/>
        <v/>
      </c>
      <c r="B131" s="9"/>
      <c r="C131" s="8"/>
      <c r="D131" s="10" t="str">
        <f ca="1">IFERROR(_xludf.XLOOKUP(C131,STUDENTS!$A$5:$A$204,STUDENTS!$C$5:$C$204,""),"")</f>
        <v/>
      </c>
      <c r="E131" s="10" t="str">
        <f ca="1">IFERROR(_xludf.XLOOKUP(C131,STUDENTS!$A$5:$A$204,STUDENTS!$L$5:$L$204,""),"")</f>
        <v/>
      </c>
      <c r="F131" s="10" t="str">
        <f t="shared" si="4"/>
        <v/>
      </c>
      <c r="G131" s="8"/>
      <c r="H131" s="11" t="str">
        <f>IF(B131="","",IF(OR(F131="Saturday",F131="Sunday"),SETTINGS!$B$11,IF(G131="Vacation",SETTINGS!$B$13,0)))</f>
        <v/>
      </c>
      <c r="I131" s="12" t="str">
        <f t="shared" si="5"/>
        <v/>
      </c>
      <c r="J131" s="8"/>
    </row>
    <row r="132" spans="1:10" x14ac:dyDescent="0.2">
      <c r="A132" s="7" t="str">
        <f t="shared" si="3"/>
        <v/>
      </c>
      <c r="B132" s="9"/>
      <c r="C132" s="8"/>
      <c r="D132" s="10" t="str">
        <f ca="1">IFERROR(_xludf.XLOOKUP(C132,STUDENTS!$A$5:$A$204,STUDENTS!$C$5:$C$204,""),"")</f>
        <v/>
      </c>
      <c r="E132" s="10" t="str">
        <f ca="1">IFERROR(_xludf.XLOOKUP(C132,STUDENTS!$A$5:$A$204,STUDENTS!$L$5:$L$204,""),"")</f>
        <v/>
      </c>
      <c r="F132" s="10" t="str">
        <f t="shared" si="4"/>
        <v/>
      </c>
      <c r="G132" s="8"/>
      <c r="H132" s="11" t="str">
        <f>IF(B132="","",IF(OR(F132="Saturday",F132="Sunday"),SETTINGS!$B$11,IF(G132="Vacation",SETTINGS!$B$13,0)))</f>
        <v/>
      </c>
      <c r="I132" s="12" t="str">
        <f t="shared" si="5"/>
        <v/>
      </c>
      <c r="J132" s="8"/>
    </row>
    <row r="133" spans="1:10" x14ac:dyDescent="0.2">
      <c r="A133" s="7" t="str">
        <f t="shared" ref="A133:A196" si="6">IF(C133="","","F-"&amp;TEXT(ROW()-4,"00000"))</f>
        <v/>
      </c>
      <c r="B133" s="9"/>
      <c r="C133" s="8"/>
      <c r="D133" s="10" t="str">
        <f ca="1">IFERROR(_xludf.XLOOKUP(C133,STUDENTS!$A$5:$A$204,STUDENTS!$C$5:$C$204,""),"")</f>
        <v/>
      </c>
      <c r="E133" s="10" t="str">
        <f ca="1">IFERROR(_xludf.XLOOKUP(C133,STUDENTS!$A$5:$A$204,STUDENTS!$L$5:$L$204,""),"")</f>
        <v/>
      </c>
      <c r="F133" s="10" t="str">
        <f t="shared" ref="F133:F196" si="7">IF(B133="","",TEXT(B133,"dddd"))</f>
        <v/>
      </c>
      <c r="G133" s="8"/>
      <c r="H133" s="11" t="str">
        <f>IF(B133="","",IF(OR(F133="Saturday",F133="Sunday"),SETTINGS!$B$11,IF(G133="Vacation",SETTINGS!$B$13,0)))</f>
        <v/>
      </c>
      <c r="I133" s="12" t="str">
        <f t="shared" ref="I133:I196" si="8">IF(H133="","",H133)</f>
        <v/>
      </c>
      <c r="J133" s="8"/>
    </row>
    <row r="134" spans="1:10" x14ac:dyDescent="0.2">
      <c r="A134" s="7" t="str">
        <f t="shared" si="6"/>
        <v/>
      </c>
      <c r="B134" s="9"/>
      <c r="C134" s="8"/>
      <c r="D134" s="10" t="str">
        <f ca="1">IFERROR(_xludf.XLOOKUP(C134,STUDENTS!$A$5:$A$204,STUDENTS!$C$5:$C$204,""),"")</f>
        <v/>
      </c>
      <c r="E134" s="10" t="str">
        <f ca="1">IFERROR(_xludf.XLOOKUP(C134,STUDENTS!$A$5:$A$204,STUDENTS!$L$5:$L$204,""),"")</f>
        <v/>
      </c>
      <c r="F134" s="10" t="str">
        <f t="shared" si="7"/>
        <v/>
      </c>
      <c r="G134" s="8"/>
      <c r="H134" s="11" t="str">
        <f>IF(B134="","",IF(OR(F134="Saturday",F134="Sunday"),SETTINGS!$B$11,IF(G134="Vacation",SETTINGS!$B$13,0)))</f>
        <v/>
      </c>
      <c r="I134" s="12" t="str">
        <f t="shared" si="8"/>
        <v/>
      </c>
      <c r="J134" s="8"/>
    </row>
    <row r="135" spans="1:10" x14ac:dyDescent="0.2">
      <c r="A135" s="7" t="str">
        <f t="shared" si="6"/>
        <v/>
      </c>
      <c r="B135" s="9"/>
      <c r="C135" s="8"/>
      <c r="D135" s="10" t="str">
        <f ca="1">IFERROR(_xludf.XLOOKUP(C135,STUDENTS!$A$5:$A$204,STUDENTS!$C$5:$C$204,""),"")</f>
        <v/>
      </c>
      <c r="E135" s="10" t="str">
        <f ca="1">IFERROR(_xludf.XLOOKUP(C135,STUDENTS!$A$5:$A$204,STUDENTS!$L$5:$L$204,""),"")</f>
        <v/>
      </c>
      <c r="F135" s="10" t="str">
        <f t="shared" si="7"/>
        <v/>
      </c>
      <c r="G135" s="8"/>
      <c r="H135" s="11" t="str">
        <f>IF(B135="","",IF(OR(F135="Saturday",F135="Sunday"),SETTINGS!$B$11,IF(G135="Vacation",SETTINGS!$B$13,0)))</f>
        <v/>
      </c>
      <c r="I135" s="12" t="str">
        <f t="shared" si="8"/>
        <v/>
      </c>
      <c r="J135" s="8"/>
    </row>
    <row r="136" spans="1:10" x14ac:dyDescent="0.2">
      <c r="A136" s="7" t="str">
        <f t="shared" si="6"/>
        <v/>
      </c>
      <c r="B136" s="9"/>
      <c r="C136" s="8"/>
      <c r="D136" s="10" t="str">
        <f ca="1">IFERROR(_xludf.XLOOKUP(C136,STUDENTS!$A$5:$A$204,STUDENTS!$C$5:$C$204,""),"")</f>
        <v/>
      </c>
      <c r="E136" s="10" t="str">
        <f ca="1">IFERROR(_xludf.XLOOKUP(C136,STUDENTS!$A$5:$A$204,STUDENTS!$L$5:$L$204,""),"")</f>
        <v/>
      </c>
      <c r="F136" s="10" t="str">
        <f t="shared" si="7"/>
        <v/>
      </c>
      <c r="G136" s="8"/>
      <c r="H136" s="11" t="str">
        <f>IF(B136="","",IF(OR(F136="Saturday",F136="Sunday"),SETTINGS!$B$11,IF(G136="Vacation",SETTINGS!$B$13,0)))</f>
        <v/>
      </c>
      <c r="I136" s="12" t="str">
        <f t="shared" si="8"/>
        <v/>
      </c>
      <c r="J136" s="8"/>
    </row>
    <row r="137" spans="1:10" x14ac:dyDescent="0.2">
      <c r="A137" s="7" t="str">
        <f t="shared" si="6"/>
        <v/>
      </c>
      <c r="B137" s="9"/>
      <c r="C137" s="8"/>
      <c r="D137" s="10" t="str">
        <f ca="1">IFERROR(_xludf.XLOOKUP(C137,STUDENTS!$A$5:$A$204,STUDENTS!$C$5:$C$204,""),"")</f>
        <v/>
      </c>
      <c r="E137" s="10" t="str">
        <f ca="1">IFERROR(_xludf.XLOOKUP(C137,STUDENTS!$A$5:$A$204,STUDENTS!$L$5:$L$204,""),"")</f>
        <v/>
      </c>
      <c r="F137" s="10" t="str">
        <f t="shared" si="7"/>
        <v/>
      </c>
      <c r="G137" s="8"/>
      <c r="H137" s="11" t="str">
        <f>IF(B137="","",IF(OR(F137="Saturday",F137="Sunday"),SETTINGS!$B$11,IF(G137="Vacation",SETTINGS!$B$13,0)))</f>
        <v/>
      </c>
      <c r="I137" s="12" t="str">
        <f t="shared" si="8"/>
        <v/>
      </c>
      <c r="J137" s="8"/>
    </row>
    <row r="138" spans="1:10" x14ac:dyDescent="0.2">
      <c r="A138" s="7" t="str">
        <f t="shared" si="6"/>
        <v/>
      </c>
      <c r="B138" s="9"/>
      <c r="C138" s="8"/>
      <c r="D138" s="10" t="str">
        <f ca="1">IFERROR(_xludf.XLOOKUP(C138,STUDENTS!$A$5:$A$204,STUDENTS!$C$5:$C$204,""),"")</f>
        <v/>
      </c>
      <c r="E138" s="10" t="str">
        <f ca="1">IFERROR(_xludf.XLOOKUP(C138,STUDENTS!$A$5:$A$204,STUDENTS!$L$5:$L$204,""),"")</f>
        <v/>
      </c>
      <c r="F138" s="10" t="str">
        <f t="shared" si="7"/>
        <v/>
      </c>
      <c r="G138" s="8"/>
      <c r="H138" s="11" t="str">
        <f>IF(B138="","",IF(OR(F138="Saturday",F138="Sunday"),SETTINGS!$B$11,IF(G138="Vacation",SETTINGS!$B$13,0)))</f>
        <v/>
      </c>
      <c r="I138" s="12" t="str">
        <f t="shared" si="8"/>
        <v/>
      </c>
      <c r="J138" s="8"/>
    </row>
    <row r="139" spans="1:10" x14ac:dyDescent="0.2">
      <c r="A139" s="7" t="str">
        <f t="shared" si="6"/>
        <v/>
      </c>
      <c r="B139" s="9"/>
      <c r="C139" s="8"/>
      <c r="D139" s="10" t="str">
        <f ca="1">IFERROR(_xludf.XLOOKUP(C139,STUDENTS!$A$5:$A$204,STUDENTS!$C$5:$C$204,""),"")</f>
        <v/>
      </c>
      <c r="E139" s="10" t="str">
        <f ca="1">IFERROR(_xludf.XLOOKUP(C139,STUDENTS!$A$5:$A$204,STUDENTS!$L$5:$L$204,""),"")</f>
        <v/>
      </c>
      <c r="F139" s="10" t="str">
        <f t="shared" si="7"/>
        <v/>
      </c>
      <c r="G139" s="8"/>
      <c r="H139" s="11" t="str">
        <f>IF(B139="","",IF(OR(F139="Saturday",F139="Sunday"),SETTINGS!$B$11,IF(G139="Vacation",SETTINGS!$B$13,0)))</f>
        <v/>
      </c>
      <c r="I139" s="12" t="str">
        <f t="shared" si="8"/>
        <v/>
      </c>
      <c r="J139" s="8"/>
    </row>
    <row r="140" spans="1:10" x14ac:dyDescent="0.2">
      <c r="A140" s="7" t="str">
        <f t="shared" si="6"/>
        <v/>
      </c>
      <c r="B140" s="9"/>
      <c r="C140" s="8"/>
      <c r="D140" s="10" t="str">
        <f ca="1">IFERROR(_xludf.XLOOKUP(C140,STUDENTS!$A$5:$A$204,STUDENTS!$C$5:$C$204,""),"")</f>
        <v/>
      </c>
      <c r="E140" s="10" t="str">
        <f ca="1">IFERROR(_xludf.XLOOKUP(C140,STUDENTS!$A$5:$A$204,STUDENTS!$L$5:$L$204,""),"")</f>
        <v/>
      </c>
      <c r="F140" s="10" t="str">
        <f t="shared" si="7"/>
        <v/>
      </c>
      <c r="G140" s="8"/>
      <c r="H140" s="11" t="str">
        <f>IF(B140="","",IF(OR(F140="Saturday",F140="Sunday"),SETTINGS!$B$11,IF(G140="Vacation",SETTINGS!$B$13,0)))</f>
        <v/>
      </c>
      <c r="I140" s="12" t="str">
        <f t="shared" si="8"/>
        <v/>
      </c>
      <c r="J140" s="8"/>
    </row>
    <row r="141" spans="1:10" x14ac:dyDescent="0.2">
      <c r="A141" s="7" t="str">
        <f t="shared" si="6"/>
        <v/>
      </c>
      <c r="B141" s="9"/>
      <c r="C141" s="8"/>
      <c r="D141" s="10" t="str">
        <f ca="1">IFERROR(_xludf.XLOOKUP(C141,STUDENTS!$A$5:$A$204,STUDENTS!$C$5:$C$204,""),"")</f>
        <v/>
      </c>
      <c r="E141" s="10" t="str">
        <f ca="1">IFERROR(_xludf.XLOOKUP(C141,STUDENTS!$A$5:$A$204,STUDENTS!$L$5:$L$204,""),"")</f>
        <v/>
      </c>
      <c r="F141" s="10" t="str">
        <f t="shared" si="7"/>
        <v/>
      </c>
      <c r="G141" s="8"/>
      <c r="H141" s="11" t="str">
        <f>IF(B141="","",IF(OR(F141="Saturday",F141="Sunday"),SETTINGS!$B$11,IF(G141="Vacation",SETTINGS!$B$13,0)))</f>
        <v/>
      </c>
      <c r="I141" s="12" t="str">
        <f t="shared" si="8"/>
        <v/>
      </c>
      <c r="J141" s="8"/>
    </row>
    <row r="142" spans="1:10" x14ac:dyDescent="0.2">
      <c r="A142" s="7" t="str">
        <f t="shared" si="6"/>
        <v/>
      </c>
      <c r="B142" s="9"/>
      <c r="C142" s="8"/>
      <c r="D142" s="10" t="str">
        <f ca="1">IFERROR(_xludf.XLOOKUP(C142,STUDENTS!$A$5:$A$204,STUDENTS!$C$5:$C$204,""),"")</f>
        <v/>
      </c>
      <c r="E142" s="10" t="str">
        <f ca="1">IFERROR(_xludf.XLOOKUP(C142,STUDENTS!$A$5:$A$204,STUDENTS!$L$5:$L$204,""),"")</f>
        <v/>
      </c>
      <c r="F142" s="10" t="str">
        <f t="shared" si="7"/>
        <v/>
      </c>
      <c r="G142" s="8"/>
      <c r="H142" s="11" t="str">
        <f>IF(B142="","",IF(OR(F142="Saturday",F142="Sunday"),SETTINGS!$B$11,IF(G142="Vacation",SETTINGS!$B$13,0)))</f>
        <v/>
      </c>
      <c r="I142" s="12" t="str">
        <f t="shared" si="8"/>
        <v/>
      </c>
      <c r="J142" s="8"/>
    </row>
    <row r="143" spans="1:10" x14ac:dyDescent="0.2">
      <c r="A143" s="7" t="str">
        <f t="shared" si="6"/>
        <v/>
      </c>
      <c r="B143" s="9"/>
      <c r="C143" s="8"/>
      <c r="D143" s="10" t="str">
        <f ca="1">IFERROR(_xludf.XLOOKUP(C143,STUDENTS!$A$5:$A$204,STUDENTS!$C$5:$C$204,""),"")</f>
        <v/>
      </c>
      <c r="E143" s="10" t="str">
        <f ca="1">IFERROR(_xludf.XLOOKUP(C143,STUDENTS!$A$5:$A$204,STUDENTS!$L$5:$L$204,""),"")</f>
        <v/>
      </c>
      <c r="F143" s="10" t="str">
        <f t="shared" si="7"/>
        <v/>
      </c>
      <c r="G143" s="8"/>
      <c r="H143" s="11" t="str">
        <f>IF(B143="","",IF(OR(F143="Saturday",F143="Sunday"),SETTINGS!$B$11,IF(G143="Vacation",SETTINGS!$B$13,0)))</f>
        <v/>
      </c>
      <c r="I143" s="12" t="str">
        <f t="shared" si="8"/>
        <v/>
      </c>
      <c r="J143" s="8"/>
    </row>
    <row r="144" spans="1:10" x14ac:dyDescent="0.2">
      <c r="A144" s="7" t="str">
        <f t="shared" si="6"/>
        <v/>
      </c>
      <c r="B144" s="9"/>
      <c r="C144" s="8"/>
      <c r="D144" s="10" t="str">
        <f ca="1">IFERROR(_xludf.XLOOKUP(C144,STUDENTS!$A$5:$A$204,STUDENTS!$C$5:$C$204,""),"")</f>
        <v/>
      </c>
      <c r="E144" s="10" t="str">
        <f ca="1">IFERROR(_xludf.XLOOKUP(C144,STUDENTS!$A$5:$A$204,STUDENTS!$L$5:$L$204,""),"")</f>
        <v/>
      </c>
      <c r="F144" s="10" t="str">
        <f t="shared" si="7"/>
        <v/>
      </c>
      <c r="G144" s="8"/>
      <c r="H144" s="11" t="str">
        <f>IF(B144="","",IF(OR(F144="Saturday",F144="Sunday"),SETTINGS!$B$11,IF(G144="Vacation",SETTINGS!$B$13,0)))</f>
        <v/>
      </c>
      <c r="I144" s="12" t="str">
        <f t="shared" si="8"/>
        <v/>
      </c>
      <c r="J144" s="8"/>
    </row>
    <row r="145" spans="1:10" x14ac:dyDescent="0.2">
      <c r="A145" s="7" t="str">
        <f t="shared" si="6"/>
        <v/>
      </c>
      <c r="B145" s="9"/>
      <c r="C145" s="8"/>
      <c r="D145" s="10" t="str">
        <f ca="1">IFERROR(_xludf.XLOOKUP(C145,STUDENTS!$A$5:$A$204,STUDENTS!$C$5:$C$204,""),"")</f>
        <v/>
      </c>
      <c r="E145" s="10" t="str">
        <f ca="1">IFERROR(_xludf.XLOOKUP(C145,STUDENTS!$A$5:$A$204,STUDENTS!$L$5:$L$204,""),"")</f>
        <v/>
      </c>
      <c r="F145" s="10" t="str">
        <f t="shared" si="7"/>
        <v/>
      </c>
      <c r="G145" s="8"/>
      <c r="H145" s="11" t="str">
        <f>IF(B145="","",IF(OR(F145="Saturday",F145="Sunday"),SETTINGS!$B$11,IF(G145="Vacation",SETTINGS!$B$13,0)))</f>
        <v/>
      </c>
      <c r="I145" s="12" t="str">
        <f t="shared" si="8"/>
        <v/>
      </c>
      <c r="J145" s="8"/>
    </row>
    <row r="146" spans="1:10" x14ac:dyDescent="0.2">
      <c r="A146" s="7" t="str">
        <f t="shared" si="6"/>
        <v/>
      </c>
      <c r="B146" s="9"/>
      <c r="C146" s="8"/>
      <c r="D146" s="10" t="str">
        <f ca="1">IFERROR(_xludf.XLOOKUP(C146,STUDENTS!$A$5:$A$204,STUDENTS!$C$5:$C$204,""),"")</f>
        <v/>
      </c>
      <c r="E146" s="10" t="str">
        <f ca="1">IFERROR(_xludf.XLOOKUP(C146,STUDENTS!$A$5:$A$204,STUDENTS!$L$5:$L$204,""),"")</f>
        <v/>
      </c>
      <c r="F146" s="10" t="str">
        <f t="shared" si="7"/>
        <v/>
      </c>
      <c r="G146" s="8"/>
      <c r="H146" s="11" t="str">
        <f>IF(B146="","",IF(OR(F146="Saturday",F146="Sunday"),SETTINGS!$B$11,IF(G146="Vacation",SETTINGS!$B$13,0)))</f>
        <v/>
      </c>
      <c r="I146" s="12" t="str">
        <f t="shared" si="8"/>
        <v/>
      </c>
      <c r="J146" s="8"/>
    </row>
    <row r="147" spans="1:10" x14ac:dyDescent="0.2">
      <c r="A147" s="7" t="str">
        <f t="shared" si="6"/>
        <v/>
      </c>
      <c r="B147" s="9"/>
      <c r="C147" s="8"/>
      <c r="D147" s="10" t="str">
        <f ca="1">IFERROR(_xludf.XLOOKUP(C147,STUDENTS!$A$5:$A$204,STUDENTS!$C$5:$C$204,""),"")</f>
        <v/>
      </c>
      <c r="E147" s="10" t="str">
        <f ca="1">IFERROR(_xludf.XLOOKUP(C147,STUDENTS!$A$5:$A$204,STUDENTS!$L$5:$L$204,""),"")</f>
        <v/>
      </c>
      <c r="F147" s="10" t="str">
        <f t="shared" si="7"/>
        <v/>
      </c>
      <c r="G147" s="8"/>
      <c r="H147" s="11" t="str">
        <f>IF(B147="","",IF(OR(F147="Saturday",F147="Sunday"),SETTINGS!$B$11,IF(G147="Vacation",SETTINGS!$B$13,0)))</f>
        <v/>
      </c>
      <c r="I147" s="12" t="str">
        <f t="shared" si="8"/>
        <v/>
      </c>
      <c r="J147" s="8"/>
    </row>
    <row r="148" spans="1:10" x14ac:dyDescent="0.2">
      <c r="A148" s="7" t="str">
        <f t="shared" si="6"/>
        <v/>
      </c>
      <c r="B148" s="9"/>
      <c r="C148" s="8"/>
      <c r="D148" s="10" t="str">
        <f ca="1">IFERROR(_xludf.XLOOKUP(C148,STUDENTS!$A$5:$A$204,STUDENTS!$C$5:$C$204,""),"")</f>
        <v/>
      </c>
      <c r="E148" s="10" t="str">
        <f ca="1">IFERROR(_xludf.XLOOKUP(C148,STUDENTS!$A$5:$A$204,STUDENTS!$L$5:$L$204,""),"")</f>
        <v/>
      </c>
      <c r="F148" s="10" t="str">
        <f t="shared" si="7"/>
        <v/>
      </c>
      <c r="G148" s="8"/>
      <c r="H148" s="11" t="str">
        <f>IF(B148="","",IF(OR(F148="Saturday",F148="Sunday"),SETTINGS!$B$11,IF(G148="Vacation",SETTINGS!$B$13,0)))</f>
        <v/>
      </c>
      <c r="I148" s="12" t="str">
        <f t="shared" si="8"/>
        <v/>
      </c>
      <c r="J148" s="8"/>
    </row>
    <row r="149" spans="1:10" x14ac:dyDescent="0.2">
      <c r="A149" s="7" t="str">
        <f t="shared" si="6"/>
        <v/>
      </c>
      <c r="B149" s="9"/>
      <c r="C149" s="8"/>
      <c r="D149" s="10" t="str">
        <f ca="1">IFERROR(_xludf.XLOOKUP(C149,STUDENTS!$A$5:$A$204,STUDENTS!$C$5:$C$204,""),"")</f>
        <v/>
      </c>
      <c r="E149" s="10" t="str">
        <f ca="1">IFERROR(_xludf.XLOOKUP(C149,STUDENTS!$A$5:$A$204,STUDENTS!$L$5:$L$204,""),"")</f>
        <v/>
      </c>
      <c r="F149" s="10" t="str">
        <f t="shared" si="7"/>
        <v/>
      </c>
      <c r="G149" s="8"/>
      <c r="H149" s="11" t="str">
        <f>IF(B149="","",IF(OR(F149="Saturday",F149="Sunday"),SETTINGS!$B$11,IF(G149="Vacation",SETTINGS!$B$13,0)))</f>
        <v/>
      </c>
      <c r="I149" s="12" t="str">
        <f t="shared" si="8"/>
        <v/>
      </c>
      <c r="J149" s="8"/>
    </row>
    <row r="150" spans="1:10" x14ac:dyDescent="0.2">
      <c r="A150" s="7" t="str">
        <f t="shared" si="6"/>
        <v/>
      </c>
      <c r="B150" s="9"/>
      <c r="C150" s="8"/>
      <c r="D150" s="10" t="str">
        <f ca="1">IFERROR(_xludf.XLOOKUP(C150,STUDENTS!$A$5:$A$204,STUDENTS!$C$5:$C$204,""),"")</f>
        <v/>
      </c>
      <c r="E150" s="10" t="str">
        <f ca="1">IFERROR(_xludf.XLOOKUP(C150,STUDENTS!$A$5:$A$204,STUDENTS!$L$5:$L$204,""),"")</f>
        <v/>
      </c>
      <c r="F150" s="10" t="str">
        <f t="shared" si="7"/>
        <v/>
      </c>
      <c r="G150" s="8"/>
      <c r="H150" s="11" t="str">
        <f>IF(B150="","",IF(OR(F150="Saturday",F150="Sunday"),SETTINGS!$B$11,IF(G150="Vacation",SETTINGS!$B$13,0)))</f>
        <v/>
      </c>
      <c r="I150" s="12" t="str">
        <f t="shared" si="8"/>
        <v/>
      </c>
      <c r="J150" s="8"/>
    </row>
    <row r="151" spans="1:10" x14ac:dyDescent="0.2">
      <c r="A151" s="7" t="str">
        <f t="shared" si="6"/>
        <v/>
      </c>
      <c r="B151" s="9"/>
      <c r="C151" s="8"/>
      <c r="D151" s="10" t="str">
        <f ca="1">IFERROR(_xludf.XLOOKUP(C151,STUDENTS!$A$5:$A$204,STUDENTS!$C$5:$C$204,""),"")</f>
        <v/>
      </c>
      <c r="E151" s="10" t="str">
        <f ca="1">IFERROR(_xludf.XLOOKUP(C151,STUDENTS!$A$5:$A$204,STUDENTS!$L$5:$L$204,""),"")</f>
        <v/>
      </c>
      <c r="F151" s="10" t="str">
        <f t="shared" si="7"/>
        <v/>
      </c>
      <c r="G151" s="8"/>
      <c r="H151" s="11" t="str">
        <f>IF(B151="","",IF(OR(F151="Saturday",F151="Sunday"),SETTINGS!$B$11,IF(G151="Vacation",SETTINGS!$B$13,0)))</f>
        <v/>
      </c>
      <c r="I151" s="12" t="str">
        <f t="shared" si="8"/>
        <v/>
      </c>
      <c r="J151" s="8"/>
    </row>
    <row r="152" spans="1:10" x14ac:dyDescent="0.2">
      <c r="A152" s="7" t="str">
        <f t="shared" si="6"/>
        <v/>
      </c>
      <c r="B152" s="9"/>
      <c r="C152" s="8"/>
      <c r="D152" s="10" t="str">
        <f ca="1">IFERROR(_xludf.XLOOKUP(C152,STUDENTS!$A$5:$A$204,STUDENTS!$C$5:$C$204,""),"")</f>
        <v/>
      </c>
      <c r="E152" s="10" t="str">
        <f ca="1">IFERROR(_xludf.XLOOKUP(C152,STUDENTS!$A$5:$A$204,STUDENTS!$L$5:$L$204,""),"")</f>
        <v/>
      </c>
      <c r="F152" s="10" t="str">
        <f t="shared" si="7"/>
        <v/>
      </c>
      <c r="G152" s="8"/>
      <c r="H152" s="11" t="str">
        <f>IF(B152="","",IF(OR(F152="Saturday",F152="Sunday"),SETTINGS!$B$11,IF(G152="Vacation",SETTINGS!$B$13,0)))</f>
        <v/>
      </c>
      <c r="I152" s="12" t="str">
        <f t="shared" si="8"/>
        <v/>
      </c>
      <c r="J152" s="8"/>
    </row>
    <row r="153" spans="1:10" x14ac:dyDescent="0.2">
      <c r="A153" s="7" t="str">
        <f t="shared" si="6"/>
        <v/>
      </c>
      <c r="B153" s="9"/>
      <c r="C153" s="8"/>
      <c r="D153" s="10" t="str">
        <f ca="1">IFERROR(_xludf.XLOOKUP(C153,STUDENTS!$A$5:$A$204,STUDENTS!$C$5:$C$204,""),"")</f>
        <v/>
      </c>
      <c r="E153" s="10" t="str">
        <f ca="1">IFERROR(_xludf.XLOOKUP(C153,STUDENTS!$A$5:$A$204,STUDENTS!$L$5:$L$204,""),"")</f>
        <v/>
      </c>
      <c r="F153" s="10" t="str">
        <f t="shared" si="7"/>
        <v/>
      </c>
      <c r="G153" s="8"/>
      <c r="H153" s="11" t="str">
        <f>IF(B153="","",IF(OR(F153="Saturday",F153="Sunday"),SETTINGS!$B$11,IF(G153="Vacation",SETTINGS!$B$13,0)))</f>
        <v/>
      </c>
      <c r="I153" s="12" t="str">
        <f t="shared" si="8"/>
        <v/>
      </c>
      <c r="J153" s="8"/>
    </row>
    <row r="154" spans="1:10" x14ac:dyDescent="0.2">
      <c r="A154" s="7" t="str">
        <f t="shared" si="6"/>
        <v/>
      </c>
      <c r="B154" s="9"/>
      <c r="C154" s="8"/>
      <c r="D154" s="10" t="str">
        <f ca="1">IFERROR(_xludf.XLOOKUP(C154,STUDENTS!$A$5:$A$204,STUDENTS!$C$5:$C$204,""),"")</f>
        <v/>
      </c>
      <c r="E154" s="10" t="str">
        <f ca="1">IFERROR(_xludf.XLOOKUP(C154,STUDENTS!$A$5:$A$204,STUDENTS!$L$5:$L$204,""),"")</f>
        <v/>
      </c>
      <c r="F154" s="10" t="str">
        <f t="shared" si="7"/>
        <v/>
      </c>
      <c r="G154" s="8"/>
      <c r="H154" s="11" t="str">
        <f>IF(B154="","",IF(OR(F154="Saturday",F154="Sunday"),SETTINGS!$B$11,IF(G154="Vacation",SETTINGS!$B$13,0)))</f>
        <v/>
      </c>
      <c r="I154" s="12" t="str">
        <f t="shared" si="8"/>
        <v/>
      </c>
      <c r="J154" s="8"/>
    </row>
    <row r="155" spans="1:10" x14ac:dyDescent="0.2">
      <c r="A155" s="7" t="str">
        <f t="shared" si="6"/>
        <v/>
      </c>
      <c r="B155" s="9"/>
      <c r="C155" s="8"/>
      <c r="D155" s="10" t="str">
        <f ca="1">IFERROR(_xludf.XLOOKUP(C155,STUDENTS!$A$5:$A$204,STUDENTS!$C$5:$C$204,""),"")</f>
        <v/>
      </c>
      <c r="E155" s="10" t="str">
        <f ca="1">IFERROR(_xludf.XLOOKUP(C155,STUDENTS!$A$5:$A$204,STUDENTS!$L$5:$L$204,""),"")</f>
        <v/>
      </c>
      <c r="F155" s="10" t="str">
        <f t="shared" si="7"/>
        <v/>
      </c>
      <c r="G155" s="8"/>
      <c r="H155" s="11" t="str">
        <f>IF(B155="","",IF(OR(F155="Saturday",F155="Sunday"),SETTINGS!$B$11,IF(G155="Vacation",SETTINGS!$B$13,0)))</f>
        <v/>
      </c>
      <c r="I155" s="12" t="str">
        <f t="shared" si="8"/>
        <v/>
      </c>
      <c r="J155" s="8"/>
    </row>
    <row r="156" spans="1:10" x14ac:dyDescent="0.2">
      <c r="A156" s="7" t="str">
        <f t="shared" si="6"/>
        <v/>
      </c>
      <c r="B156" s="9"/>
      <c r="C156" s="8"/>
      <c r="D156" s="10" t="str">
        <f ca="1">IFERROR(_xludf.XLOOKUP(C156,STUDENTS!$A$5:$A$204,STUDENTS!$C$5:$C$204,""),"")</f>
        <v/>
      </c>
      <c r="E156" s="10" t="str">
        <f ca="1">IFERROR(_xludf.XLOOKUP(C156,STUDENTS!$A$5:$A$204,STUDENTS!$L$5:$L$204,""),"")</f>
        <v/>
      </c>
      <c r="F156" s="10" t="str">
        <f t="shared" si="7"/>
        <v/>
      </c>
      <c r="G156" s="8"/>
      <c r="H156" s="11" t="str">
        <f>IF(B156="","",IF(OR(F156="Saturday",F156="Sunday"),SETTINGS!$B$11,IF(G156="Vacation",SETTINGS!$B$13,0)))</f>
        <v/>
      </c>
      <c r="I156" s="12" t="str">
        <f t="shared" si="8"/>
        <v/>
      </c>
      <c r="J156" s="8"/>
    </row>
    <row r="157" spans="1:10" x14ac:dyDescent="0.2">
      <c r="A157" s="7" t="str">
        <f t="shared" si="6"/>
        <v/>
      </c>
      <c r="B157" s="9"/>
      <c r="C157" s="8"/>
      <c r="D157" s="10" t="str">
        <f ca="1">IFERROR(_xludf.XLOOKUP(C157,STUDENTS!$A$5:$A$204,STUDENTS!$C$5:$C$204,""),"")</f>
        <v/>
      </c>
      <c r="E157" s="10" t="str">
        <f ca="1">IFERROR(_xludf.XLOOKUP(C157,STUDENTS!$A$5:$A$204,STUDENTS!$L$5:$L$204,""),"")</f>
        <v/>
      </c>
      <c r="F157" s="10" t="str">
        <f t="shared" si="7"/>
        <v/>
      </c>
      <c r="G157" s="8"/>
      <c r="H157" s="11" t="str">
        <f>IF(B157="","",IF(OR(F157="Saturday",F157="Sunday"),SETTINGS!$B$11,IF(G157="Vacation",SETTINGS!$B$13,0)))</f>
        <v/>
      </c>
      <c r="I157" s="12" t="str">
        <f t="shared" si="8"/>
        <v/>
      </c>
      <c r="J157" s="8"/>
    </row>
    <row r="158" spans="1:10" x14ac:dyDescent="0.2">
      <c r="A158" s="7" t="str">
        <f t="shared" si="6"/>
        <v/>
      </c>
      <c r="B158" s="9"/>
      <c r="C158" s="8"/>
      <c r="D158" s="10" t="str">
        <f ca="1">IFERROR(_xludf.XLOOKUP(C158,STUDENTS!$A$5:$A$204,STUDENTS!$C$5:$C$204,""),"")</f>
        <v/>
      </c>
      <c r="E158" s="10" t="str">
        <f ca="1">IFERROR(_xludf.XLOOKUP(C158,STUDENTS!$A$5:$A$204,STUDENTS!$L$5:$L$204,""),"")</f>
        <v/>
      </c>
      <c r="F158" s="10" t="str">
        <f t="shared" si="7"/>
        <v/>
      </c>
      <c r="G158" s="8"/>
      <c r="H158" s="11" t="str">
        <f>IF(B158="","",IF(OR(F158="Saturday",F158="Sunday"),SETTINGS!$B$11,IF(G158="Vacation",SETTINGS!$B$13,0)))</f>
        <v/>
      </c>
      <c r="I158" s="12" t="str">
        <f t="shared" si="8"/>
        <v/>
      </c>
      <c r="J158" s="8"/>
    </row>
    <row r="159" spans="1:10" x14ac:dyDescent="0.2">
      <c r="A159" s="7" t="str">
        <f t="shared" si="6"/>
        <v/>
      </c>
      <c r="B159" s="9"/>
      <c r="C159" s="8"/>
      <c r="D159" s="10" t="str">
        <f ca="1">IFERROR(_xludf.XLOOKUP(C159,STUDENTS!$A$5:$A$204,STUDENTS!$C$5:$C$204,""),"")</f>
        <v/>
      </c>
      <c r="E159" s="10" t="str">
        <f ca="1">IFERROR(_xludf.XLOOKUP(C159,STUDENTS!$A$5:$A$204,STUDENTS!$L$5:$L$204,""),"")</f>
        <v/>
      </c>
      <c r="F159" s="10" t="str">
        <f t="shared" si="7"/>
        <v/>
      </c>
      <c r="G159" s="8"/>
      <c r="H159" s="11" t="str">
        <f>IF(B159="","",IF(OR(F159="Saturday",F159="Sunday"),SETTINGS!$B$11,IF(G159="Vacation",SETTINGS!$B$13,0)))</f>
        <v/>
      </c>
      <c r="I159" s="12" t="str">
        <f t="shared" si="8"/>
        <v/>
      </c>
      <c r="J159" s="8"/>
    </row>
    <row r="160" spans="1:10" x14ac:dyDescent="0.2">
      <c r="A160" s="7" t="str">
        <f t="shared" si="6"/>
        <v/>
      </c>
      <c r="B160" s="9"/>
      <c r="C160" s="8"/>
      <c r="D160" s="10" t="str">
        <f ca="1">IFERROR(_xludf.XLOOKUP(C160,STUDENTS!$A$5:$A$204,STUDENTS!$C$5:$C$204,""),"")</f>
        <v/>
      </c>
      <c r="E160" s="10" t="str">
        <f ca="1">IFERROR(_xludf.XLOOKUP(C160,STUDENTS!$A$5:$A$204,STUDENTS!$L$5:$L$204,""),"")</f>
        <v/>
      </c>
      <c r="F160" s="10" t="str">
        <f t="shared" si="7"/>
        <v/>
      </c>
      <c r="G160" s="8"/>
      <c r="H160" s="11" t="str">
        <f>IF(B160="","",IF(OR(F160="Saturday",F160="Sunday"),SETTINGS!$B$11,IF(G160="Vacation",SETTINGS!$B$13,0)))</f>
        <v/>
      </c>
      <c r="I160" s="12" t="str">
        <f t="shared" si="8"/>
        <v/>
      </c>
      <c r="J160" s="8"/>
    </row>
    <row r="161" spans="1:10" x14ac:dyDescent="0.2">
      <c r="A161" s="7" t="str">
        <f t="shared" si="6"/>
        <v/>
      </c>
      <c r="B161" s="9"/>
      <c r="C161" s="8"/>
      <c r="D161" s="10" t="str">
        <f ca="1">IFERROR(_xludf.XLOOKUP(C161,STUDENTS!$A$5:$A$204,STUDENTS!$C$5:$C$204,""),"")</f>
        <v/>
      </c>
      <c r="E161" s="10" t="str">
        <f ca="1">IFERROR(_xludf.XLOOKUP(C161,STUDENTS!$A$5:$A$204,STUDENTS!$L$5:$L$204,""),"")</f>
        <v/>
      </c>
      <c r="F161" s="10" t="str">
        <f t="shared" si="7"/>
        <v/>
      </c>
      <c r="G161" s="8"/>
      <c r="H161" s="11" t="str">
        <f>IF(B161="","",IF(OR(F161="Saturday",F161="Sunday"),SETTINGS!$B$11,IF(G161="Vacation",SETTINGS!$B$13,0)))</f>
        <v/>
      </c>
      <c r="I161" s="12" t="str">
        <f t="shared" si="8"/>
        <v/>
      </c>
      <c r="J161" s="8"/>
    </row>
    <row r="162" spans="1:10" x14ac:dyDescent="0.2">
      <c r="A162" s="7" t="str">
        <f t="shared" si="6"/>
        <v/>
      </c>
      <c r="B162" s="9"/>
      <c r="C162" s="8"/>
      <c r="D162" s="10" t="str">
        <f ca="1">IFERROR(_xludf.XLOOKUP(C162,STUDENTS!$A$5:$A$204,STUDENTS!$C$5:$C$204,""),"")</f>
        <v/>
      </c>
      <c r="E162" s="10" t="str">
        <f ca="1">IFERROR(_xludf.XLOOKUP(C162,STUDENTS!$A$5:$A$204,STUDENTS!$L$5:$L$204,""),"")</f>
        <v/>
      </c>
      <c r="F162" s="10" t="str">
        <f t="shared" si="7"/>
        <v/>
      </c>
      <c r="G162" s="8"/>
      <c r="H162" s="11" t="str">
        <f>IF(B162="","",IF(OR(F162="Saturday",F162="Sunday"),SETTINGS!$B$11,IF(G162="Vacation",SETTINGS!$B$13,0)))</f>
        <v/>
      </c>
      <c r="I162" s="12" t="str">
        <f t="shared" si="8"/>
        <v/>
      </c>
      <c r="J162" s="8"/>
    </row>
    <row r="163" spans="1:10" x14ac:dyDescent="0.2">
      <c r="A163" s="7" t="str">
        <f t="shared" si="6"/>
        <v/>
      </c>
      <c r="B163" s="9"/>
      <c r="C163" s="8"/>
      <c r="D163" s="10" t="str">
        <f ca="1">IFERROR(_xludf.XLOOKUP(C163,STUDENTS!$A$5:$A$204,STUDENTS!$C$5:$C$204,""),"")</f>
        <v/>
      </c>
      <c r="E163" s="10" t="str">
        <f ca="1">IFERROR(_xludf.XLOOKUP(C163,STUDENTS!$A$5:$A$204,STUDENTS!$L$5:$L$204,""),"")</f>
        <v/>
      </c>
      <c r="F163" s="10" t="str">
        <f t="shared" si="7"/>
        <v/>
      </c>
      <c r="G163" s="8"/>
      <c r="H163" s="11" t="str">
        <f>IF(B163="","",IF(OR(F163="Saturday",F163="Sunday"),SETTINGS!$B$11,IF(G163="Vacation",SETTINGS!$B$13,0)))</f>
        <v/>
      </c>
      <c r="I163" s="12" t="str">
        <f t="shared" si="8"/>
        <v/>
      </c>
      <c r="J163" s="8"/>
    </row>
    <row r="164" spans="1:10" x14ac:dyDescent="0.2">
      <c r="A164" s="7" t="str">
        <f t="shared" si="6"/>
        <v/>
      </c>
      <c r="B164" s="9"/>
      <c r="C164" s="8"/>
      <c r="D164" s="10" t="str">
        <f ca="1">IFERROR(_xludf.XLOOKUP(C164,STUDENTS!$A$5:$A$204,STUDENTS!$C$5:$C$204,""),"")</f>
        <v/>
      </c>
      <c r="E164" s="10" t="str">
        <f ca="1">IFERROR(_xludf.XLOOKUP(C164,STUDENTS!$A$5:$A$204,STUDENTS!$L$5:$L$204,""),"")</f>
        <v/>
      </c>
      <c r="F164" s="10" t="str">
        <f t="shared" si="7"/>
        <v/>
      </c>
      <c r="G164" s="8"/>
      <c r="H164" s="11" t="str">
        <f>IF(B164="","",IF(OR(F164="Saturday",F164="Sunday"),SETTINGS!$B$11,IF(G164="Vacation",SETTINGS!$B$13,0)))</f>
        <v/>
      </c>
      <c r="I164" s="12" t="str">
        <f t="shared" si="8"/>
        <v/>
      </c>
      <c r="J164" s="8"/>
    </row>
    <row r="165" spans="1:10" x14ac:dyDescent="0.2">
      <c r="A165" s="7" t="str">
        <f t="shared" si="6"/>
        <v/>
      </c>
      <c r="B165" s="9"/>
      <c r="C165" s="8"/>
      <c r="D165" s="10" t="str">
        <f ca="1">IFERROR(_xludf.XLOOKUP(C165,STUDENTS!$A$5:$A$204,STUDENTS!$C$5:$C$204,""),"")</f>
        <v/>
      </c>
      <c r="E165" s="10" t="str">
        <f ca="1">IFERROR(_xludf.XLOOKUP(C165,STUDENTS!$A$5:$A$204,STUDENTS!$L$5:$L$204,""),"")</f>
        <v/>
      </c>
      <c r="F165" s="10" t="str">
        <f t="shared" si="7"/>
        <v/>
      </c>
      <c r="G165" s="8"/>
      <c r="H165" s="11" t="str">
        <f>IF(B165="","",IF(OR(F165="Saturday",F165="Sunday"),SETTINGS!$B$11,IF(G165="Vacation",SETTINGS!$B$13,0)))</f>
        <v/>
      </c>
      <c r="I165" s="12" t="str">
        <f t="shared" si="8"/>
        <v/>
      </c>
      <c r="J165" s="8"/>
    </row>
    <row r="166" spans="1:10" x14ac:dyDescent="0.2">
      <c r="A166" s="7" t="str">
        <f t="shared" si="6"/>
        <v/>
      </c>
      <c r="B166" s="9"/>
      <c r="C166" s="8"/>
      <c r="D166" s="10" t="str">
        <f ca="1">IFERROR(_xludf.XLOOKUP(C166,STUDENTS!$A$5:$A$204,STUDENTS!$C$5:$C$204,""),"")</f>
        <v/>
      </c>
      <c r="E166" s="10" t="str">
        <f ca="1">IFERROR(_xludf.XLOOKUP(C166,STUDENTS!$A$5:$A$204,STUDENTS!$L$5:$L$204,""),"")</f>
        <v/>
      </c>
      <c r="F166" s="10" t="str">
        <f t="shared" si="7"/>
        <v/>
      </c>
      <c r="G166" s="8"/>
      <c r="H166" s="11" t="str">
        <f>IF(B166="","",IF(OR(F166="Saturday",F166="Sunday"),SETTINGS!$B$11,IF(G166="Vacation",SETTINGS!$B$13,0)))</f>
        <v/>
      </c>
      <c r="I166" s="12" t="str">
        <f t="shared" si="8"/>
        <v/>
      </c>
      <c r="J166" s="8"/>
    </row>
    <row r="167" spans="1:10" x14ac:dyDescent="0.2">
      <c r="A167" s="7" t="str">
        <f t="shared" si="6"/>
        <v/>
      </c>
      <c r="B167" s="9"/>
      <c r="C167" s="8"/>
      <c r="D167" s="10" t="str">
        <f ca="1">IFERROR(_xludf.XLOOKUP(C167,STUDENTS!$A$5:$A$204,STUDENTS!$C$5:$C$204,""),"")</f>
        <v/>
      </c>
      <c r="E167" s="10" t="str">
        <f ca="1">IFERROR(_xludf.XLOOKUP(C167,STUDENTS!$A$5:$A$204,STUDENTS!$L$5:$L$204,""),"")</f>
        <v/>
      </c>
      <c r="F167" s="10" t="str">
        <f t="shared" si="7"/>
        <v/>
      </c>
      <c r="G167" s="8"/>
      <c r="H167" s="11" t="str">
        <f>IF(B167="","",IF(OR(F167="Saturday",F167="Sunday"),SETTINGS!$B$11,IF(G167="Vacation",SETTINGS!$B$13,0)))</f>
        <v/>
      </c>
      <c r="I167" s="12" t="str">
        <f t="shared" si="8"/>
        <v/>
      </c>
      <c r="J167" s="8"/>
    </row>
    <row r="168" spans="1:10" x14ac:dyDescent="0.2">
      <c r="A168" s="7" t="str">
        <f t="shared" si="6"/>
        <v/>
      </c>
      <c r="B168" s="9"/>
      <c r="C168" s="8"/>
      <c r="D168" s="10" t="str">
        <f ca="1">IFERROR(_xludf.XLOOKUP(C168,STUDENTS!$A$5:$A$204,STUDENTS!$C$5:$C$204,""),"")</f>
        <v/>
      </c>
      <c r="E168" s="10" t="str">
        <f ca="1">IFERROR(_xludf.XLOOKUP(C168,STUDENTS!$A$5:$A$204,STUDENTS!$L$5:$L$204,""),"")</f>
        <v/>
      </c>
      <c r="F168" s="10" t="str">
        <f t="shared" si="7"/>
        <v/>
      </c>
      <c r="G168" s="8"/>
      <c r="H168" s="11" t="str">
        <f>IF(B168="","",IF(OR(F168="Saturday",F168="Sunday"),SETTINGS!$B$11,IF(G168="Vacation",SETTINGS!$B$13,0)))</f>
        <v/>
      </c>
      <c r="I168" s="12" t="str">
        <f t="shared" si="8"/>
        <v/>
      </c>
      <c r="J168" s="8"/>
    </row>
    <row r="169" spans="1:10" x14ac:dyDescent="0.2">
      <c r="A169" s="7" t="str">
        <f t="shared" si="6"/>
        <v/>
      </c>
      <c r="B169" s="9"/>
      <c r="C169" s="8"/>
      <c r="D169" s="10" t="str">
        <f ca="1">IFERROR(_xludf.XLOOKUP(C169,STUDENTS!$A$5:$A$204,STUDENTS!$C$5:$C$204,""),"")</f>
        <v/>
      </c>
      <c r="E169" s="10" t="str">
        <f ca="1">IFERROR(_xludf.XLOOKUP(C169,STUDENTS!$A$5:$A$204,STUDENTS!$L$5:$L$204,""),"")</f>
        <v/>
      </c>
      <c r="F169" s="10" t="str">
        <f t="shared" si="7"/>
        <v/>
      </c>
      <c r="G169" s="8"/>
      <c r="H169" s="11" t="str">
        <f>IF(B169="","",IF(OR(F169="Saturday",F169="Sunday"),SETTINGS!$B$11,IF(G169="Vacation",SETTINGS!$B$13,0)))</f>
        <v/>
      </c>
      <c r="I169" s="12" t="str">
        <f t="shared" si="8"/>
        <v/>
      </c>
      <c r="J169" s="8"/>
    </row>
    <row r="170" spans="1:10" x14ac:dyDescent="0.2">
      <c r="A170" s="7" t="str">
        <f t="shared" si="6"/>
        <v/>
      </c>
      <c r="B170" s="9"/>
      <c r="C170" s="8"/>
      <c r="D170" s="10" t="str">
        <f ca="1">IFERROR(_xludf.XLOOKUP(C170,STUDENTS!$A$5:$A$204,STUDENTS!$C$5:$C$204,""),"")</f>
        <v/>
      </c>
      <c r="E170" s="10" t="str">
        <f ca="1">IFERROR(_xludf.XLOOKUP(C170,STUDENTS!$A$5:$A$204,STUDENTS!$L$5:$L$204,""),"")</f>
        <v/>
      </c>
      <c r="F170" s="10" t="str">
        <f t="shared" si="7"/>
        <v/>
      </c>
      <c r="G170" s="8"/>
      <c r="H170" s="11" t="str">
        <f>IF(B170="","",IF(OR(F170="Saturday",F170="Sunday"),SETTINGS!$B$11,IF(G170="Vacation",SETTINGS!$B$13,0)))</f>
        <v/>
      </c>
      <c r="I170" s="12" t="str">
        <f t="shared" si="8"/>
        <v/>
      </c>
      <c r="J170" s="8"/>
    </row>
    <row r="171" spans="1:10" x14ac:dyDescent="0.2">
      <c r="A171" s="7" t="str">
        <f t="shared" si="6"/>
        <v/>
      </c>
      <c r="B171" s="9"/>
      <c r="C171" s="8"/>
      <c r="D171" s="10" t="str">
        <f ca="1">IFERROR(_xludf.XLOOKUP(C171,STUDENTS!$A$5:$A$204,STUDENTS!$C$5:$C$204,""),"")</f>
        <v/>
      </c>
      <c r="E171" s="10" t="str">
        <f ca="1">IFERROR(_xludf.XLOOKUP(C171,STUDENTS!$A$5:$A$204,STUDENTS!$L$5:$L$204,""),"")</f>
        <v/>
      </c>
      <c r="F171" s="10" t="str">
        <f t="shared" si="7"/>
        <v/>
      </c>
      <c r="G171" s="8"/>
      <c r="H171" s="11" t="str">
        <f>IF(B171="","",IF(OR(F171="Saturday",F171="Sunday"),SETTINGS!$B$11,IF(G171="Vacation",SETTINGS!$B$13,0)))</f>
        <v/>
      </c>
      <c r="I171" s="12" t="str">
        <f t="shared" si="8"/>
        <v/>
      </c>
      <c r="J171" s="8"/>
    </row>
    <row r="172" spans="1:10" x14ac:dyDescent="0.2">
      <c r="A172" s="7" t="str">
        <f t="shared" si="6"/>
        <v/>
      </c>
      <c r="B172" s="9"/>
      <c r="C172" s="8"/>
      <c r="D172" s="10" t="str">
        <f ca="1">IFERROR(_xludf.XLOOKUP(C172,STUDENTS!$A$5:$A$204,STUDENTS!$C$5:$C$204,""),"")</f>
        <v/>
      </c>
      <c r="E172" s="10" t="str">
        <f ca="1">IFERROR(_xludf.XLOOKUP(C172,STUDENTS!$A$5:$A$204,STUDENTS!$L$5:$L$204,""),"")</f>
        <v/>
      </c>
      <c r="F172" s="10" t="str">
        <f t="shared" si="7"/>
        <v/>
      </c>
      <c r="G172" s="8"/>
      <c r="H172" s="11" t="str">
        <f>IF(B172="","",IF(OR(F172="Saturday",F172="Sunday"),SETTINGS!$B$11,IF(G172="Vacation",SETTINGS!$B$13,0)))</f>
        <v/>
      </c>
      <c r="I172" s="12" t="str">
        <f t="shared" si="8"/>
        <v/>
      </c>
      <c r="J172" s="8"/>
    </row>
    <row r="173" spans="1:10" x14ac:dyDescent="0.2">
      <c r="A173" s="7" t="str">
        <f t="shared" si="6"/>
        <v/>
      </c>
      <c r="B173" s="9"/>
      <c r="C173" s="8"/>
      <c r="D173" s="10" t="str">
        <f ca="1">IFERROR(_xludf.XLOOKUP(C173,STUDENTS!$A$5:$A$204,STUDENTS!$C$5:$C$204,""),"")</f>
        <v/>
      </c>
      <c r="E173" s="10" t="str">
        <f ca="1">IFERROR(_xludf.XLOOKUP(C173,STUDENTS!$A$5:$A$204,STUDENTS!$L$5:$L$204,""),"")</f>
        <v/>
      </c>
      <c r="F173" s="10" t="str">
        <f t="shared" si="7"/>
        <v/>
      </c>
      <c r="G173" s="8"/>
      <c r="H173" s="11" t="str">
        <f>IF(B173="","",IF(OR(F173="Saturday",F173="Sunday"),SETTINGS!$B$11,IF(G173="Vacation",SETTINGS!$B$13,0)))</f>
        <v/>
      </c>
      <c r="I173" s="12" t="str">
        <f t="shared" si="8"/>
        <v/>
      </c>
      <c r="J173" s="8"/>
    </row>
    <row r="174" spans="1:10" x14ac:dyDescent="0.2">
      <c r="A174" s="7" t="str">
        <f t="shared" si="6"/>
        <v/>
      </c>
      <c r="B174" s="9"/>
      <c r="C174" s="8"/>
      <c r="D174" s="10" t="str">
        <f ca="1">IFERROR(_xludf.XLOOKUP(C174,STUDENTS!$A$5:$A$204,STUDENTS!$C$5:$C$204,""),"")</f>
        <v/>
      </c>
      <c r="E174" s="10" t="str">
        <f ca="1">IFERROR(_xludf.XLOOKUP(C174,STUDENTS!$A$5:$A$204,STUDENTS!$L$5:$L$204,""),"")</f>
        <v/>
      </c>
      <c r="F174" s="10" t="str">
        <f t="shared" si="7"/>
        <v/>
      </c>
      <c r="G174" s="8"/>
      <c r="H174" s="11" t="str">
        <f>IF(B174="","",IF(OR(F174="Saturday",F174="Sunday"),SETTINGS!$B$11,IF(G174="Vacation",SETTINGS!$B$13,0)))</f>
        <v/>
      </c>
      <c r="I174" s="12" t="str">
        <f t="shared" si="8"/>
        <v/>
      </c>
      <c r="J174" s="8"/>
    </row>
    <row r="175" spans="1:10" x14ac:dyDescent="0.2">
      <c r="A175" s="7" t="str">
        <f t="shared" si="6"/>
        <v/>
      </c>
      <c r="B175" s="9"/>
      <c r="C175" s="8"/>
      <c r="D175" s="10" t="str">
        <f ca="1">IFERROR(_xludf.XLOOKUP(C175,STUDENTS!$A$5:$A$204,STUDENTS!$C$5:$C$204,""),"")</f>
        <v/>
      </c>
      <c r="E175" s="10" t="str">
        <f ca="1">IFERROR(_xludf.XLOOKUP(C175,STUDENTS!$A$5:$A$204,STUDENTS!$L$5:$L$204,""),"")</f>
        <v/>
      </c>
      <c r="F175" s="10" t="str">
        <f t="shared" si="7"/>
        <v/>
      </c>
      <c r="G175" s="8"/>
      <c r="H175" s="11" t="str">
        <f>IF(B175="","",IF(OR(F175="Saturday",F175="Sunday"),SETTINGS!$B$11,IF(G175="Vacation",SETTINGS!$B$13,0)))</f>
        <v/>
      </c>
      <c r="I175" s="12" t="str">
        <f t="shared" si="8"/>
        <v/>
      </c>
      <c r="J175" s="8"/>
    </row>
    <row r="176" spans="1:10" x14ac:dyDescent="0.2">
      <c r="A176" s="7" t="str">
        <f t="shared" si="6"/>
        <v/>
      </c>
      <c r="B176" s="9"/>
      <c r="C176" s="8"/>
      <c r="D176" s="10" t="str">
        <f ca="1">IFERROR(_xludf.XLOOKUP(C176,STUDENTS!$A$5:$A$204,STUDENTS!$C$5:$C$204,""),"")</f>
        <v/>
      </c>
      <c r="E176" s="10" t="str">
        <f ca="1">IFERROR(_xludf.XLOOKUP(C176,STUDENTS!$A$5:$A$204,STUDENTS!$L$5:$L$204,""),"")</f>
        <v/>
      </c>
      <c r="F176" s="10" t="str">
        <f t="shared" si="7"/>
        <v/>
      </c>
      <c r="G176" s="8"/>
      <c r="H176" s="11" t="str">
        <f>IF(B176="","",IF(OR(F176="Saturday",F176="Sunday"),SETTINGS!$B$11,IF(G176="Vacation",SETTINGS!$B$13,0)))</f>
        <v/>
      </c>
      <c r="I176" s="12" t="str">
        <f t="shared" si="8"/>
        <v/>
      </c>
      <c r="J176" s="8"/>
    </row>
    <row r="177" spans="1:10" x14ac:dyDescent="0.2">
      <c r="A177" s="7" t="str">
        <f t="shared" si="6"/>
        <v/>
      </c>
      <c r="B177" s="9"/>
      <c r="C177" s="8"/>
      <c r="D177" s="10" t="str">
        <f ca="1">IFERROR(_xludf.XLOOKUP(C177,STUDENTS!$A$5:$A$204,STUDENTS!$C$5:$C$204,""),"")</f>
        <v/>
      </c>
      <c r="E177" s="10" t="str">
        <f ca="1">IFERROR(_xludf.XLOOKUP(C177,STUDENTS!$A$5:$A$204,STUDENTS!$L$5:$L$204,""),"")</f>
        <v/>
      </c>
      <c r="F177" s="10" t="str">
        <f t="shared" si="7"/>
        <v/>
      </c>
      <c r="G177" s="8"/>
      <c r="H177" s="11" t="str">
        <f>IF(B177="","",IF(OR(F177="Saturday",F177="Sunday"),SETTINGS!$B$11,IF(G177="Vacation",SETTINGS!$B$13,0)))</f>
        <v/>
      </c>
      <c r="I177" s="12" t="str">
        <f t="shared" si="8"/>
        <v/>
      </c>
      <c r="J177" s="8"/>
    </row>
    <row r="178" spans="1:10" x14ac:dyDescent="0.2">
      <c r="A178" s="7" t="str">
        <f t="shared" si="6"/>
        <v/>
      </c>
      <c r="B178" s="9"/>
      <c r="C178" s="8"/>
      <c r="D178" s="10" t="str">
        <f ca="1">IFERROR(_xludf.XLOOKUP(C178,STUDENTS!$A$5:$A$204,STUDENTS!$C$5:$C$204,""),"")</f>
        <v/>
      </c>
      <c r="E178" s="10" t="str">
        <f ca="1">IFERROR(_xludf.XLOOKUP(C178,STUDENTS!$A$5:$A$204,STUDENTS!$L$5:$L$204,""),"")</f>
        <v/>
      </c>
      <c r="F178" s="10" t="str">
        <f t="shared" si="7"/>
        <v/>
      </c>
      <c r="G178" s="8"/>
      <c r="H178" s="11" t="str">
        <f>IF(B178="","",IF(OR(F178="Saturday",F178="Sunday"),SETTINGS!$B$11,IF(G178="Vacation",SETTINGS!$B$13,0)))</f>
        <v/>
      </c>
      <c r="I178" s="12" t="str">
        <f t="shared" si="8"/>
        <v/>
      </c>
      <c r="J178" s="8"/>
    </row>
    <row r="179" spans="1:10" x14ac:dyDescent="0.2">
      <c r="A179" s="7" t="str">
        <f t="shared" si="6"/>
        <v/>
      </c>
      <c r="B179" s="9"/>
      <c r="C179" s="8"/>
      <c r="D179" s="10" t="str">
        <f ca="1">IFERROR(_xludf.XLOOKUP(C179,STUDENTS!$A$5:$A$204,STUDENTS!$C$5:$C$204,""),"")</f>
        <v/>
      </c>
      <c r="E179" s="10" t="str">
        <f ca="1">IFERROR(_xludf.XLOOKUP(C179,STUDENTS!$A$5:$A$204,STUDENTS!$L$5:$L$204,""),"")</f>
        <v/>
      </c>
      <c r="F179" s="10" t="str">
        <f t="shared" si="7"/>
        <v/>
      </c>
      <c r="G179" s="8"/>
      <c r="H179" s="11" t="str">
        <f>IF(B179="","",IF(OR(F179="Saturday",F179="Sunday"),SETTINGS!$B$11,IF(G179="Vacation",SETTINGS!$B$13,0)))</f>
        <v/>
      </c>
      <c r="I179" s="12" t="str">
        <f t="shared" si="8"/>
        <v/>
      </c>
      <c r="J179" s="8"/>
    </row>
    <row r="180" spans="1:10" x14ac:dyDescent="0.2">
      <c r="A180" s="7" t="str">
        <f t="shared" si="6"/>
        <v/>
      </c>
      <c r="B180" s="9"/>
      <c r="C180" s="8"/>
      <c r="D180" s="10" t="str">
        <f ca="1">IFERROR(_xludf.XLOOKUP(C180,STUDENTS!$A$5:$A$204,STUDENTS!$C$5:$C$204,""),"")</f>
        <v/>
      </c>
      <c r="E180" s="10" t="str">
        <f ca="1">IFERROR(_xludf.XLOOKUP(C180,STUDENTS!$A$5:$A$204,STUDENTS!$L$5:$L$204,""),"")</f>
        <v/>
      </c>
      <c r="F180" s="10" t="str">
        <f t="shared" si="7"/>
        <v/>
      </c>
      <c r="G180" s="8"/>
      <c r="H180" s="11" t="str">
        <f>IF(B180="","",IF(OR(F180="Saturday",F180="Sunday"),SETTINGS!$B$11,IF(G180="Vacation",SETTINGS!$B$13,0)))</f>
        <v/>
      </c>
      <c r="I180" s="12" t="str">
        <f t="shared" si="8"/>
        <v/>
      </c>
      <c r="J180" s="8"/>
    </row>
    <row r="181" spans="1:10" x14ac:dyDescent="0.2">
      <c r="A181" s="7" t="str">
        <f t="shared" si="6"/>
        <v/>
      </c>
      <c r="B181" s="9"/>
      <c r="C181" s="8"/>
      <c r="D181" s="10" t="str">
        <f ca="1">IFERROR(_xludf.XLOOKUP(C181,STUDENTS!$A$5:$A$204,STUDENTS!$C$5:$C$204,""),"")</f>
        <v/>
      </c>
      <c r="E181" s="10" t="str">
        <f ca="1">IFERROR(_xludf.XLOOKUP(C181,STUDENTS!$A$5:$A$204,STUDENTS!$L$5:$L$204,""),"")</f>
        <v/>
      </c>
      <c r="F181" s="10" t="str">
        <f t="shared" si="7"/>
        <v/>
      </c>
      <c r="G181" s="8"/>
      <c r="H181" s="11" t="str">
        <f>IF(B181="","",IF(OR(F181="Saturday",F181="Sunday"),SETTINGS!$B$11,IF(G181="Vacation",SETTINGS!$B$13,0)))</f>
        <v/>
      </c>
      <c r="I181" s="12" t="str">
        <f t="shared" si="8"/>
        <v/>
      </c>
      <c r="J181" s="8"/>
    </row>
    <row r="182" spans="1:10" x14ac:dyDescent="0.2">
      <c r="A182" s="7" t="str">
        <f t="shared" si="6"/>
        <v/>
      </c>
      <c r="B182" s="9"/>
      <c r="C182" s="8"/>
      <c r="D182" s="10" t="str">
        <f ca="1">IFERROR(_xludf.XLOOKUP(C182,STUDENTS!$A$5:$A$204,STUDENTS!$C$5:$C$204,""),"")</f>
        <v/>
      </c>
      <c r="E182" s="10" t="str">
        <f ca="1">IFERROR(_xludf.XLOOKUP(C182,STUDENTS!$A$5:$A$204,STUDENTS!$L$5:$L$204,""),"")</f>
        <v/>
      </c>
      <c r="F182" s="10" t="str">
        <f t="shared" si="7"/>
        <v/>
      </c>
      <c r="G182" s="8"/>
      <c r="H182" s="11" t="str">
        <f>IF(B182="","",IF(OR(F182="Saturday",F182="Sunday"),SETTINGS!$B$11,IF(G182="Vacation",SETTINGS!$B$13,0)))</f>
        <v/>
      </c>
      <c r="I182" s="12" t="str">
        <f t="shared" si="8"/>
        <v/>
      </c>
      <c r="J182" s="8"/>
    </row>
    <row r="183" spans="1:10" x14ac:dyDescent="0.2">
      <c r="A183" s="7" t="str">
        <f t="shared" si="6"/>
        <v/>
      </c>
      <c r="B183" s="9"/>
      <c r="C183" s="8"/>
      <c r="D183" s="10" t="str">
        <f ca="1">IFERROR(_xludf.XLOOKUP(C183,STUDENTS!$A$5:$A$204,STUDENTS!$C$5:$C$204,""),"")</f>
        <v/>
      </c>
      <c r="E183" s="10" t="str">
        <f ca="1">IFERROR(_xludf.XLOOKUP(C183,STUDENTS!$A$5:$A$204,STUDENTS!$L$5:$L$204,""),"")</f>
        <v/>
      </c>
      <c r="F183" s="10" t="str">
        <f t="shared" si="7"/>
        <v/>
      </c>
      <c r="G183" s="8"/>
      <c r="H183" s="11" t="str">
        <f>IF(B183="","",IF(OR(F183="Saturday",F183="Sunday"),SETTINGS!$B$11,IF(G183="Vacation",SETTINGS!$B$13,0)))</f>
        <v/>
      </c>
      <c r="I183" s="12" t="str">
        <f t="shared" si="8"/>
        <v/>
      </c>
      <c r="J183" s="8"/>
    </row>
    <row r="184" spans="1:10" x14ac:dyDescent="0.2">
      <c r="A184" s="7" t="str">
        <f t="shared" si="6"/>
        <v/>
      </c>
      <c r="B184" s="9"/>
      <c r="C184" s="8"/>
      <c r="D184" s="10" t="str">
        <f ca="1">IFERROR(_xludf.XLOOKUP(C184,STUDENTS!$A$5:$A$204,STUDENTS!$C$5:$C$204,""),"")</f>
        <v/>
      </c>
      <c r="E184" s="10" t="str">
        <f ca="1">IFERROR(_xludf.XLOOKUP(C184,STUDENTS!$A$5:$A$204,STUDENTS!$L$5:$L$204,""),"")</f>
        <v/>
      </c>
      <c r="F184" s="10" t="str">
        <f t="shared" si="7"/>
        <v/>
      </c>
      <c r="G184" s="8"/>
      <c r="H184" s="11" t="str">
        <f>IF(B184="","",IF(OR(F184="Saturday",F184="Sunday"),SETTINGS!$B$11,IF(G184="Vacation",SETTINGS!$B$13,0)))</f>
        <v/>
      </c>
      <c r="I184" s="12" t="str">
        <f t="shared" si="8"/>
        <v/>
      </c>
      <c r="J184" s="8"/>
    </row>
    <row r="185" spans="1:10" x14ac:dyDescent="0.2">
      <c r="A185" s="7" t="str">
        <f t="shared" si="6"/>
        <v/>
      </c>
      <c r="B185" s="9"/>
      <c r="C185" s="8"/>
      <c r="D185" s="10" t="str">
        <f ca="1">IFERROR(_xludf.XLOOKUP(C185,STUDENTS!$A$5:$A$204,STUDENTS!$C$5:$C$204,""),"")</f>
        <v/>
      </c>
      <c r="E185" s="10" t="str">
        <f ca="1">IFERROR(_xludf.XLOOKUP(C185,STUDENTS!$A$5:$A$204,STUDENTS!$L$5:$L$204,""),"")</f>
        <v/>
      </c>
      <c r="F185" s="10" t="str">
        <f t="shared" si="7"/>
        <v/>
      </c>
      <c r="G185" s="8"/>
      <c r="H185" s="11" t="str">
        <f>IF(B185="","",IF(OR(F185="Saturday",F185="Sunday"),SETTINGS!$B$11,IF(G185="Vacation",SETTINGS!$B$13,0)))</f>
        <v/>
      </c>
      <c r="I185" s="12" t="str">
        <f t="shared" si="8"/>
        <v/>
      </c>
      <c r="J185" s="8"/>
    </row>
    <row r="186" spans="1:10" x14ac:dyDescent="0.2">
      <c r="A186" s="7" t="str">
        <f t="shared" si="6"/>
        <v/>
      </c>
      <c r="B186" s="9"/>
      <c r="C186" s="8"/>
      <c r="D186" s="10" t="str">
        <f ca="1">IFERROR(_xludf.XLOOKUP(C186,STUDENTS!$A$5:$A$204,STUDENTS!$C$5:$C$204,""),"")</f>
        <v/>
      </c>
      <c r="E186" s="10" t="str">
        <f ca="1">IFERROR(_xludf.XLOOKUP(C186,STUDENTS!$A$5:$A$204,STUDENTS!$L$5:$L$204,""),"")</f>
        <v/>
      </c>
      <c r="F186" s="10" t="str">
        <f t="shared" si="7"/>
        <v/>
      </c>
      <c r="G186" s="8"/>
      <c r="H186" s="11" t="str">
        <f>IF(B186="","",IF(OR(F186="Saturday",F186="Sunday"),SETTINGS!$B$11,IF(G186="Vacation",SETTINGS!$B$13,0)))</f>
        <v/>
      </c>
      <c r="I186" s="12" t="str">
        <f t="shared" si="8"/>
        <v/>
      </c>
      <c r="J186" s="8"/>
    </row>
    <row r="187" spans="1:10" x14ac:dyDescent="0.2">
      <c r="A187" s="7" t="str">
        <f t="shared" si="6"/>
        <v/>
      </c>
      <c r="B187" s="9"/>
      <c r="C187" s="8"/>
      <c r="D187" s="10" t="str">
        <f ca="1">IFERROR(_xludf.XLOOKUP(C187,STUDENTS!$A$5:$A$204,STUDENTS!$C$5:$C$204,""),"")</f>
        <v/>
      </c>
      <c r="E187" s="10" t="str">
        <f ca="1">IFERROR(_xludf.XLOOKUP(C187,STUDENTS!$A$5:$A$204,STUDENTS!$L$5:$L$204,""),"")</f>
        <v/>
      </c>
      <c r="F187" s="10" t="str">
        <f t="shared" si="7"/>
        <v/>
      </c>
      <c r="G187" s="8"/>
      <c r="H187" s="11" t="str">
        <f>IF(B187="","",IF(OR(F187="Saturday",F187="Sunday"),SETTINGS!$B$11,IF(G187="Vacation",SETTINGS!$B$13,0)))</f>
        <v/>
      </c>
      <c r="I187" s="12" t="str">
        <f t="shared" si="8"/>
        <v/>
      </c>
      <c r="J187" s="8"/>
    </row>
    <row r="188" spans="1:10" x14ac:dyDescent="0.2">
      <c r="A188" s="7" t="str">
        <f t="shared" si="6"/>
        <v/>
      </c>
      <c r="B188" s="9"/>
      <c r="C188" s="8"/>
      <c r="D188" s="10" t="str">
        <f ca="1">IFERROR(_xludf.XLOOKUP(C188,STUDENTS!$A$5:$A$204,STUDENTS!$C$5:$C$204,""),"")</f>
        <v/>
      </c>
      <c r="E188" s="10" t="str">
        <f ca="1">IFERROR(_xludf.XLOOKUP(C188,STUDENTS!$A$5:$A$204,STUDENTS!$L$5:$L$204,""),"")</f>
        <v/>
      </c>
      <c r="F188" s="10" t="str">
        <f t="shared" si="7"/>
        <v/>
      </c>
      <c r="G188" s="8"/>
      <c r="H188" s="11" t="str">
        <f>IF(B188="","",IF(OR(F188="Saturday",F188="Sunday"),SETTINGS!$B$11,IF(G188="Vacation",SETTINGS!$B$13,0)))</f>
        <v/>
      </c>
      <c r="I188" s="12" t="str">
        <f t="shared" si="8"/>
        <v/>
      </c>
      <c r="J188" s="8"/>
    </row>
    <row r="189" spans="1:10" x14ac:dyDescent="0.2">
      <c r="A189" s="7" t="str">
        <f t="shared" si="6"/>
        <v/>
      </c>
      <c r="B189" s="9"/>
      <c r="C189" s="8"/>
      <c r="D189" s="10" t="str">
        <f ca="1">IFERROR(_xludf.XLOOKUP(C189,STUDENTS!$A$5:$A$204,STUDENTS!$C$5:$C$204,""),"")</f>
        <v/>
      </c>
      <c r="E189" s="10" t="str">
        <f ca="1">IFERROR(_xludf.XLOOKUP(C189,STUDENTS!$A$5:$A$204,STUDENTS!$L$5:$L$204,""),"")</f>
        <v/>
      </c>
      <c r="F189" s="10" t="str">
        <f t="shared" si="7"/>
        <v/>
      </c>
      <c r="G189" s="8"/>
      <c r="H189" s="11" t="str">
        <f>IF(B189="","",IF(OR(F189="Saturday",F189="Sunday"),SETTINGS!$B$11,IF(G189="Vacation",SETTINGS!$B$13,0)))</f>
        <v/>
      </c>
      <c r="I189" s="12" t="str">
        <f t="shared" si="8"/>
        <v/>
      </c>
      <c r="J189" s="8"/>
    </row>
    <row r="190" spans="1:10" x14ac:dyDescent="0.2">
      <c r="A190" s="7" t="str">
        <f t="shared" si="6"/>
        <v/>
      </c>
      <c r="B190" s="9"/>
      <c r="C190" s="8"/>
      <c r="D190" s="10" t="str">
        <f ca="1">IFERROR(_xludf.XLOOKUP(C190,STUDENTS!$A$5:$A$204,STUDENTS!$C$5:$C$204,""),"")</f>
        <v/>
      </c>
      <c r="E190" s="10" t="str">
        <f ca="1">IFERROR(_xludf.XLOOKUP(C190,STUDENTS!$A$5:$A$204,STUDENTS!$L$5:$L$204,""),"")</f>
        <v/>
      </c>
      <c r="F190" s="10" t="str">
        <f t="shared" si="7"/>
        <v/>
      </c>
      <c r="G190" s="8"/>
      <c r="H190" s="11" t="str">
        <f>IF(B190="","",IF(OR(F190="Saturday",F190="Sunday"),SETTINGS!$B$11,IF(G190="Vacation",SETTINGS!$B$13,0)))</f>
        <v/>
      </c>
      <c r="I190" s="12" t="str">
        <f t="shared" si="8"/>
        <v/>
      </c>
      <c r="J190" s="8"/>
    </row>
    <row r="191" spans="1:10" x14ac:dyDescent="0.2">
      <c r="A191" s="7" t="str">
        <f t="shared" si="6"/>
        <v/>
      </c>
      <c r="B191" s="9"/>
      <c r="C191" s="8"/>
      <c r="D191" s="10" t="str">
        <f ca="1">IFERROR(_xludf.XLOOKUP(C191,STUDENTS!$A$5:$A$204,STUDENTS!$C$5:$C$204,""),"")</f>
        <v/>
      </c>
      <c r="E191" s="10" t="str">
        <f ca="1">IFERROR(_xludf.XLOOKUP(C191,STUDENTS!$A$5:$A$204,STUDENTS!$L$5:$L$204,""),"")</f>
        <v/>
      </c>
      <c r="F191" s="10" t="str">
        <f t="shared" si="7"/>
        <v/>
      </c>
      <c r="G191" s="8"/>
      <c r="H191" s="11" t="str">
        <f>IF(B191="","",IF(OR(F191="Saturday",F191="Sunday"),SETTINGS!$B$11,IF(G191="Vacation",SETTINGS!$B$13,0)))</f>
        <v/>
      </c>
      <c r="I191" s="12" t="str">
        <f t="shared" si="8"/>
        <v/>
      </c>
      <c r="J191" s="8"/>
    </row>
    <row r="192" spans="1:10" x14ac:dyDescent="0.2">
      <c r="A192" s="7" t="str">
        <f t="shared" si="6"/>
        <v/>
      </c>
      <c r="B192" s="9"/>
      <c r="C192" s="8"/>
      <c r="D192" s="10" t="str">
        <f ca="1">IFERROR(_xludf.XLOOKUP(C192,STUDENTS!$A$5:$A$204,STUDENTS!$C$5:$C$204,""),"")</f>
        <v/>
      </c>
      <c r="E192" s="10" t="str">
        <f ca="1">IFERROR(_xludf.XLOOKUP(C192,STUDENTS!$A$5:$A$204,STUDENTS!$L$5:$L$204,""),"")</f>
        <v/>
      </c>
      <c r="F192" s="10" t="str">
        <f t="shared" si="7"/>
        <v/>
      </c>
      <c r="G192" s="8"/>
      <c r="H192" s="11" t="str">
        <f>IF(B192="","",IF(OR(F192="Saturday",F192="Sunday"),SETTINGS!$B$11,IF(G192="Vacation",SETTINGS!$B$13,0)))</f>
        <v/>
      </c>
      <c r="I192" s="12" t="str">
        <f t="shared" si="8"/>
        <v/>
      </c>
      <c r="J192" s="8"/>
    </row>
    <row r="193" spans="1:10" x14ac:dyDescent="0.2">
      <c r="A193" s="7" t="str">
        <f t="shared" si="6"/>
        <v/>
      </c>
      <c r="B193" s="9"/>
      <c r="C193" s="8"/>
      <c r="D193" s="10" t="str">
        <f ca="1">IFERROR(_xludf.XLOOKUP(C193,STUDENTS!$A$5:$A$204,STUDENTS!$C$5:$C$204,""),"")</f>
        <v/>
      </c>
      <c r="E193" s="10" t="str">
        <f ca="1">IFERROR(_xludf.XLOOKUP(C193,STUDENTS!$A$5:$A$204,STUDENTS!$L$5:$L$204,""),"")</f>
        <v/>
      </c>
      <c r="F193" s="10" t="str">
        <f t="shared" si="7"/>
        <v/>
      </c>
      <c r="G193" s="8"/>
      <c r="H193" s="11" t="str">
        <f>IF(B193="","",IF(OR(F193="Saturday",F193="Sunday"),SETTINGS!$B$11,IF(G193="Vacation",SETTINGS!$B$13,0)))</f>
        <v/>
      </c>
      <c r="I193" s="12" t="str">
        <f t="shared" si="8"/>
        <v/>
      </c>
      <c r="J193" s="8"/>
    </row>
    <row r="194" spans="1:10" x14ac:dyDescent="0.2">
      <c r="A194" s="7" t="str">
        <f t="shared" si="6"/>
        <v/>
      </c>
      <c r="B194" s="9"/>
      <c r="C194" s="8"/>
      <c r="D194" s="10" t="str">
        <f ca="1">IFERROR(_xludf.XLOOKUP(C194,STUDENTS!$A$5:$A$204,STUDENTS!$C$5:$C$204,""),"")</f>
        <v/>
      </c>
      <c r="E194" s="10" t="str">
        <f ca="1">IFERROR(_xludf.XLOOKUP(C194,STUDENTS!$A$5:$A$204,STUDENTS!$L$5:$L$204,""),"")</f>
        <v/>
      </c>
      <c r="F194" s="10" t="str">
        <f t="shared" si="7"/>
        <v/>
      </c>
      <c r="G194" s="8"/>
      <c r="H194" s="11" t="str">
        <f>IF(B194="","",IF(OR(F194="Saturday",F194="Sunday"),SETTINGS!$B$11,IF(G194="Vacation",SETTINGS!$B$13,0)))</f>
        <v/>
      </c>
      <c r="I194" s="12" t="str">
        <f t="shared" si="8"/>
        <v/>
      </c>
      <c r="J194" s="8"/>
    </row>
    <row r="195" spans="1:10" x14ac:dyDescent="0.2">
      <c r="A195" s="7" t="str">
        <f t="shared" si="6"/>
        <v/>
      </c>
      <c r="B195" s="9"/>
      <c r="C195" s="8"/>
      <c r="D195" s="10" t="str">
        <f ca="1">IFERROR(_xludf.XLOOKUP(C195,STUDENTS!$A$5:$A$204,STUDENTS!$C$5:$C$204,""),"")</f>
        <v/>
      </c>
      <c r="E195" s="10" t="str">
        <f ca="1">IFERROR(_xludf.XLOOKUP(C195,STUDENTS!$A$5:$A$204,STUDENTS!$L$5:$L$204,""),"")</f>
        <v/>
      </c>
      <c r="F195" s="10" t="str">
        <f t="shared" si="7"/>
        <v/>
      </c>
      <c r="G195" s="8"/>
      <c r="H195" s="11" t="str">
        <f>IF(B195="","",IF(OR(F195="Saturday",F195="Sunday"),SETTINGS!$B$11,IF(G195="Vacation",SETTINGS!$B$13,0)))</f>
        <v/>
      </c>
      <c r="I195" s="12" t="str">
        <f t="shared" si="8"/>
        <v/>
      </c>
      <c r="J195" s="8"/>
    </row>
    <row r="196" spans="1:10" x14ac:dyDescent="0.2">
      <c r="A196" s="7" t="str">
        <f t="shared" si="6"/>
        <v/>
      </c>
      <c r="B196" s="9"/>
      <c r="C196" s="8"/>
      <c r="D196" s="10" t="str">
        <f ca="1">IFERROR(_xludf.XLOOKUP(C196,STUDENTS!$A$5:$A$204,STUDENTS!$C$5:$C$204,""),"")</f>
        <v/>
      </c>
      <c r="E196" s="10" t="str">
        <f ca="1">IFERROR(_xludf.XLOOKUP(C196,STUDENTS!$A$5:$A$204,STUDENTS!$L$5:$L$204,""),"")</f>
        <v/>
      </c>
      <c r="F196" s="10" t="str">
        <f t="shared" si="7"/>
        <v/>
      </c>
      <c r="G196" s="8"/>
      <c r="H196" s="11" t="str">
        <f>IF(B196="","",IF(OR(F196="Saturday",F196="Sunday"),SETTINGS!$B$11,IF(G196="Vacation",SETTINGS!$B$13,0)))</f>
        <v/>
      </c>
      <c r="I196" s="12" t="str">
        <f t="shared" si="8"/>
        <v/>
      </c>
      <c r="J196" s="8"/>
    </row>
    <row r="197" spans="1:10" x14ac:dyDescent="0.2">
      <c r="A197" s="7" t="str">
        <f t="shared" ref="A197:A260" si="9">IF(C197="","","F-"&amp;TEXT(ROW()-4,"00000"))</f>
        <v/>
      </c>
      <c r="B197" s="9"/>
      <c r="C197" s="8"/>
      <c r="D197" s="10" t="str">
        <f ca="1">IFERROR(_xludf.XLOOKUP(C197,STUDENTS!$A$5:$A$204,STUDENTS!$C$5:$C$204,""),"")</f>
        <v/>
      </c>
      <c r="E197" s="10" t="str">
        <f ca="1">IFERROR(_xludf.XLOOKUP(C197,STUDENTS!$A$5:$A$204,STUDENTS!$L$5:$L$204,""),"")</f>
        <v/>
      </c>
      <c r="F197" s="10" t="str">
        <f t="shared" ref="F197:F260" si="10">IF(B197="","",TEXT(B197,"dddd"))</f>
        <v/>
      </c>
      <c r="G197" s="8"/>
      <c r="H197" s="11" t="str">
        <f>IF(B197="","",IF(OR(F197="Saturday",F197="Sunday"),SETTINGS!$B$11,IF(G197="Vacation",SETTINGS!$B$13,0)))</f>
        <v/>
      </c>
      <c r="I197" s="12" t="str">
        <f t="shared" ref="I197:I260" si="11">IF(H197="","",H197)</f>
        <v/>
      </c>
      <c r="J197" s="8"/>
    </row>
    <row r="198" spans="1:10" x14ac:dyDescent="0.2">
      <c r="A198" s="7" t="str">
        <f t="shared" si="9"/>
        <v/>
      </c>
      <c r="B198" s="9"/>
      <c r="C198" s="8"/>
      <c r="D198" s="10" t="str">
        <f ca="1">IFERROR(_xludf.XLOOKUP(C198,STUDENTS!$A$5:$A$204,STUDENTS!$C$5:$C$204,""),"")</f>
        <v/>
      </c>
      <c r="E198" s="10" t="str">
        <f ca="1">IFERROR(_xludf.XLOOKUP(C198,STUDENTS!$A$5:$A$204,STUDENTS!$L$5:$L$204,""),"")</f>
        <v/>
      </c>
      <c r="F198" s="10" t="str">
        <f t="shared" si="10"/>
        <v/>
      </c>
      <c r="G198" s="8"/>
      <c r="H198" s="11" t="str">
        <f>IF(B198="","",IF(OR(F198="Saturday",F198="Sunday"),SETTINGS!$B$11,IF(G198="Vacation",SETTINGS!$B$13,0)))</f>
        <v/>
      </c>
      <c r="I198" s="12" t="str">
        <f t="shared" si="11"/>
        <v/>
      </c>
      <c r="J198" s="8"/>
    </row>
    <row r="199" spans="1:10" x14ac:dyDescent="0.2">
      <c r="A199" s="7" t="str">
        <f t="shared" si="9"/>
        <v/>
      </c>
      <c r="B199" s="9"/>
      <c r="C199" s="8"/>
      <c r="D199" s="10" t="str">
        <f ca="1">IFERROR(_xludf.XLOOKUP(C199,STUDENTS!$A$5:$A$204,STUDENTS!$C$5:$C$204,""),"")</f>
        <v/>
      </c>
      <c r="E199" s="10" t="str">
        <f ca="1">IFERROR(_xludf.XLOOKUP(C199,STUDENTS!$A$5:$A$204,STUDENTS!$L$5:$L$204,""),"")</f>
        <v/>
      </c>
      <c r="F199" s="10" t="str">
        <f t="shared" si="10"/>
        <v/>
      </c>
      <c r="G199" s="8"/>
      <c r="H199" s="11" t="str">
        <f>IF(B199="","",IF(OR(F199="Saturday",F199="Sunday"),SETTINGS!$B$11,IF(G199="Vacation",SETTINGS!$B$13,0)))</f>
        <v/>
      </c>
      <c r="I199" s="12" t="str">
        <f t="shared" si="11"/>
        <v/>
      </c>
      <c r="J199" s="8"/>
    </row>
    <row r="200" spans="1:10" x14ac:dyDescent="0.2">
      <c r="A200" s="7" t="str">
        <f t="shared" si="9"/>
        <v/>
      </c>
      <c r="B200" s="9"/>
      <c r="C200" s="8"/>
      <c r="D200" s="10" t="str">
        <f ca="1">IFERROR(_xludf.XLOOKUP(C200,STUDENTS!$A$5:$A$204,STUDENTS!$C$5:$C$204,""),"")</f>
        <v/>
      </c>
      <c r="E200" s="10" t="str">
        <f ca="1">IFERROR(_xludf.XLOOKUP(C200,STUDENTS!$A$5:$A$204,STUDENTS!$L$5:$L$204,""),"")</f>
        <v/>
      </c>
      <c r="F200" s="10" t="str">
        <f t="shared" si="10"/>
        <v/>
      </c>
      <c r="G200" s="8"/>
      <c r="H200" s="11" t="str">
        <f>IF(B200="","",IF(OR(F200="Saturday",F200="Sunday"),SETTINGS!$B$11,IF(G200="Vacation",SETTINGS!$B$13,0)))</f>
        <v/>
      </c>
      <c r="I200" s="12" t="str">
        <f t="shared" si="11"/>
        <v/>
      </c>
      <c r="J200" s="8"/>
    </row>
    <row r="201" spans="1:10" x14ac:dyDescent="0.2">
      <c r="A201" s="7" t="str">
        <f t="shared" si="9"/>
        <v/>
      </c>
      <c r="B201" s="9"/>
      <c r="C201" s="8"/>
      <c r="D201" s="10" t="str">
        <f ca="1">IFERROR(_xludf.XLOOKUP(C201,STUDENTS!$A$5:$A$204,STUDENTS!$C$5:$C$204,""),"")</f>
        <v/>
      </c>
      <c r="E201" s="10" t="str">
        <f ca="1">IFERROR(_xludf.XLOOKUP(C201,STUDENTS!$A$5:$A$204,STUDENTS!$L$5:$L$204,""),"")</f>
        <v/>
      </c>
      <c r="F201" s="10" t="str">
        <f t="shared" si="10"/>
        <v/>
      </c>
      <c r="G201" s="8"/>
      <c r="H201" s="11" t="str">
        <f>IF(B201="","",IF(OR(F201="Saturday",F201="Sunday"),SETTINGS!$B$11,IF(G201="Vacation",SETTINGS!$B$13,0)))</f>
        <v/>
      </c>
      <c r="I201" s="12" t="str">
        <f t="shared" si="11"/>
        <v/>
      </c>
      <c r="J201" s="8"/>
    </row>
    <row r="202" spans="1:10" x14ac:dyDescent="0.2">
      <c r="A202" s="7" t="str">
        <f t="shared" si="9"/>
        <v/>
      </c>
      <c r="B202" s="9"/>
      <c r="C202" s="8"/>
      <c r="D202" s="10" t="str">
        <f ca="1">IFERROR(_xludf.XLOOKUP(C202,STUDENTS!$A$5:$A$204,STUDENTS!$C$5:$C$204,""),"")</f>
        <v/>
      </c>
      <c r="E202" s="10" t="str">
        <f ca="1">IFERROR(_xludf.XLOOKUP(C202,STUDENTS!$A$5:$A$204,STUDENTS!$L$5:$L$204,""),"")</f>
        <v/>
      </c>
      <c r="F202" s="10" t="str">
        <f t="shared" si="10"/>
        <v/>
      </c>
      <c r="G202" s="8"/>
      <c r="H202" s="11" t="str">
        <f>IF(B202="","",IF(OR(F202="Saturday",F202="Sunday"),SETTINGS!$B$11,IF(G202="Vacation",SETTINGS!$B$13,0)))</f>
        <v/>
      </c>
      <c r="I202" s="12" t="str">
        <f t="shared" si="11"/>
        <v/>
      </c>
      <c r="J202" s="8"/>
    </row>
    <row r="203" spans="1:10" x14ac:dyDescent="0.2">
      <c r="A203" s="7" t="str">
        <f t="shared" si="9"/>
        <v/>
      </c>
      <c r="B203" s="9"/>
      <c r="C203" s="8"/>
      <c r="D203" s="10" t="str">
        <f ca="1">IFERROR(_xludf.XLOOKUP(C203,STUDENTS!$A$5:$A$204,STUDENTS!$C$5:$C$204,""),"")</f>
        <v/>
      </c>
      <c r="E203" s="10" t="str">
        <f ca="1">IFERROR(_xludf.XLOOKUP(C203,STUDENTS!$A$5:$A$204,STUDENTS!$L$5:$L$204,""),"")</f>
        <v/>
      </c>
      <c r="F203" s="10" t="str">
        <f t="shared" si="10"/>
        <v/>
      </c>
      <c r="G203" s="8"/>
      <c r="H203" s="11" t="str">
        <f>IF(B203="","",IF(OR(F203="Saturday",F203="Sunday"),SETTINGS!$B$11,IF(G203="Vacation",SETTINGS!$B$13,0)))</f>
        <v/>
      </c>
      <c r="I203" s="12" t="str">
        <f t="shared" si="11"/>
        <v/>
      </c>
      <c r="J203" s="8"/>
    </row>
    <row r="204" spans="1:10" x14ac:dyDescent="0.2">
      <c r="A204" s="7" t="str">
        <f t="shared" si="9"/>
        <v/>
      </c>
      <c r="B204" s="9"/>
      <c r="C204" s="8"/>
      <c r="D204" s="10" t="str">
        <f ca="1">IFERROR(_xludf.XLOOKUP(C204,STUDENTS!$A$5:$A$204,STUDENTS!$C$5:$C$204,""),"")</f>
        <v/>
      </c>
      <c r="E204" s="10" t="str">
        <f ca="1">IFERROR(_xludf.XLOOKUP(C204,STUDENTS!$A$5:$A$204,STUDENTS!$L$5:$L$204,""),"")</f>
        <v/>
      </c>
      <c r="F204" s="10" t="str">
        <f t="shared" si="10"/>
        <v/>
      </c>
      <c r="G204" s="8"/>
      <c r="H204" s="11" t="str">
        <f>IF(B204="","",IF(OR(F204="Saturday",F204="Sunday"),SETTINGS!$B$11,IF(G204="Vacation",SETTINGS!$B$13,0)))</f>
        <v/>
      </c>
      <c r="I204" s="12" t="str">
        <f t="shared" si="11"/>
        <v/>
      </c>
      <c r="J204" s="8"/>
    </row>
    <row r="205" spans="1:10" x14ac:dyDescent="0.2">
      <c r="A205" s="7" t="str">
        <f t="shared" si="9"/>
        <v/>
      </c>
      <c r="B205" s="9"/>
      <c r="C205" s="8"/>
      <c r="D205" s="10" t="str">
        <f ca="1">IFERROR(_xludf.XLOOKUP(C205,STUDENTS!$A$5:$A$204,STUDENTS!$C$5:$C$204,""),"")</f>
        <v/>
      </c>
      <c r="E205" s="10" t="str">
        <f ca="1">IFERROR(_xludf.XLOOKUP(C205,STUDENTS!$A$5:$A$204,STUDENTS!$L$5:$L$204,""),"")</f>
        <v/>
      </c>
      <c r="F205" s="10" t="str">
        <f t="shared" si="10"/>
        <v/>
      </c>
      <c r="G205" s="8"/>
      <c r="H205" s="11" t="str">
        <f>IF(B205="","",IF(OR(F205="Saturday",F205="Sunday"),SETTINGS!$B$11,IF(G205="Vacation",SETTINGS!$B$13,0)))</f>
        <v/>
      </c>
      <c r="I205" s="12" t="str">
        <f t="shared" si="11"/>
        <v/>
      </c>
      <c r="J205" s="8"/>
    </row>
    <row r="206" spans="1:10" x14ac:dyDescent="0.2">
      <c r="A206" s="7" t="str">
        <f t="shared" si="9"/>
        <v/>
      </c>
      <c r="B206" s="9"/>
      <c r="C206" s="8"/>
      <c r="D206" s="10" t="str">
        <f ca="1">IFERROR(_xludf.XLOOKUP(C206,STUDENTS!$A$5:$A$204,STUDENTS!$C$5:$C$204,""),"")</f>
        <v/>
      </c>
      <c r="E206" s="10" t="str">
        <f ca="1">IFERROR(_xludf.XLOOKUP(C206,STUDENTS!$A$5:$A$204,STUDENTS!$L$5:$L$204,""),"")</f>
        <v/>
      </c>
      <c r="F206" s="10" t="str">
        <f t="shared" si="10"/>
        <v/>
      </c>
      <c r="G206" s="8"/>
      <c r="H206" s="11" t="str">
        <f>IF(B206="","",IF(OR(F206="Saturday",F206="Sunday"),SETTINGS!$B$11,IF(G206="Vacation",SETTINGS!$B$13,0)))</f>
        <v/>
      </c>
      <c r="I206" s="12" t="str">
        <f t="shared" si="11"/>
        <v/>
      </c>
      <c r="J206" s="8"/>
    </row>
    <row r="207" spans="1:10" x14ac:dyDescent="0.2">
      <c r="A207" s="7" t="str">
        <f t="shared" si="9"/>
        <v/>
      </c>
      <c r="B207" s="9"/>
      <c r="C207" s="8"/>
      <c r="D207" s="10" t="str">
        <f ca="1">IFERROR(_xludf.XLOOKUP(C207,STUDENTS!$A$5:$A$204,STUDENTS!$C$5:$C$204,""),"")</f>
        <v/>
      </c>
      <c r="E207" s="10" t="str">
        <f ca="1">IFERROR(_xludf.XLOOKUP(C207,STUDENTS!$A$5:$A$204,STUDENTS!$L$5:$L$204,""),"")</f>
        <v/>
      </c>
      <c r="F207" s="10" t="str">
        <f t="shared" si="10"/>
        <v/>
      </c>
      <c r="G207" s="8"/>
      <c r="H207" s="11" t="str">
        <f>IF(B207="","",IF(OR(F207="Saturday",F207="Sunday"),SETTINGS!$B$11,IF(G207="Vacation",SETTINGS!$B$13,0)))</f>
        <v/>
      </c>
      <c r="I207" s="12" t="str">
        <f t="shared" si="11"/>
        <v/>
      </c>
      <c r="J207" s="8"/>
    </row>
    <row r="208" spans="1:10" x14ac:dyDescent="0.2">
      <c r="A208" s="7" t="str">
        <f t="shared" si="9"/>
        <v/>
      </c>
      <c r="B208" s="9"/>
      <c r="C208" s="8"/>
      <c r="D208" s="10" t="str">
        <f ca="1">IFERROR(_xludf.XLOOKUP(C208,STUDENTS!$A$5:$A$204,STUDENTS!$C$5:$C$204,""),"")</f>
        <v/>
      </c>
      <c r="E208" s="10" t="str">
        <f ca="1">IFERROR(_xludf.XLOOKUP(C208,STUDENTS!$A$5:$A$204,STUDENTS!$L$5:$L$204,""),"")</f>
        <v/>
      </c>
      <c r="F208" s="10" t="str">
        <f t="shared" si="10"/>
        <v/>
      </c>
      <c r="G208" s="8"/>
      <c r="H208" s="11" t="str">
        <f>IF(B208="","",IF(OR(F208="Saturday",F208="Sunday"),SETTINGS!$B$11,IF(G208="Vacation",SETTINGS!$B$13,0)))</f>
        <v/>
      </c>
      <c r="I208" s="12" t="str">
        <f t="shared" si="11"/>
        <v/>
      </c>
      <c r="J208" s="8"/>
    </row>
    <row r="209" spans="1:10" x14ac:dyDescent="0.2">
      <c r="A209" s="7" t="str">
        <f t="shared" si="9"/>
        <v/>
      </c>
      <c r="B209" s="9"/>
      <c r="C209" s="8"/>
      <c r="D209" s="10" t="str">
        <f ca="1">IFERROR(_xludf.XLOOKUP(C209,STUDENTS!$A$5:$A$204,STUDENTS!$C$5:$C$204,""),"")</f>
        <v/>
      </c>
      <c r="E209" s="10" t="str">
        <f ca="1">IFERROR(_xludf.XLOOKUP(C209,STUDENTS!$A$5:$A$204,STUDENTS!$L$5:$L$204,""),"")</f>
        <v/>
      </c>
      <c r="F209" s="10" t="str">
        <f t="shared" si="10"/>
        <v/>
      </c>
      <c r="G209" s="8"/>
      <c r="H209" s="11" t="str">
        <f>IF(B209="","",IF(OR(F209="Saturday",F209="Sunday"),SETTINGS!$B$11,IF(G209="Vacation",SETTINGS!$B$13,0)))</f>
        <v/>
      </c>
      <c r="I209" s="12" t="str">
        <f t="shared" si="11"/>
        <v/>
      </c>
      <c r="J209" s="8"/>
    </row>
    <row r="210" spans="1:10" x14ac:dyDescent="0.2">
      <c r="A210" s="7" t="str">
        <f t="shared" si="9"/>
        <v/>
      </c>
      <c r="B210" s="9"/>
      <c r="C210" s="8"/>
      <c r="D210" s="10" t="str">
        <f ca="1">IFERROR(_xludf.XLOOKUP(C210,STUDENTS!$A$5:$A$204,STUDENTS!$C$5:$C$204,""),"")</f>
        <v/>
      </c>
      <c r="E210" s="10" t="str">
        <f ca="1">IFERROR(_xludf.XLOOKUP(C210,STUDENTS!$A$5:$A$204,STUDENTS!$L$5:$L$204,""),"")</f>
        <v/>
      </c>
      <c r="F210" s="10" t="str">
        <f t="shared" si="10"/>
        <v/>
      </c>
      <c r="G210" s="8"/>
      <c r="H210" s="11" t="str">
        <f>IF(B210="","",IF(OR(F210="Saturday",F210="Sunday"),SETTINGS!$B$11,IF(G210="Vacation",SETTINGS!$B$13,0)))</f>
        <v/>
      </c>
      <c r="I210" s="12" t="str">
        <f t="shared" si="11"/>
        <v/>
      </c>
      <c r="J210" s="8"/>
    </row>
    <row r="211" spans="1:10" x14ac:dyDescent="0.2">
      <c r="A211" s="7" t="str">
        <f t="shared" si="9"/>
        <v/>
      </c>
      <c r="B211" s="9"/>
      <c r="C211" s="8"/>
      <c r="D211" s="10" t="str">
        <f ca="1">IFERROR(_xludf.XLOOKUP(C211,STUDENTS!$A$5:$A$204,STUDENTS!$C$5:$C$204,""),"")</f>
        <v/>
      </c>
      <c r="E211" s="10" t="str">
        <f ca="1">IFERROR(_xludf.XLOOKUP(C211,STUDENTS!$A$5:$A$204,STUDENTS!$L$5:$L$204,""),"")</f>
        <v/>
      </c>
      <c r="F211" s="10" t="str">
        <f t="shared" si="10"/>
        <v/>
      </c>
      <c r="G211" s="8"/>
      <c r="H211" s="11" t="str">
        <f>IF(B211="","",IF(OR(F211="Saturday",F211="Sunday"),SETTINGS!$B$11,IF(G211="Vacation",SETTINGS!$B$13,0)))</f>
        <v/>
      </c>
      <c r="I211" s="12" t="str">
        <f t="shared" si="11"/>
        <v/>
      </c>
      <c r="J211" s="8"/>
    </row>
    <row r="212" spans="1:10" x14ac:dyDescent="0.2">
      <c r="A212" s="7" t="str">
        <f t="shared" si="9"/>
        <v/>
      </c>
      <c r="B212" s="9"/>
      <c r="C212" s="8"/>
      <c r="D212" s="10" t="str">
        <f ca="1">IFERROR(_xludf.XLOOKUP(C212,STUDENTS!$A$5:$A$204,STUDENTS!$C$5:$C$204,""),"")</f>
        <v/>
      </c>
      <c r="E212" s="10" t="str">
        <f ca="1">IFERROR(_xludf.XLOOKUP(C212,STUDENTS!$A$5:$A$204,STUDENTS!$L$5:$L$204,""),"")</f>
        <v/>
      </c>
      <c r="F212" s="10" t="str">
        <f t="shared" si="10"/>
        <v/>
      </c>
      <c r="G212" s="8"/>
      <c r="H212" s="11" t="str">
        <f>IF(B212="","",IF(OR(F212="Saturday",F212="Sunday"),SETTINGS!$B$11,IF(G212="Vacation",SETTINGS!$B$13,0)))</f>
        <v/>
      </c>
      <c r="I212" s="12" t="str">
        <f t="shared" si="11"/>
        <v/>
      </c>
      <c r="J212" s="8"/>
    </row>
    <row r="213" spans="1:10" x14ac:dyDescent="0.2">
      <c r="A213" s="7" t="str">
        <f t="shared" si="9"/>
        <v/>
      </c>
      <c r="B213" s="9"/>
      <c r="C213" s="8"/>
      <c r="D213" s="10" t="str">
        <f ca="1">IFERROR(_xludf.XLOOKUP(C213,STUDENTS!$A$5:$A$204,STUDENTS!$C$5:$C$204,""),"")</f>
        <v/>
      </c>
      <c r="E213" s="10" t="str">
        <f ca="1">IFERROR(_xludf.XLOOKUP(C213,STUDENTS!$A$5:$A$204,STUDENTS!$L$5:$L$204,""),"")</f>
        <v/>
      </c>
      <c r="F213" s="10" t="str">
        <f t="shared" si="10"/>
        <v/>
      </c>
      <c r="G213" s="8"/>
      <c r="H213" s="11" t="str">
        <f>IF(B213="","",IF(OR(F213="Saturday",F213="Sunday"),SETTINGS!$B$11,IF(G213="Vacation",SETTINGS!$B$13,0)))</f>
        <v/>
      </c>
      <c r="I213" s="12" t="str">
        <f t="shared" si="11"/>
        <v/>
      </c>
      <c r="J213" s="8"/>
    </row>
    <row r="214" spans="1:10" x14ac:dyDescent="0.2">
      <c r="A214" s="7" t="str">
        <f t="shared" si="9"/>
        <v/>
      </c>
      <c r="B214" s="9"/>
      <c r="C214" s="8"/>
      <c r="D214" s="10" t="str">
        <f ca="1">IFERROR(_xludf.XLOOKUP(C214,STUDENTS!$A$5:$A$204,STUDENTS!$C$5:$C$204,""),"")</f>
        <v/>
      </c>
      <c r="E214" s="10" t="str">
        <f ca="1">IFERROR(_xludf.XLOOKUP(C214,STUDENTS!$A$5:$A$204,STUDENTS!$L$5:$L$204,""),"")</f>
        <v/>
      </c>
      <c r="F214" s="10" t="str">
        <f t="shared" si="10"/>
        <v/>
      </c>
      <c r="G214" s="8"/>
      <c r="H214" s="11" t="str">
        <f>IF(B214="","",IF(OR(F214="Saturday",F214="Sunday"),SETTINGS!$B$11,IF(G214="Vacation",SETTINGS!$B$13,0)))</f>
        <v/>
      </c>
      <c r="I214" s="12" t="str">
        <f t="shared" si="11"/>
        <v/>
      </c>
      <c r="J214" s="8"/>
    </row>
    <row r="215" spans="1:10" x14ac:dyDescent="0.2">
      <c r="A215" s="7" t="str">
        <f t="shared" si="9"/>
        <v/>
      </c>
      <c r="B215" s="9"/>
      <c r="C215" s="8"/>
      <c r="D215" s="10" t="str">
        <f ca="1">IFERROR(_xludf.XLOOKUP(C215,STUDENTS!$A$5:$A$204,STUDENTS!$C$5:$C$204,""),"")</f>
        <v/>
      </c>
      <c r="E215" s="10" t="str">
        <f ca="1">IFERROR(_xludf.XLOOKUP(C215,STUDENTS!$A$5:$A$204,STUDENTS!$L$5:$L$204,""),"")</f>
        <v/>
      </c>
      <c r="F215" s="10" t="str">
        <f t="shared" si="10"/>
        <v/>
      </c>
      <c r="G215" s="8"/>
      <c r="H215" s="11" t="str">
        <f>IF(B215="","",IF(OR(F215="Saturday",F215="Sunday"),SETTINGS!$B$11,IF(G215="Vacation",SETTINGS!$B$13,0)))</f>
        <v/>
      </c>
      <c r="I215" s="12" t="str">
        <f t="shared" si="11"/>
        <v/>
      </c>
      <c r="J215" s="8"/>
    </row>
    <row r="216" spans="1:10" x14ac:dyDescent="0.2">
      <c r="A216" s="7" t="str">
        <f t="shared" si="9"/>
        <v/>
      </c>
      <c r="B216" s="9"/>
      <c r="C216" s="8"/>
      <c r="D216" s="10" t="str">
        <f ca="1">IFERROR(_xludf.XLOOKUP(C216,STUDENTS!$A$5:$A$204,STUDENTS!$C$5:$C$204,""),"")</f>
        <v/>
      </c>
      <c r="E216" s="10" t="str">
        <f ca="1">IFERROR(_xludf.XLOOKUP(C216,STUDENTS!$A$5:$A$204,STUDENTS!$L$5:$L$204,""),"")</f>
        <v/>
      </c>
      <c r="F216" s="10" t="str">
        <f t="shared" si="10"/>
        <v/>
      </c>
      <c r="G216" s="8"/>
      <c r="H216" s="11" t="str">
        <f>IF(B216="","",IF(OR(F216="Saturday",F216="Sunday"),SETTINGS!$B$11,IF(G216="Vacation",SETTINGS!$B$13,0)))</f>
        <v/>
      </c>
      <c r="I216" s="12" t="str">
        <f t="shared" si="11"/>
        <v/>
      </c>
      <c r="J216" s="8"/>
    </row>
    <row r="217" spans="1:10" x14ac:dyDescent="0.2">
      <c r="A217" s="7" t="str">
        <f t="shared" si="9"/>
        <v/>
      </c>
      <c r="B217" s="9"/>
      <c r="C217" s="8"/>
      <c r="D217" s="10" t="str">
        <f ca="1">IFERROR(_xludf.XLOOKUP(C217,STUDENTS!$A$5:$A$204,STUDENTS!$C$5:$C$204,""),"")</f>
        <v/>
      </c>
      <c r="E217" s="10" t="str">
        <f ca="1">IFERROR(_xludf.XLOOKUP(C217,STUDENTS!$A$5:$A$204,STUDENTS!$L$5:$L$204,""),"")</f>
        <v/>
      </c>
      <c r="F217" s="10" t="str">
        <f t="shared" si="10"/>
        <v/>
      </c>
      <c r="G217" s="8"/>
      <c r="H217" s="11" t="str">
        <f>IF(B217="","",IF(OR(F217="Saturday",F217="Sunday"),SETTINGS!$B$11,IF(G217="Vacation",SETTINGS!$B$13,0)))</f>
        <v/>
      </c>
      <c r="I217" s="12" t="str">
        <f t="shared" si="11"/>
        <v/>
      </c>
      <c r="J217" s="8"/>
    </row>
    <row r="218" spans="1:10" x14ac:dyDescent="0.2">
      <c r="A218" s="7" t="str">
        <f t="shared" si="9"/>
        <v/>
      </c>
      <c r="B218" s="9"/>
      <c r="C218" s="8"/>
      <c r="D218" s="10" t="str">
        <f ca="1">IFERROR(_xludf.XLOOKUP(C218,STUDENTS!$A$5:$A$204,STUDENTS!$C$5:$C$204,""),"")</f>
        <v/>
      </c>
      <c r="E218" s="10" t="str">
        <f ca="1">IFERROR(_xludf.XLOOKUP(C218,STUDENTS!$A$5:$A$204,STUDENTS!$L$5:$L$204,""),"")</f>
        <v/>
      </c>
      <c r="F218" s="10" t="str">
        <f t="shared" si="10"/>
        <v/>
      </c>
      <c r="G218" s="8"/>
      <c r="H218" s="11" t="str">
        <f>IF(B218="","",IF(OR(F218="Saturday",F218="Sunday"),SETTINGS!$B$11,IF(G218="Vacation",SETTINGS!$B$13,0)))</f>
        <v/>
      </c>
      <c r="I218" s="12" t="str">
        <f t="shared" si="11"/>
        <v/>
      </c>
      <c r="J218" s="8"/>
    </row>
    <row r="219" spans="1:10" x14ac:dyDescent="0.2">
      <c r="A219" s="7" t="str">
        <f t="shared" si="9"/>
        <v/>
      </c>
      <c r="B219" s="9"/>
      <c r="C219" s="8"/>
      <c r="D219" s="10" t="str">
        <f ca="1">IFERROR(_xludf.XLOOKUP(C219,STUDENTS!$A$5:$A$204,STUDENTS!$C$5:$C$204,""),"")</f>
        <v/>
      </c>
      <c r="E219" s="10" t="str">
        <f ca="1">IFERROR(_xludf.XLOOKUP(C219,STUDENTS!$A$5:$A$204,STUDENTS!$L$5:$L$204,""),"")</f>
        <v/>
      </c>
      <c r="F219" s="10" t="str">
        <f t="shared" si="10"/>
        <v/>
      </c>
      <c r="G219" s="8"/>
      <c r="H219" s="11" t="str">
        <f>IF(B219="","",IF(OR(F219="Saturday",F219="Sunday"),SETTINGS!$B$11,IF(G219="Vacation",SETTINGS!$B$13,0)))</f>
        <v/>
      </c>
      <c r="I219" s="12" t="str">
        <f t="shared" si="11"/>
        <v/>
      </c>
      <c r="J219" s="8"/>
    </row>
    <row r="220" spans="1:10" x14ac:dyDescent="0.2">
      <c r="A220" s="7" t="str">
        <f t="shared" si="9"/>
        <v/>
      </c>
      <c r="B220" s="9"/>
      <c r="C220" s="8"/>
      <c r="D220" s="10" t="str">
        <f ca="1">IFERROR(_xludf.XLOOKUP(C220,STUDENTS!$A$5:$A$204,STUDENTS!$C$5:$C$204,""),"")</f>
        <v/>
      </c>
      <c r="E220" s="10" t="str">
        <f ca="1">IFERROR(_xludf.XLOOKUP(C220,STUDENTS!$A$5:$A$204,STUDENTS!$L$5:$L$204,""),"")</f>
        <v/>
      </c>
      <c r="F220" s="10" t="str">
        <f t="shared" si="10"/>
        <v/>
      </c>
      <c r="G220" s="8"/>
      <c r="H220" s="11" t="str">
        <f>IF(B220="","",IF(OR(F220="Saturday",F220="Sunday"),SETTINGS!$B$11,IF(G220="Vacation",SETTINGS!$B$13,0)))</f>
        <v/>
      </c>
      <c r="I220" s="12" t="str">
        <f t="shared" si="11"/>
        <v/>
      </c>
      <c r="J220" s="8"/>
    </row>
    <row r="221" spans="1:10" x14ac:dyDescent="0.2">
      <c r="A221" s="7" t="str">
        <f t="shared" si="9"/>
        <v/>
      </c>
      <c r="B221" s="9"/>
      <c r="C221" s="8"/>
      <c r="D221" s="10" t="str">
        <f ca="1">IFERROR(_xludf.XLOOKUP(C221,STUDENTS!$A$5:$A$204,STUDENTS!$C$5:$C$204,""),"")</f>
        <v/>
      </c>
      <c r="E221" s="10" t="str">
        <f ca="1">IFERROR(_xludf.XLOOKUP(C221,STUDENTS!$A$5:$A$204,STUDENTS!$L$5:$L$204,""),"")</f>
        <v/>
      </c>
      <c r="F221" s="10" t="str">
        <f t="shared" si="10"/>
        <v/>
      </c>
      <c r="G221" s="8"/>
      <c r="H221" s="11" t="str">
        <f>IF(B221="","",IF(OR(F221="Saturday",F221="Sunday"),SETTINGS!$B$11,IF(G221="Vacation",SETTINGS!$B$13,0)))</f>
        <v/>
      </c>
      <c r="I221" s="12" t="str">
        <f t="shared" si="11"/>
        <v/>
      </c>
      <c r="J221" s="8"/>
    </row>
    <row r="222" spans="1:10" x14ac:dyDescent="0.2">
      <c r="A222" s="7" t="str">
        <f t="shared" si="9"/>
        <v/>
      </c>
      <c r="B222" s="9"/>
      <c r="C222" s="8"/>
      <c r="D222" s="10" t="str">
        <f ca="1">IFERROR(_xludf.XLOOKUP(C222,STUDENTS!$A$5:$A$204,STUDENTS!$C$5:$C$204,""),"")</f>
        <v/>
      </c>
      <c r="E222" s="10" t="str">
        <f ca="1">IFERROR(_xludf.XLOOKUP(C222,STUDENTS!$A$5:$A$204,STUDENTS!$L$5:$L$204,""),"")</f>
        <v/>
      </c>
      <c r="F222" s="10" t="str">
        <f t="shared" si="10"/>
        <v/>
      </c>
      <c r="G222" s="8"/>
      <c r="H222" s="11" t="str">
        <f>IF(B222="","",IF(OR(F222="Saturday",F222="Sunday"),SETTINGS!$B$11,IF(G222="Vacation",SETTINGS!$B$13,0)))</f>
        <v/>
      </c>
      <c r="I222" s="12" t="str">
        <f t="shared" si="11"/>
        <v/>
      </c>
      <c r="J222" s="8"/>
    </row>
    <row r="223" spans="1:10" x14ac:dyDescent="0.2">
      <c r="A223" s="7" t="str">
        <f t="shared" si="9"/>
        <v/>
      </c>
      <c r="B223" s="9"/>
      <c r="C223" s="8"/>
      <c r="D223" s="10" t="str">
        <f ca="1">IFERROR(_xludf.XLOOKUP(C223,STUDENTS!$A$5:$A$204,STUDENTS!$C$5:$C$204,""),"")</f>
        <v/>
      </c>
      <c r="E223" s="10" t="str">
        <f ca="1">IFERROR(_xludf.XLOOKUP(C223,STUDENTS!$A$5:$A$204,STUDENTS!$L$5:$L$204,""),"")</f>
        <v/>
      </c>
      <c r="F223" s="10" t="str">
        <f t="shared" si="10"/>
        <v/>
      </c>
      <c r="G223" s="8"/>
      <c r="H223" s="11" t="str">
        <f>IF(B223="","",IF(OR(F223="Saturday",F223="Sunday"),SETTINGS!$B$11,IF(G223="Vacation",SETTINGS!$B$13,0)))</f>
        <v/>
      </c>
      <c r="I223" s="12" t="str">
        <f t="shared" si="11"/>
        <v/>
      </c>
      <c r="J223" s="8"/>
    </row>
    <row r="224" spans="1:10" x14ac:dyDescent="0.2">
      <c r="A224" s="7" t="str">
        <f t="shared" si="9"/>
        <v/>
      </c>
      <c r="B224" s="9"/>
      <c r="C224" s="8"/>
      <c r="D224" s="10" t="str">
        <f ca="1">IFERROR(_xludf.XLOOKUP(C224,STUDENTS!$A$5:$A$204,STUDENTS!$C$5:$C$204,""),"")</f>
        <v/>
      </c>
      <c r="E224" s="10" t="str">
        <f ca="1">IFERROR(_xludf.XLOOKUP(C224,STUDENTS!$A$5:$A$204,STUDENTS!$L$5:$L$204,""),"")</f>
        <v/>
      </c>
      <c r="F224" s="10" t="str">
        <f t="shared" si="10"/>
        <v/>
      </c>
      <c r="G224" s="8"/>
      <c r="H224" s="11" t="str">
        <f>IF(B224="","",IF(OR(F224="Saturday",F224="Sunday"),SETTINGS!$B$11,IF(G224="Vacation",SETTINGS!$B$13,0)))</f>
        <v/>
      </c>
      <c r="I224" s="12" t="str">
        <f t="shared" si="11"/>
        <v/>
      </c>
      <c r="J224" s="8"/>
    </row>
    <row r="225" spans="1:10" x14ac:dyDescent="0.2">
      <c r="A225" s="7" t="str">
        <f t="shared" si="9"/>
        <v/>
      </c>
      <c r="B225" s="9"/>
      <c r="C225" s="8"/>
      <c r="D225" s="10" t="str">
        <f ca="1">IFERROR(_xludf.XLOOKUP(C225,STUDENTS!$A$5:$A$204,STUDENTS!$C$5:$C$204,""),"")</f>
        <v/>
      </c>
      <c r="E225" s="10" t="str">
        <f ca="1">IFERROR(_xludf.XLOOKUP(C225,STUDENTS!$A$5:$A$204,STUDENTS!$L$5:$L$204,""),"")</f>
        <v/>
      </c>
      <c r="F225" s="10" t="str">
        <f t="shared" si="10"/>
        <v/>
      </c>
      <c r="G225" s="8"/>
      <c r="H225" s="11" t="str">
        <f>IF(B225="","",IF(OR(F225="Saturday",F225="Sunday"),SETTINGS!$B$11,IF(G225="Vacation",SETTINGS!$B$13,0)))</f>
        <v/>
      </c>
      <c r="I225" s="12" t="str">
        <f t="shared" si="11"/>
        <v/>
      </c>
      <c r="J225" s="8"/>
    </row>
    <row r="226" spans="1:10" x14ac:dyDescent="0.2">
      <c r="A226" s="7" t="str">
        <f t="shared" si="9"/>
        <v/>
      </c>
      <c r="B226" s="9"/>
      <c r="C226" s="8"/>
      <c r="D226" s="10" t="str">
        <f ca="1">IFERROR(_xludf.XLOOKUP(C226,STUDENTS!$A$5:$A$204,STUDENTS!$C$5:$C$204,""),"")</f>
        <v/>
      </c>
      <c r="E226" s="10" t="str">
        <f ca="1">IFERROR(_xludf.XLOOKUP(C226,STUDENTS!$A$5:$A$204,STUDENTS!$L$5:$L$204,""),"")</f>
        <v/>
      </c>
      <c r="F226" s="10" t="str">
        <f t="shared" si="10"/>
        <v/>
      </c>
      <c r="G226" s="8"/>
      <c r="H226" s="11" t="str">
        <f>IF(B226="","",IF(OR(F226="Saturday",F226="Sunday"),SETTINGS!$B$11,IF(G226="Vacation",SETTINGS!$B$13,0)))</f>
        <v/>
      </c>
      <c r="I226" s="12" t="str">
        <f t="shared" si="11"/>
        <v/>
      </c>
      <c r="J226" s="8"/>
    </row>
    <row r="227" spans="1:10" x14ac:dyDescent="0.2">
      <c r="A227" s="7" t="str">
        <f t="shared" si="9"/>
        <v/>
      </c>
      <c r="B227" s="9"/>
      <c r="C227" s="8"/>
      <c r="D227" s="10" t="str">
        <f ca="1">IFERROR(_xludf.XLOOKUP(C227,STUDENTS!$A$5:$A$204,STUDENTS!$C$5:$C$204,""),"")</f>
        <v/>
      </c>
      <c r="E227" s="10" t="str">
        <f ca="1">IFERROR(_xludf.XLOOKUP(C227,STUDENTS!$A$5:$A$204,STUDENTS!$L$5:$L$204,""),"")</f>
        <v/>
      </c>
      <c r="F227" s="10" t="str">
        <f t="shared" si="10"/>
        <v/>
      </c>
      <c r="G227" s="8"/>
      <c r="H227" s="11" t="str">
        <f>IF(B227="","",IF(OR(F227="Saturday",F227="Sunday"),SETTINGS!$B$11,IF(G227="Vacation",SETTINGS!$B$13,0)))</f>
        <v/>
      </c>
      <c r="I227" s="12" t="str">
        <f t="shared" si="11"/>
        <v/>
      </c>
      <c r="J227" s="8"/>
    </row>
    <row r="228" spans="1:10" x14ac:dyDescent="0.2">
      <c r="A228" s="7" t="str">
        <f t="shared" si="9"/>
        <v/>
      </c>
      <c r="B228" s="9"/>
      <c r="C228" s="8"/>
      <c r="D228" s="10" t="str">
        <f ca="1">IFERROR(_xludf.XLOOKUP(C228,STUDENTS!$A$5:$A$204,STUDENTS!$C$5:$C$204,""),"")</f>
        <v/>
      </c>
      <c r="E228" s="10" t="str">
        <f ca="1">IFERROR(_xludf.XLOOKUP(C228,STUDENTS!$A$5:$A$204,STUDENTS!$L$5:$L$204,""),"")</f>
        <v/>
      </c>
      <c r="F228" s="10" t="str">
        <f t="shared" si="10"/>
        <v/>
      </c>
      <c r="G228" s="8"/>
      <c r="H228" s="11" t="str">
        <f>IF(B228="","",IF(OR(F228="Saturday",F228="Sunday"),SETTINGS!$B$11,IF(G228="Vacation",SETTINGS!$B$13,0)))</f>
        <v/>
      </c>
      <c r="I228" s="12" t="str">
        <f t="shared" si="11"/>
        <v/>
      </c>
      <c r="J228" s="8"/>
    </row>
    <row r="229" spans="1:10" x14ac:dyDescent="0.2">
      <c r="A229" s="7" t="str">
        <f t="shared" si="9"/>
        <v/>
      </c>
      <c r="B229" s="9"/>
      <c r="C229" s="8"/>
      <c r="D229" s="10" t="str">
        <f ca="1">IFERROR(_xludf.XLOOKUP(C229,STUDENTS!$A$5:$A$204,STUDENTS!$C$5:$C$204,""),"")</f>
        <v/>
      </c>
      <c r="E229" s="10" t="str">
        <f ca="1">IFERROR(_xludf.XLOOKUP(C229,STUDENTS!$A$5:$A$204,STUDENTS!$L$5:$L$204,""),"")</f>
        <v/>
      </c>
      <c r="F229" s="10" t="str">
        <f t="shared" si="10"/>
        <v/>
      </c>
      <c r="G229" s="8"/>
      <c r="H229" s="11" t="str">
        <f>IF(B229="","",IF(OR(F229="Saturday",F229="Sunday"),SETTINGS!$B$11,IF(G229="Vacation",SETTINGS!$B$13,0)))</f>
        <v/>
      </c>
      <c r="I229" s="12" t="str">
        <f t="shared" si="11"/>
        <v/>
      </c>
      <c r="J229" s="8"/>
    </row>
    <row r="230" spans="1:10" x14ac:dyDescent="0.2">
      <c r="A230" s="7" t="str">
        <f t="shared" si="9"/>
        <v/>
      </c>
      <c r="B230" s="9"/>
      <c r="C230" s="8"/>
      <c r="D230" s="10" t="str">
        <f ca="1">IFERROR(_xludf.XLOOKUP(C230,STUDENTS!$A$5:$A$204,STUDENTS!$C$5:$C$204,""),"")</f>
        <v/>
      </c>
      <c r="E230" s="10" t="str">
        <f ca="1">IFERROR(_xludf.XLOOKUP(C230,STUDENTS!$A$5:$A$204,STUDENTS!$L$5:$L$204,""),"")</f>
        <v/>
      </c>
      <c r="F230" s="10" t="str">
        <f t="shared" si="10"/>
        <v/>
      </c>
      <c r="G230" s="8"/>
      <c r="H230" s="11" t="str">
        <f>IF(B230="","",IF(OR(F230="Saturday",F230="Sunday"),SETTINGS!$B$11,IF(G230="Vacation",SETTINGS!$B$13,0)))</f>
        <v/>
      </c>
      <c r="I230" s="12" t="str">
        <f t="shared" si="11"/>
        <v/>
      </c>
      <c r="J230" s="8"/>
    </row>
    <row r="231" spans="1:10" x14ac:dyDescent="0.2">
      <c r="A231" s="7" t="str">
        <f t="shared" si="9"/>
        <v/>
      </c>
      <c r="B231" s="9"/>
      <c r="C231" s="8"/>
      <c r="D231" s="10" t="str">
        <f ca="1">IFERROR(_xludf.XLOOKUP(C231,STUDENTS!$A$5:$A$204,STUDENTS!$C$5:$C$204,""),"")</f>
        <v/>
      </c>
      <c r="E231" s="10" t="str">
        <f ca="1">IFERROR(_xludf.XLOOKUP(C231,STUDENTS!$A$5:$A$204,STUDENTS!$L$5:$L$204,""),"")</f>
        <v/>
      </c>
      <c r="F231" s="10" t="str">
        <f t="shared" si="10"/>
        <v/>
      </c>
      <c r="G231" s="8"/>
      <c r="H231" s="11" t="str">
        <f>IF(B231="","",IF(OR(F231="Saturday",F231="Sunday"),SETTINGS!$B$11,IF(G231="Vacation",SETTINGS!$B$13,0)))</f>
        <v/>
      </c>
      <c r="I231" s="12" t="str">
        <f t="shared" si="11"/>
        <v/>
      </c>
      <c r="J231" s="8"/>
    </row>
    <row r="232" spans="1:10" x14ac:dyDescent="0.2">
      <c r="A232" s="7" t="str">
        <f t="shared" si="9"/>
        <v/>
      </c>
      <c r="B232" s="9"/>
      <c r="C232" s="8"/>
      <c r="D232" s="10" t="str">
        <f ca="1">IFERROR(_xludf.XLOOKUP(C232,STUDENTS!$A$5:$A$204,STUDENTS!$C$5:$C$204,""),"")</f>
        <v/>
      </c>
      <c r="E232" s="10" t="str">
        <f ca="1">IFERROR(_xludf.XLOOKUP(C232,STUDENTS!$A$5:$A$204,STUDENTS!$L$5:$L$204,""),"")</f>
        <v/>
      </c>
      <c r="F232" s="10" t="str">
        <f t="shared" si="10"/>
        <v/>
      </c>
      <c r="G232" s="8"/>
      <c r="H232" s="11" t="str">
        <f>IF(B232="","",IF(OR(F232="Saturday",F232="Sunday"),SETTINGS!$B$11,IF(G232="Vacation",SETTINGS!$B$13,0)))</f>
        <v/>
      </c>
      <c r="I232" s="12" t="str">
        <f t="shared" si="11"/>
        <v/>
      </c>
      <c r="J232" s="8"/>
    </row>
    <row r="233" spans="1:10" x14ac:dyDescent="0.2">
      <c r="A233" s="7" t="str">
        <f t="shared" si="9"/>
        <v/>
      </c>
      <c r="B233" s="9"/>
      <c r="C233" s="8"/>
      <c r="D233" s="10" t="str">
        <f ca="1">IFERROR(_xludf.XLOOKUP(C233,STUDENTS!$A$5:$A$204,STUDENTS!$C$5:$C$204,""),"")</f>
        <v/>
      </c>
      <c r="E233" s="10" t="str">
        <f ca="1">IFERROR(_xludf.XLOOKUP(C233,STUDENTS!$A$5:$A$204,STUDENTS!$L$5:$L$204,""),"")</f>
        <v/>
      </c>
      <c r="F233" s="10" t="str">
        <f t="shared" si="10"/>
        <v/>
      </c>
      <c r="G233" s="8"/>
      <c r="H233" s="11" t="str">
        <f>IF(B233="","",IF(OR(F233="Saturday",F233="Sunday"),SETTINGS!$B$11,IF(G233="Vacation",SETTINGS!$B$13,0)))</f>
        <v/>
      </c>
      <c r="I233" s="12" t="str">
        <f t="shared" si="11"/>
        <v/>
      </c>
      <c r="J233" s="8"/>
    </row>
    <row r="234" spans="1:10" x14ac:dyDescent="0.2">
      <c r="A234" s="7" t="str">
        <f t="shared" si="9"/>
        <v/>
      </c>
      <c r="B234" s="9"/>
      <c r="C234" s="8"/>
      <c r="D234" s="10" t="str">
        <f ca="1">IFERROR(_xludf.XLOOKUP(C234,STUDENTS!$A$5:$A$204,STUDENTS!$C$5:$C$204,""),"")</f>
        <v/>
      </c>
      <c r="E234" s="10" t="str">
        <f ca="1">IFERROR(_xludf.XLOOKUP(C234,STUDENTS!$A$5:$A$204,STUDENTS!$L$5:$L$204,""),"")</f>
        <v/>
      </c>
      <c r="F234" s="10" t="str">
        <f t="shared" si="10"/>
        <v/>
      </c>
      <c r="G234" s="8"/>
      <c r="H234" s="11" t="str">
        <f>IF(B234="","",IF(OR(F234="Saturday",F234="Sunday"),SETTINGS!$B$11,IF(G234="Vacation",SETTINGS!$B$13,0)))</f>
        <v/>
      </c>
      <c r="I234" s="12" t="str">
        <f t="shared" si="11"/>
        <v/>
      </c>
      <c r="J234" s="8"/>
    </row>
    <row r="235" spans="1:10" x14ac:dyDescent="0.2">
      <c r="A235" s="7" t="str">
        <f t="shared" si="9"/>
        <v/>
      </c>
      <c r="B235" s="9"/>
      <c r="C235" s="8"/>
      <c r="D235" s="10" t="str">
        <f ca="1">IFERROR(_xludf.XLOOKUP(C235,STUDENTS!$A$5:$A$204,STUDENTS!$C$5:$C$204,""),"")</f>
        <v/>
      </c>
      <c r="E235" s="10" t="str">
        <f ca="1">IFERROR(_xludf.XLOOKUP(C235,STUDENTS!$A$5:$A$204,STUDENTS!$L$5:$L$204,""),"")</f>
        <v/>
      </c>
      <c r="F235" s="10" t="str">
        <f t="shared" si="10"/>
        <v/>
      </c>
      <c r="G235" s="8"/>
      <c r="H235" s="11" t="str">
        <f>IF(B235="","",IF(OR(F235="Saturday",F235="Sunday"),SETTINGS!$B$11,IF(G235="Vacation",SETTINGS!$B$13,0)))</f>
        <v/>
      </c>
      <c r="I235" s="12" t="str">
        <f t="shared" si="11"/>
        <v/>
      </c>
      <c r="J235" s="8"/>
    </row>
    <row r="236" spans="1:10" x14ac:dyDescent="0.2">
      <c r="A236" s="7" t="str">
        <f t="shared" si="9"/>
        <v/>
      </c>
      <c r="B236" s="9"/>
      <c r="C236" s="8"/>
      <c r="D236" s="10" t="str">
        <f ca="1">IFERROR(_xludf.XLOOKUP(C236,STUDENTS!$A$5:$A$204,STUDENTS!$C$5:$C$204,""),"")</f>
        <v/>
      </c>
      <c r="E236" s="10" t="str">
        <f ca="1">IFERROR(_xludf.XLOOKUP(C236,STUDENTS!$A$5:$A$204,STUDENTS!$L$5:$L$204,""),"")</f>
        <v/>
      </c>
      <c r="F236" s="10" t="str">
        <f t="shared" si="10"/>
        <v/>
      </c>
      <c r="G236" s="8"/>
      <c r="H236" s="11" t="str">
        <f>IF(B236="","",IF(OR(F236="Saturday",F236="Sunday"),SETTINGS!$B$11,IF(G236="Vacation",SETTINGS!$B$13,0)))</f>
        <v/>
      </c>
      <c r="I236" s="12" t="str">
        <f t="shared" si="11"/>
        <v/>
      </c>
      <c r="J236" s="8"/>
    </row>
    <row r="237" spans="1:10" x14ac:dyDescent="0.2">
      <c r="A237" s="7" t="str">
        <f t="shared" si="9"/>
        <v/>
      </c>
      <c r="B237" s="9"/>
      <c r="C237" s="8"/>
      <c r="D237" s="10" t="str">
        <f ca="1">IFERROR(_xludf.XLOOKUP(C237,STUDENTS!$A$5:$A$204,STUDENTS!$C$5:$C$204,""),"")</f>
        <v/>
      </c>
      <c r="E237" s="10" t="str">
        <f ca="1">IFERROR(_xludf.XLOOKUP(C237,STUDENTS!$A$5:$A$204,STUDENTS!$L$5:$L$204,""),"")</f>
        <v/>
      </c>
      <c r="F237" s="10" t="str">
        <f t="shared" si="10"/>
        <v/>
      </c>
      <c r="G237" s="8"/>
      <c r="H237" s="11" t="str">
        <f>IF(B237="","",IF(OR(F237="Saturday",F237="Sunday"),SETTINGS!$B$11,IF(G237="Vacation",SETTINGS!$B$13,0)))</f>
        <v/>
      </c>
      <c r="I237" s="12" t="str">
        <f t="shared" si="11"/>
        <v/>
      </c>
      <c r="J237" s="8"/>
    </row>
    <row r="238" spans="1:10" x14ac:dyDescent="0.2">
      <c r="A238" s="7" t="str">
        <f t="shared" si="9"/>
        <v/>
      </c>
      <c r="B238" s="9"/>
      <c r="C238" s="8"/>
      <c r="D238" s="10" t="str">
        <f ca="1">IFERROR(_xludf.XLOOKUP(C238,STUDENTS!$A$5:$A$204,STUDENTS!$C$5:$C$204,""),"")</f>
        <v/>
      </c>
      <c r="E238" s="10" t="str">
        <f ca="1">IFERROR(_xludf.XLOOKUP(C238,STUDENTS!$A$5:$A$204,STUDENTS!$L$5:$L$204,""),"")</f>
        <v/>
      </c>
      <c r="F238" s="10" t="str">
        <f t="shared" si="10"/>
        <v/>
      </c>
      <c r="G238" s="8"/>
      <c r="H238" s="11" t="str">
        <f>IF(B238="","",IF(OR(F238="Saturday",F238="Sunday"),SETTINGS!$B$11,IF(G238="Vacation",SETTINGS!$B$13,0)))</f>
        <v/>
      </c>
      <c r="I238" s="12" t="str">
        <f t="shared" si="11"/>
        <v/>
      </c>
      <c r="J238" s="8"/>
    </row>
    <row r="239" spans="1:10" x14ac:dyDescent="0.2">
      <c r="A239" s="7" t="str">
        <f t="shared" si="9"/>
        <v/>
      </c>
      <c r="B239" s="9"/>
      <c r="C239" s="8"/>
      <c r="D239" s="10" t="str">
        <f ca="1">IFERROR(_xludf.XLOOKUP(C239,STUDENTS!$A$5:$A$204,STUDENTS!$C$5:$C$204,""),"")</f>
        <v/>
      </c>
      <c r="E239" s="10" t="str">
        <f ca="1">IFERROR(_xludf.XLOOKUP(C239,STUDENTS!$A$5:$A$204,STUDENTS!$L$5:$L$204,""),"")</f>
        <v/>
      </c>
      <c r="F239" s="10" t="str">
        <f t="shared" si="10"/>
        <v/>
      </c>
      <c r="G239" s="8"/>
      <c r="H239" s="11" t="str">
        <f>IF(B239="","",IF(OR(F239="Saturday",F239="Sunday"),SETTINGS!$B$11,IF(G239="Vacation",SETTINGS!$B$13,0)))</f>
        <v/>
      </c>
      <c r="I239" s="12" t="str">
        <f t="shared" si="11"/>
        <v/>
      </c>
      <c r="J239" s="8"/>
    </row>
    <row r="240" spans="1:10" x14ac:dyDescent="0.2">
      <c r="A240" s="7" t="str">
        <f t="shared" si="9"/>
        <v/>
      </c>
      <c r="B240" s="9"/>
      <c r="C240" s="8"/>
      <c r="D240" s="10" t="str">
        <f ca="1">IFERROR(_xludf.XLOOKUP(C240,STUDENTS!$A$5:$A$204,STUDENTS!$C$5:$C$204,""),"")</f>
        <v/>
      </c>
      <c r="E240" s="10" t="str">
        <f ca="1">IFERROR(_xludf.XLOOKUP(C240,STUDENTS!$A$5:$A$204,STUDENTS!$L$5:$L$204,""),"")</f>
        <v/>
      </c>
      <c r="F240" s="10" t="str">
        <f t="shared" si="10"/>
        <v/>
      </c>
      <c r="G240" s="8"/>
      <c r="H240" s="11" t="str">
        <f>IF(B240="","",IF(OR(F240="Saturday",F240="Sunday"),SETTINGS!$B$11,IF(G240="Vacation",SETTINGS!$B$13,0)))</f>
        <v/>
      </c>
      <c r="I240" s="12" t="str">
        <f t="shared" si="11"/>
        <v/>
      </c>
      <c r="J240" s="8"/>
    </row>
    <row r="241" spans="1:10" x14ac:dyDescent="0.2">
      <c r="A241" s="7" t="str">
        <f t="shared" si="9"/>
        <v/>
      </c>
      <c r="B241" s="9"/>
      <c r="C241" s="8"/>
      <c r="D241" s="10" t="str">
        <f ca="1">IFERROR(_xludf.XLOOKUP(C241,STUDENTS!$A$5:$A$204,STUDENTS!$C$5:$C$204,""),"")</f>
        <v/>
      </c>
      <c r="E241" s="10" t="str">
        <f ca="1">IFERROR(_xludf.XLOOKUP(C241,STUDENTS!$A$5:$A$204,STUDENTS!$L$5:$L$204,""),"")</f>
        <v/>
      </c>
      <c r="F241" s="10" t="str">
        <f t="shared" si="10"/>
        <v/>
      </c>
      <c r="G241" s="8"/>
      <c r="H241" s="11" t="str">
        <f>IF(B241="","",IF(OR(F241="Saturday",F241="Sunday"),SETTINGS!$B$11,IF(G241="Vacation",SETTINGS!$B$13,0)))</f>
        <v/>
      </c>
      <c r="I241" s="12" t="str">
        <f t="shared" si="11"/>
        <v/>
      </c>
      <c r="J241" s="8"/>
    </row>
    <row r="242" spans="1:10" x14ac:dyDescent="0.2">
      <c r="A242" s="7" t="str">
        <f t="shared" si="9"/>
        <v/>
      </c>
      <c r="B242" s="9"/>
      <c r="C242" s="8"/>
      <c r="D242" s="10" t="str">
        <f ca="1">IFERROR(_xludf.XLOOKUP(C242,STUDENTS!$A$5:$A$204,STUDENTS!$C$5:$C$204,""),"")</f>
        <v/>
      </c>
      <c r="E242" s="10" t="str">
        <f ca="1">IFERROR(_xludf.XLOOKUP(C242,STUDENTS!$A$5:$A$204,STUDENTS!$L$5:$L$204,""),"")</f>
        <v/>
      </c>
      <c r="F242" s="10" t="str">
        <f t="shared" si="10"/>
        <v/>
      </c>
      <c r="G242" s="8"/>
      <c r="H242" s="11" t="str">
        <f>IF(B242="","",IF(OR(F242="Saturday",F242="Sunday"),SETTINGS!$B$11,IF(G242="Vacation",SETTINGS!$B$13,0)))</f>
        <v/>
      </c>
      <c r="I242" s="12" t="str">
        <f t="shared" si="11"/>
        <v/>
      </c>
      <c r="J242" s="8"/>
    </row>
    <row r="243" spans="1:10" x14ac:dyDescent="0.2">
      <c r="A243" s="7" t="str">
        <f t="shared" si="9"/>
        <v/>
      </c>
      <c r="B243" s="9"/>
      <c r="C243" s="8"/>
      <c r="D243" s="10" t="str">
        <f ca="1">IFERROR(_xludf.XLOOKUP(C243,STUDENTS!$A$5:$A$204,STUDENTS!$C$5:$C$204,""),"")</f>
        <v/>
      </c>
      <c r="E243" s="10" t="str">
        <f ca="1">IFERROR(_xludf.XLOOKUP(C243,STUDENTS!$A$5:$A$204,STUDENTS!$L$5:$L$204,""),"")</f>
        <v/>
      </c>
      <c r="F243" s="10" t="str">
        <f t="shared" si="10"/>
        <v/>
      </c>
      <c r="G243" s="8"/>
      <c r="H243" s="11" t="str">
        <f>IF(B243="","",IF(OR(F243="Saturday",F243="Sunday"),SETTINGS!$B$11,IF(G243="Vacation",SETTINGS!$B$13,0)))</f>
        <v/>
      </c>
      <c r="I243" s="12" t="str">
        <f t="shared" si="11"/>
        <v/>
      </c>
      <c r="J243" s="8"/>
    </row>
    <row r="244" spans="1:10" x14ac:dyDescent="0.2">
      <c r="A244" s="7" t="str">
        <f t="shared" si="9"/>
        <v/>
      </c>
      <c r="B244" s="9"/>
      <c r="C244" s="8"/>
      <c r="D244" s="10" t="str">
        <f ca="1">IFERROR(_xludf.XLOOKUP(C244,STUDENTS!$A$5:$A$204,STUDENTS!$C$5:$C$204,""),"")</f>
        <v/>
      </c>
      <c r="E244" s="10" t="str">
        <f ca="1">IFERROR(_xludf.XLOOKUP(C244,STUDENTS!$A$5:$A$204,STUDENTS!$L$5:$L$204,""),"")</f>
        <v/>
      </c>
      <c r="F244" s="10" t="str">
        <f t="shared" si="10"/>
        <v/>
      </c>
      <c r="G244" s="8"/>
      <c r="H244" s="11" t="str">
        <f>IF(B244="","",IF(OR(F244="Saturday",F244="Sunday"),SETTINGS!$B$11,IF(G244="Vacation",SETTINGS!$B$13,0)))</f>
        <v/>
      </c>
      <c r="I244" s="12" t="str">
        <f t="shared" si="11"/>
        <v/>
      </c>
      <c r="J244" s="8"/>
    </row>
    <row r="245" spans="1:10" x14ac:dyDescent="0.2">
      <c r="A245" s="7" t="str">
        <f t="shared" si="9"/>
        <v/>
      </c>
      <c r="B245" s="9"/>
      <c r="C245" s="8"/>
      <c r="D245" s="10" t="str">
        <f ca="1">IFERROR(_xludf.XLOOKUP(C245,STUDENTS!$A$5:$A$204,STUDENTS!$C$5:$C$204,""),"")</f>
        <v/>
      </c>
      <c r="E245" s="10" t="str">
        <f ca="1">IFERROR(_xludf.XLOOKUP(C245,STUDENTS!$A$5:$A$204,STUDENTS!$L$5:$L$204,""),"")</f>
        <v/>
      </c>
      <c r="F245" s="10" t="str">
        <f t="shared" si="10"/>
        <v/>
      </c>
      <c r="G245" s="8"/>
      <c r="H245" s="11" t="str">
        <f>IF(B245="","",IF(OR(F245="Saturday",F245="Sunday"),SETTINGS!$B$11,IF(G245="Vacation",SETTINGS!$B$13,0)))</f>
        <v/>
      </c>
      <c r="I245" s="12" t="str">
        <f t="shared" si="11"/>
        <v/>
      </c>
      <c r="J245" s="8"/>
    </row>
    <row r="246" spans="1:10" x14ac:dyDescent="0.2">
      <c r="A246" s="7" t="str">
        <f t="shared" si="9"/>
        <v/>
      </c>
      <c r="B246" s="9"/>
      <c r="C246" s="8"/>
      <c r="D246" s="10" t="str">
        <f ca="1">IFERROR(_xludf.XLOOKUP(C246,STUDENTS!$A$5:$A$204,STUDENTS!$C$5:$C$204,""),"")</f>
        <v/>
      </c>
      <c r="E246" s="10" t="str">
        <f ca="1">IFERROR(_xludf.XLOOKUP(C246,STUDENTS!$A$5:$A$204,STUDENTS!$L$5:$L$204,""),"")</f>
        <v/>
      </c>
      <c r="F246" s="10" t="str">
        <f t="shared" si="10"/>
        <v/>
      </c>
      <c r="G246" s="8"/>
      <c r="H246" s="11" t="str">
        <f>IF(B246="","",IF(OR(F246="Saturday",F246="Sunday"),SETTINGS!$B$11,IF(G246="Vacation",SETTINGS!$B$13,0)))</f>
        <v/>
      </c>
      <c r="I246" s="12" t="str">
        <f t="shared" si="11"/>
        <v/>
      </c>
      <c r="J246" s="8"/>
    </row>
    <row r="247" spans="1:10" x14ac:dyDescent="0.2">
      <c r="A247" s="7" t="str">
        <f t="shared" si="9"/>
        <v/>
      </c>
      <c r="B247" s="9"/>
      <c r="C247" s="8"/>
      <c r="D247" s="10" t="str">
        <f ca="1">IFERROR(_xludf.XLOOKUP(C247,STUDENTS!$A$5:$A$204,STUDENTS!$C$5:$C$204,""),"")</f>
        <v/>
      </c>
      <c r="E247" s="10" t="str">
        <f ca="1">IFERROR(_xludf.XLOOKUP(C247,STUDENTS!$A$5:$A$204,STUDENTS!$L$5:$L$204,""),"")</f>
        <v/>
      </c>
      <c r="F247" s="10" t="str">
        <f t="shared" si="10"/>
        <v/>
      </c>
      <c r="G247" s="8"/>
      <c r="H247" s="11" t="str">
        <f>IF(B247="","",IF(OR(F247="Saturday",F247="Sunday"),SETTINGS!$B$11,IF(G247="Vacation",SETTINGS!$B$13,0)))</f>
        <v/>
      </c>
      <c r="I247" s="12" t="str">
        <f t="shared" si="11"/>
        <v/>
      </c>
      <c r="J247" s="8"/>
    </row>
    <row r="248" spans="1:10" x14ac:dyDescent="0.2">
      <c r="A248" s="7" t="str">
        <f t="shared" si="9"/>
        <v/>
      </c>
      <c r="B248" s="9"/>
      <c r="C248" s="8"/>
      <c r="D248" s="10" t="str">
        <f ca="1">IFERROR(_xludf.XLOOKUP(C248,STUDENTS!$A$5:$A$204,STUDENTS!$C$5:$C$204,""),"")</f>
        <v/>
      </c>
      <c r="E248" s="10" t="str">
        <f ca="1">IFERROR(_xludf.XLOOKUP(C248,STUDENTS!$A$5:$A$204,STUDENTS!$L$5:$L$204,""),"")</f>
        <v/>
      </c>
      <c r="F248" s="10" t="str">
        <f t="shared" si="10"/>
        <v/>
      </c>
      <c r="G248" s="8"/>
      <c r="H248" s="11" t="str">
        <f>IF(B248="","",IF(OR(F248="Saturday",F248="Sunday"),SETTINGS!$B$11,IF(G248="Vacation",SETTINGS!$B$13,0)))</f>
        <v/>
      </c>
      <c r="I248" s="12" t="str">
        <f t="shared" si="11"/>
        <v/>
      </c>
      <c r="J248" s="8"/>
    </row>
    <row r="249" spans="1:10" x14ac:dyDescent="0.2">
      <c r="A249" s="7" t="str">
        <f t="shared" si="9"/>
        <v/>
      </c>
      <c r="B249" s="9"/>
      <c r="C249" s="8"/>
      <c r="D249" s="10" t="str">
        <f ca="1">IFERROR(_xludf.XLOOKUP(C249,STUDENTS!$A$5:$A$204,STUDENTS!$C$5:$C$204,""),"")</f>
        <v/>
      </c>
      <c r="E249" s="10" t="str">
        <f ca="1">IFERROR(_xludf.XLOOKUP(C249,STUDENTS!$A$5:$A$204,STUDENTS!$L$5:$L$204,""),"")</f>
        <v/>
      </c>
      <c r="F249" s="10" t="str">
        <f t="shared" si="10"/>
        <v/>
      </c>
      <c r="G249" s="8"/>
      <c r="H249" s="11" t="str">
        <f>IF(B249="","",IF(OR(F249="Saturday",F249="Sunday"),SETTINGS!$B$11,IF(G249="Vacation",SETTINGS!$B$13,0)))</f>
        <v/>
      </c>
      <c r="I249" s="12" t="str">
        <f t="shared" si="11"/>
        <v/>
      </c>
      <c r="J249" s="8"/>
    </row>
    <row r="250" spans="1:10" x14ac:dyDescent="0.2">
      <c r="A250" s="7" t="str">
        <f t="shared" si="9"/>
        <v/>
      </c>
      <c r="B250" s="9"/>
      <c r="C250" s="8"/>
      <c r="D250" s="10" t="str">
        <f ca="1">IFERROR(_xludf.XLOOKUP(C250,STUDENTS!$A$5:$A$204,STUDENTS!$C$5:$C$204,""),"")</f>
        <v/>
      </c>
      <c r="E250" s="10" t="str">
        <f ca="1">IFERROR(_xludf.XLOOKUP(C250,STUDENTS!$A$5:$A$204,STUDENTS!$L$5:$L$204,""),"")</f>
        <v/>
      </c>
      <c r="F250" s="10" t="str">
        <f t="shared" si="10"/>
        <v/>
      </c>
      <c r="G250" s="8"/>
      <c r="H250" s="11" t="str">
        <f>IF(B250="","",IF(OR(F250="Saturday",F250="Sunday"),SETTINGS!$B$11,IF(G250="Vacation",SETTINGS!$B$13,0)))</f>
        <v/>
      </c>
      <c r="I250" s="12" t="str">
        <f t="shared" si="11"/>
        <v/>
      </c>
      <c r="J250" s="8"/>
    </row>
    <row r="251" spans="1:10" x14ac:dyDescent="0.2">
      <c r="A251" s="7" t="str">
        <f t="shared" si="9"/>
        <v/>
      </c>
      <c r="B251" s="9"/>
      <c r="C251" s="8"/>
      <c r="D251" s="10" t="str">
        <f ca="1">IFERROR(_xludf.XLOOKUP(C251,STUDENTS!$A$5:$A$204,STUDENTS!$C$5:$C$204,""),"")</f>
        <v/>
      </c>
      <c r="E251" s="10" t="str">
        <f ca="1">IFERROR(_xludf.XLOOKUP(C251,STUDENTS!$A$5:$A$204,STUDENTS!$L$5:$L$204,""),"")</f>
        <v/>
      </c>
      <c r="F251" s="10" t="str">
        <f t="shared" si="10"/>
        <v/>
      </c>
      <c r="G251" s="8"/>
      <c r="H251" s="11" t="str">
        <f>IF(B251="","",IF(OR(F251="Saturday",F251="Sunday"),SETTINGS!$B$11,IF(G251="Vacation",SETTINGS!$B$13,0)))</f>
        <v/>
      </c>
      <c r="I251" s="12" t="str">
        <f t="shared" si="11"/>
        <v/>
      </c>
      <c r="J251" s="8"/>
    </row>
    <row r="252" spans="1:10" x14ac:dyDescent="0.2">
      <c r="A252" s="7" t="str">
        <f t="shared" si="9"/>
        <v/>
      </c>
      <c r="B252" s="9"/>
      <c r="C252" s="8"/>
      <c r="D252" s="10" t="str">
        <f ca="1">IFERROR(_xludf.XLOOKUP(C252,STUDENTS!$A$5:$A$204,STUDENTS!$C$5:$C$204,""),"")</f>
        <v/>
      </c>
      <c r="E252" s="10" t="str">
        <f ca="1">IFERROR(_xludf.XLOOKUP(C252,STUDENTS!$A$5:$A$204,STUDENTS!$L$5:$L$204,""),"")</f>
        <v/>
      </c>
      <c r="F252" s="10" t="str">
        <f t="shared" si="10"/>
        <v/>
      </c>
      <c r="G252" s="8"/>
      <c r="H252" s="11" t="str">
        <f>IF(B252="","",IF(OR(F252="Saturday",F252="Sunday"),SETTINGS!$B$11,IF(G252="Vacation",SETTINGS!$B$13,0)))</f>
        <v/>
      </c>
      <c r="I252" s="12" t="str">
        <f t="shared" si="11"/>
        <v/>
      </c>
      <c r="J252" s="8"/>
    </row>
    <row r="253" spans="1:10" x14ac:dyDescent="0.2">
      <c r="A253" s="7" t="str">
        <f t="shared" si="9"/>
        <v/>
      </c>
      <c r="B253" s="9"/>
      <c r="C253" s="8"/>
      <c r="D253" s="10" t="str">
        <f ca="1">IFERROR(_xludf.XLOOKUP(C253,STUDENTS!$A$5:$A$204,STUDENTS!$C$5:$C$204,""),"")</f>
        <v/>
      </c>
      <c r="E253" s="10" t="str">
        <f ca="1">IFERROR(_xludf.XLOOKUP(C253,STUDENTS!$A$5:$A$204,STUDENTS!$L$5:$L$204,""),"")</f>
        <v/>
      </c>
      <c r="F253" s="10" t="str">
        <f t="shared" si="10"/>
        <v/>
      </c>
      <c r="G253" s="8"/>
      <c r="H253" s="11" t="str">
        <f>IF(B253="","",IF(OR(F253="Saturday",F253="Sunday"),SETTINGS!$B$11,IF(G253="Vacation",SETTINGS!$B$13,0)))</f>
        <v/>
      </c>
      <c r="I253" s="12" t="str">
        <f t="shared" si="11"/>
        <v/>
      </c>
      <c r="J253" s="8"/>
    </row>
    <row r="254" spans="1:10" x14ac:dyDescent="0.2">
      <c r="A254" s="7" t="str">
        <f t="shared" si="9"/>
        <v/>
      </c>
      <c r="B254" s="9"/>
      <c r="C254" s="8"/>
      <c r="D254" s="10" t="str">
        <f ca="1">IFERROR(_xludf.XLOOKUP(C254,STUDENTS!$A$5:$A$204,STUDENTS!$C$5:$C$204,""),"")</f>
        <v/>
      </c>
      <c r="E254" s="10" t="str">
        <f ca="1">IFERROR(_xludf.XLOOKUP(C254,STUDENTS!$A$5:$A$204,STUDENTS!$L$5:$L$204,""),"")</f>
        <v/>
      </c>
      <c r="F254" s="10" t="str">
        <f t="shared" si="10"/>
        <v/>
      </c>
      <c r="G254" s="8"/>
      <c r="H254" s="11" t="str">
        <f>IF(B254="","",IF(OR(F254="Saturday",F254="Sunday"),SETTINGS!$B$11,IF(G254="Vacation",SETTINGS!$B$13,0)))</f>
        <v/>
      </c>
      <c r="I254" s="12" t="str">
        <f t="shared" si="11"/>
        <v/>
      </c>
      <c r="J254" s="8"/>
    </row>
    <row r="255" spans="1:10" x14ac:dyDescent="0.2">
      <c r="A255" s="7" t="str">
        <f t="shared" si="9"/>
        <v/>
      </c>
      <c r="B255" s="9"/>
      <c r="C255" s="8"/>
      <c r="D255" s="10" t="str">
        <f ca="1">IFERROR(_xludf.XLOOKUP(C255,STUDENTS!$A$5:$A$204,STUDENTS!$C$5:$C$204,""),"")</f>
        <v/>
      </c>
      <c r="E255" s="10" t="str">
        <f ca="1">IFERROR(_xludf.XLOOKUP(C255,STUDENTS!$A$5:$A$204,STUDENTS!$L$5:$L$204,""),"")</f>
        <v/>
      </c>
      <c r="F255" s="10" t="str">
        <f t="shared" si="10"/>
        <v/>
      </c>
      <c r="G255" s="8"/>
      <c r="H255" s="11" t="str">
        <f>IF(B255="","",IF(OR(F255="Saturday",F255="Sunday"),SETTINGS!$B$11,IF(G255="Vacation",SETTINGS!$B$13,0)))</f>
        <v/>
      </c>
      <c r="I255" s="12" t="str">
        <f t="shared" si="11"/>
        <v/>
      </c>
      <c r="J255" s="8"/>
    </row>
    <row r="256" spans="1:10" x14ac:dyDescent="0.2">
      <c r="A256" s="7" t="str">
        <f t="shared" si="9"/>
        <v/>
      </c>
      <c r="B256" s="9"/>
      <c r="C256" s="8"/>
      <c r="D256" s="10" t="str">
        <f ca="1">IFERROR(_xludf.XLOOKUP(C256,STUDENTS!$A$5:$A$204,STUDENTS!$C$5:$C$204,""),"")</f>
        <v/>
      </c>
      <c r="E256" s="10" t="str">
        <f ca="1">IFERROR(_xludf.XLOOKUP(C256,STUDENTS!$A$5:$A$204,STUDENTS!$L$5:$L$204,""),"")</f>
        <v/>
      </c>
      <c r="F256" s="10" t="str">
        <f t="shared" si="10"/>
        <v/>
      </c>
      <c r="G256" s="8"/>
      <c r="H256" s="11" t="str">
        <f>IF(B256="","",IF(OR(F256="Saturday",F256="Sunday"),SETTINGS!$B$11,IF(G256="Vacation",SETTINGS!$B$13,0)))</f>
        <v/>
      </c>
      <c r="I256" s="12" t="str">
        <f t="shared" si="11"/>
        <v/>
      </c>
      <c r="J256" s="8"/>
    </row>
    <row r="257" spans="1:10" x14ac:dyDescent="0.2">
      <c r="A257" s="7" t="str">
        <f t="shared" si="9"/>
        <v/>
      </c>
      <c r="B257" s="9"/>
      <c r="C257" s="8"/>
      <c r="D257" s="10" t="str">
        <f ca="1">IFERROR(_xludf.XLOOKUP(C257,STUDENTS!$A$5:$A$204,STUDENTS!$C$5:$C$204,""),"")</f>
        <v/>
      </c>
      <c r="E257" s="10" t="str">
        <f ca="1">IFERROR(_xludf.XLOOKUP(C257,STUDENTS!$A$5:$A$204,STUDENTS!$L$5:$L$204,""),"")</f>
        <v/>
      </c>
      <c r="F257" s="10" t="str">
        <f t="shared" si="10"/>
        <v/>
      </c>
      <c r="G257" s="8"/>
      <c r="H257" s="11" t="str">
        <f>IF(B257="","",IF(OR(F257="Saturday",F257="Sunday"),SETTINGS!$B$11,IF(G257="Vacation",SETTINGS!$B$13,0)))</f>
        <v/>
      </c>
      <c r="I257" s="12" t="str">
        <f t="shared" si="11"/>
        <v/>
      </c>
      <c r="J257" s="8"/>
    </row>
    <row r="258" spans="1:10" x14ac:dyDescent="0.2">
      <c r="A258" s="7" t="str">
        <f t="shared" si="9"/>
        <v/>
      </c>
      <c r="B258" s="9"/>
      <c r="C258" s="8"/>
      <c r="D258" s="10" t="str">
        <f ca="1">IFERROR(_xludf.XLOOKUP(C258,STUDENTS!$A$5:$A$204,STUDENTS!$C$5:$C$204,""),"")</f>
        <v/>
      </c>
      <c r="E258" s="10" t="str">
        <f ca="1">IFERROR(_xludf.XLOOKUP(C258,STUDENTS!$A$5:$A$204,STUDENTS!$L$5:$L$204,""),"")</f>
        <v/>
      </c>
      <c r="F258" s="10" t="str">
        <f t="shared" si="10"/>
        <v/>
      </c>
      <c r="G258" s="8"/>
      <c r="H258" s="11" t="str">
        <f>IF(B258="","",IF(OR(F258="Saturday",F258="Sunday"),SETTINGS!$B$11,IF(G258="Vacation",SETTINGS!$B$13,0)))</f>
        <v/>
      </c>
      <c r="I258" s="12" t="str">
        <f t="shared" si="11"/>
        <v/>
      </c>
      <c r="J258" s="8"/>
    </row>
    <row r="259" spans="1:10" x14ac:dyDescent="0.2">
      <c r="A259" s="7" t="str">
        <f t="shared" si="9"/>
        <v/>
      </c>
      <c r="B259" s="9"/>
      <c r="C259" s="8"/>
      <c r="D259" s="10" t="str">
        <f ca="1">IFERROR(_xludf.XLOOKUP(C259,STUDENTS!$A$5:$A$204,STUDENTS!$C$5:$C$204,""),"")</f>
        <v/>
      </c>
      <c r="E259" s="10" t="str">
        <f ca="1">IFERROR(_xludf.XLOOKUP(C259,STUDENTS!$A$5:$A$204,STUDENTS!$L$5:$L$204,""),"")</f>
        <v/>
      </c>
      <c r="F259" s="10" t="str">
        <f t="shared" si="10"/>
        <v/>
      </c>
      <c r="G259" s="8"/>
      <c r="H259" s="11" t="str">
        <f>IF(B259="","",IF(OR(F259="Saturday",F259="Sunday"),SETTINGS!$B$11,IF(G259="Vacation",SETTINGS!$B$13,0)))</f>
        <v/>
      </c>
      <c r="I259" s="12" t="str">
        <f t="shared" si="11"/>
        <v/>
      </c>
      <c r="J259" s="8"/>
    </row>
    <row r="260" spans="1:10" x14ac:dyDescent="0.2">
      <c r="A260" s="7" t="str">
        <f t="shared" si="9"/>
        <v/>
      </c>
      <c r="B260" s="9"/>
      <c r="C260" s="8"/>
      <c r="D260" s="10" t="str">
        <f ca="1">IFERROR(_xludf.XLOOKUP(C260,STUDENTS!$A$5:$A$204,STUDENTS!$C$5:$C$204,""),"")</f>
        <v/>
      </c>
      <c r="E260" s="10" t="str">
        <f ca="1">IFERROR(_xludf.XLOOKUP(C260,STUDENTS!$A$5:$A$204,STUDENTS!$L$5:$L$204,""),"")</f>
        <v/>
      </c>
      <c r="F260" s="10" t="str">
        <f t="shared" si="10"/>
        <v/>
      </c>
      <c r="G260" s="8"/>
      <c r="H260" s="11" t="str">
        <f>IF(B260="","",IF(OR(F260="Saturday",F260="Sunday"),SETTINGS!$B$11,IF(G260="Vacation",SETTINGS!$B$13,0)))</f>
        <v/>
      </c>
      <c r="I260" s="12" t="str">
        <f t="shared" si="11"/>
        <v/>
      </c>
      <c r="J260" s="8"/>
    </row>
    <row r="261" spans="1:10" x14ac:dyDescent="0.2">
      <c r="A261" s="7" t="str">
        <f t="shared" ref="A261:A324" si="12">IF(C261="","","F-"&amp;TEXT(ROW()-4,"00000"))</f>
        <v/>
      </c>
      <c r="B261" s="9"/>
      <c r="C261" s="8"/>
      <c r="D261" s="10" t="str">
        <f ca="1">IFERROR(_xludf.XLOOKUP(C261,STUDENTS!$A$5:$A$204,STUDENTS!$C$5:$C$204,""),"")</f>
        <v/>
      </c>
      <c r="E261" s="10" t="str">
        <f ca="1">IFERROR(_xludf.XLOOKUP(C261,STUDENTS!$A$5:$A$204,STUDENTS!$L$5:$L$204,""),"")</f>
        <v/>
      </c>
      <c r="F261" s="10" t="str">
        <f t="shared" ref="F261:F324" si="13">IF(B261="","",TEXT(B261,"dddd"))</f>
        <v/>
      </c>
      <c r="G261" s="8"/>
      <c r="H261" s="11" t="str">
        <f>IF(B261="","",IF(OR(F261="Saturday",F261="Sunday"),SETTINGS!$B$11,IF(G261="Vacation",SETTINGS!$B$13,0)))</f>
        <v/>
      </c>
      <c r="I261" s="12" t="str">
        <f t="shared" ref="I261:I324" si="14">IF(H261="","",H261)</f>
        <v/>
      </c>
      <c r="J261" s="8"/>
    </row>
    <row r="262" spans="1:10" x14ac:dyDescent="0.2">
      <c r="A262" s="7" t="str">
        <f t="shared" si="12"/>
        <v/>
      </c>
      <c r="B262" s="9"/>
      <c r="C262" s="8"/>
      <c r="D262" s="10" t="str">
        <f ca="1">IFERROR(_xludf.XLOOKUP(C262,STUDENTS!$A$5:$A$204,STUDENTS!$C$5:$C$204,""),"")</f>
        <v/>
      </c>
      <c r="E262" s="10" t="str">
        <f ca="1">IFERROR(_xludf.XLOOKUP(C262,STUDENTS!$A$5:$A$204,STUDENTS!$L$5:$L$204,""),"")</f>
        <v/>
      </c>
      <c r="F262" s="10" t="str">
        <f t="shared" si="13"/>
        <v/>
      </c>
      <c r="G262" s="8"/>
      <c r="H262" s="11" t="str">
        <f>IF(B262="","",IF(OR(F262="Saturday",F262="Sunday"),SETTINGS!$B$11,IF(G262="Vacation",SETTINGS!$B$13,0)))</f>
        <v/>
      </c>
      <c r="I262" s="12" t="str">
        <f t="shared" si="14"/>
        <v/>
      </c>
      <c r="J262" s="8"/>
    </row>
    <row r="263" spans="1:10" x14ac:dyDescent="0.2">
      <c r="A263" s="7" t="str">
        <f t="shared" si="12"/>
        <v/>
      </c>
      <c r="B263" s="9"/>
      <c r="C263" s="8"/>
      <c r="D263" s="10" t="str">
        <f ca="1">IFERROR(_xludf.XLOOKUP(C263,STUDENTS!$A$5:$A$204,STUDENTS!$C$5:$C$204,""),"")</f>
        <v/>
      </c>
      <c r="E263" s="10" t="str">
        <f ca="1">IFERROR(_xludf.XLOOKUP(C263,STUDENTS!$A$5:$A$204,STUDENTS!$L$5:$L$204,""),"")</f>
        <v/>
      </c>
      <c r="F263" s="10" t="str">
        <f t="shared" si="13"/>
        <v/>
      </c>
      <c r="G263" s="8"/>
      <c r="H263" s="11" t="str">
        <f>IF(B263="","",IF(OR(F263="Saturday",F263="Sunday"),SETTINGS!$B$11,IF(G263="Vacation",SETTINGS!$B$13,0)))</f>
        <v/>
      </c>
      <c r="I263" s="12" t="str">
        <f t="shared" si="14"/>
        <v/>
      </c>
      <c r="J263" s="8"/>
    </row>
    <row r="264" spans="1:10" x14ac:dyDescent="0.2">
      <c r="A264" s="7" t="str">
        <f t="shared" si="12"/>
        <v/>
      </c>
      <c r="B264" s="9"/>
      <c r="C264" s="8"/>
      <c r="D264" s="10" t="str">
        <f ca="1">IFERROR(_xludf.XLOOKUP(C264,STUDENTS!$A$5:$A$204,STUDENTS!$C$5:$C$204,""),"")</f>
        <v/>
      </c>
      <c r="E264" s="10" t="str">
        <f ca="1">IFERROR(_xludf.XLOOKUP(C264,STUDENTS!$A$5:$A$204,STUDENTS!$L$5:$L$204,""),"")</f>
        <v/>
      </c>
      <c r="F264" s="10" t="str">
        <f t="shared" si="13"/>
        <v/>
      </c>
      <c r="G264" s="8"/>
      <c r="H264" s="11" t="str">
        <f>IF(B264="","",IF(OR(F264="Saturday",F264="Sunday"),SETTINGS!$B$11,IF(G264="Vacation",SETTINGS!$B$13,0)))</f>
        <v/>
      </c>
      <c r="I264" s="12" t="str">
        <f t="shared" si="14"/>
        <v/>
      </c>
      <c r="J264" s="8"/>
    </row>
    <row r="265" spans="1:10" x14ac:dyDescent="0.2">
      <c r="A265" s="7" t="str">
        <f t="shared" si="12"/>
        <v/>
      </c>
      <c r="B265" s="9"/>
      <c r="C265" s="8"/>
      <c r="D265" s="10" t="str">
        <f ca="1">IFERROR(_xludf.XLOOKUP(C265,STUDENTS!$A$5:$A$204,STUDENTS!$C$5:$C$204,""),"")</f>
        <v/>
      </c>
      <c r="E265" s="10" t="str">
        <f ca="1">IFERROR(_xludf.XLOOKUP(C265,STUDENTS!$A$5:$A$204,STUDENTS!$L$5:$L$204,""),"")</f>
        <v/>
      </c>
      <c r="F265" s="10" t="str">
        <f t="shared" si="13"/>
        <v/>
      </c>
      <c r="G265" s="8"/>
      <c r="H265" s="11" t="str">
        <f>IF(B265="","",IF(OR(F265="Saturday",F265="Sunday"),SETTINGS!$B$11,IF(G265="Vacation",SETTINGS!$B$13,0)))</f>
        <v/>
      </c>
      <c r="I265" s="12" t="str">
        <f t="shared" si="14"/>
        <v/>
      </c>
      <c r="J265" s="8"/>
    </row>
    <row r="266" spans="1:10" x14ac:dyDescent="0.2">
      <c r="A266" s="7" t="str">
        <f t="shared" si="12"/>
        <v/>
      </c>
      <c r="B266" s="9"/>
      <c r="C266" s="8"/>
      <c r="D266" s="10" t="str">
        <f ca="1">IFERROR(_xludf.XLOOKUP(C266,STUDENTS!$A$5:$A$204,STUDENTS!$C$5:$C$204,""),"")</f>
        <v/>
      </c>
      <c r="E266" s="10" t="str">
        <f ca="1">IFERROR(_xludf.XLOOKUP(C266,STUDENTS!$A$5:$A$204,STUDENTS!$L$5:$L$204,""),"")</f>
        <v/>
      </c>
      <c r="F266" s="10" t="str">
        <f t="shared" si="13"/>
        <v/>
      </c>
      <c r="G266" s="8"/>
      <c r="H266" s="11" t="str">
        <f>IF(B266="","",IF(OR(F266="Saturday",F266="Sunday"),SETTINGS!$B$11,IF(G266="Vacation",SETTINGS!$B$13,0)))</f>
        <v/>
      </c>
      <c r="I266" s="12" t="str">
        <f t="shared" si="14"/>
        <v/>
      </c>
      <c r="J266" s="8"/>
    </row>
    <row r="267" spans="1:10" x14ac:dyDescent="0.2">
      <c r="A267" s="7" t="str">
        <f t="shared" si="12"/>
        <v/>
      </c>
      <c r="B267" s="9"/>
      <c r="C267" s="8"/>
      <c r="D267" s="10" t="str">
        <f ca="1">IFERROR(_xludf.XLOOKUP(C267,STUDENTS!$A$5:$A$204,STUDENTS!$C$5:$C$204,""),"")</f>
        <v/>
      </c>
      <c r="E267" s="10" t="str">
        <f ca="1">IFERROR(_xludf.XLOOKUP(C267,STUDENTS!$A$5:$A$204,STUDENTS!$L$5:$L$204,""),"")</f>
        <v/>
      </c>
      <c r="F267" s="10" t="str">
        <f t="shared" si="13"/>
        <v/>
      </c>
      <c r="G267" s="8"/>
      <c r="H267" s="11" t="str">
        <f>IF(B267="","",IF(OR(F267="Saturday",F267="Sunday"),SETTINGS!$B$11,IF(G267="Vacation",SETTINGS!$B$13,0)))</f>
        <v/>
      </c>
      <c r="I267" s="12" t="str">
        <f t="shared" si="14"/>
        <v/>
      </c>
      <c r="J267" s="8"/>
    </row>
    <row r="268" spans="1:10" x14ac:dyDescent="0.2">
      <c r="A268" s="7" t="str">
        <f t="shared" si="12"/>
        <v/>
      </c>
      <c r="B268" s="9"/>
      <c r="C268" s="8"/>
      <c r="D268" s="10" t="str">
        <f ca="1">IFERROR(_xludf.XLOOKUP(C268,STUDENTS!$A$5:$A$204,STUDENTS!$C$5:$C$204,""),"")</f>
        <v/>
      </c>
      <c r="E268" s="10" t="str">
        <f ca="1">IFERROR(_xludf.XLOOKUP(C268,STUDENTS!$A$5:$A$204,STUDENTS!$L$5:$L$204,""),"")</f>
        <v/>
      </c>
      <c r="F268" s="10" t="str">
        <f t="shared" si="13"/>
        <v/>
      </c>
      <c r="G268" s="8"/>
      <c r="H268" s="11" t="str">
        <f>IF(B268="","",IF(OR(F268="Saturday",F268="Sunday"),SETTINGS!$B$11,IF(G268="Vacation",SETTINGS!$B$13,0)))</f>
        <v/>
      </c>
      <c r="I268" s="12" t="str">
        <f t="shared" si="14"/>
        <v/>
      </c>
      <c r="J268" s="8"/>
    </row>
    <row r="269" spans="1:10" x14ac:dyDescent="0.2">
      <c r="A269" s="7" t="str">
        <f t="shared" si="12"/>
        <v/>
      </c>
      <c r="B269" s="9"/>
      <c r="C269" s="8"/>
      <c r="D269" s="10" t="str">
        <f ca="1">IFERROR(_xludf.XLOOKUP(C269,STUDENTS!$A$5:$A$204,STUDENTS!$C$5:$C$204,""),"")</f>
        <v/>
      </c>
      <c r="E269" s="10" t="str">
        <f ca="1">IFERROR(_xludf.XLOOKUP(C269,STUDENTS!$A$5:$A$204,STUDENTS!$L$5:$L$204,""),"")</f>
        <v/>
      </c>
      <c r="F269" s="10" t="str">
        <f t="shared" si="13"/>
        <v/>
      </c>
      <c r="G269" s="8"/>
      <c r="H269" s="11" t="str">
        <f>IF(B269="","",IF(OR(F269="Saturday",F269="Sunday"),SETTINGS!$B$11,IF(G269="Vacation",SETTINGS!$B$13,0)))</f>
        <v/>
      </c>
      <c r="I269" s="12" t="str">
        <f t="shared" si="14"/>
        <v/>
      </c>
      <c r="J269" s="8"/>
    </row>
    <row r="270" spans="1:10" x14ac:dyDescent="0.2">
      <c r="A270" s="7" t="str">
        <f t="shared" si="12"/>
        <v/>
      </c>
      <c r="B270" s="9"/>
      <c r="C270" s="8"/>
      <c r="D270" s="10" t="str">
        <f ca="1">IFERROR(_xludf.XLOOKUP(C270,STUDENTS!$A$5:$A$204,STUDENTS!$C$5:$C$204,""),"")</f>
        <v/>
      </c>
      <c r="E270" s="10" t="str">
        <f ca="1">IFERROR(_xludf.XLOOKUP(C270,STUDENTS!$A$5:$A$204,STUDENTS!$L$5:$L$204,""),"")</f>
        <v/>
      </c>
      <c r="F270" s="10" t="str">
        <f t="shared" si="13"/>
        <v/>
      </c>
      <c r="G270" s="8"/>
      <c r="H270" s="11" t="str">
        <f>IF(B270="","",IF(OR(F270="Saturday",F270="Sunday"),SETTINGS!$B$11,IF(G270="Vacation",SETTINGS!$B$13,0)))</f>
        <v/>
      </c>
      <c r="I270" s="12" t="str">
        <f t="shared" si="14"/>
        <v/>
      </c>
      <c r="J270" s="8"/>
    </row>
    <row r="271" spans="1:10" x14ac:dyDescent="0.2">
      <c r="A271" s="7" t="str">
        <f t="shared" si="12"/>
        <v/>
      </c>
      <c r="B271" s="9"/>
      <c r="C271" s="8"/>
      <c r="D271" s="10" t="str">
        <f ca="1">IFERROR(_xludf.XLOOKUP(C271,STUDENTS!$A$5:$A$204,STUDENTS!$C$5:$C$204,""),"")</f>
        <v/>
      </c>
      <c r="E271" s="10" t="str">
        <f ca="1">IFERROR(_xludf.XLOOKUP(C271,STUDENTS!$A$5:$A$204,STUDENTS!$L$5:$L$204,""),"")</f>
        <v/>
      </c>
      <c r="F271" s="10" t="str">
        <f t="shared" si="13"/>
        <v/>
      </c>
      <c r="G271" s="8"/>
      <c r="H271" s="11" t="str">
        <f>IF(B271="","",IF(OR(F271="Saturday",F271="Sunday"),SETTINGS!$B$11,IF(G271="Vacation",SETTINGS!$B$13,0)))</f>
        <v/>
      </c>
      <c r="I271" s="12" t="str">
        <f t="shared" si="14"/>
        <v/>
      </c>
      <c r="J271" s="8"/>
    </row>
    <row r="272" spans="1:10" x14ac:dyDescent="0.2">
      <c r="A272" s="7" t="str">
        <f t="shared" si="12"/>
        <v/>
      </c>
      <c r="B272" s="9"/>
      <c r="C272" s="8"/>
      <c r="D272" s="10" t="str">
        <f ca="1">IFERROR(_xludf.XLOOKUP(C272,STUDENTS!$A$5:$A$204,STUDENTS!$C$5:$C$204,""),"")</f>
        <v/>
      </c>
      <c r="E272" s="10" t="str">
        <f ca="1">IFERROR(_xludf.XLOOKUP(C272,STUDENTS!$A$5:$A$204,STUDENTS!$L$5:$L$204,""),"")</f>
        <v/>
      </c>
      <c r="F272" s="10" t="str">
        <f t="shared" si="13"/>
        <v/>
      </c>
      <c r="G272" s="8"/>
      <c r="H272" s="11" t="str">
        <f>IF(B272="","",IF(OR(F272="Saturday",F272="Sunday"),SETTINGS!$B$11,IF(G272="Vacation",SETTINGS!$B$13,0)))</f>
        <v/>
      </c>
      <c r="I272" s="12" t="str">
        <f t="shared" si="14"/>
        <v/>
      </c>
      <c r="J272" s="8"/>
    </row>
    <row r="273" spans="1:10" x14ac:dyDescent="0.2">
      <c r="A273" s="7" t="str">
        <f t="shared" si="12"/>
        <v/>
      </c>
      <c r="B273" s="9"/>
      <c r="C273" s="8"/>
      <c r="D273" s="10" t="str">
        <f ca="1">IFERROR(_xludf.XLOOKUP(C273,STUDENTS!$A$5:$A$204,STUDENTS!$C$5:$C$204,""),"")</f>
        <v/>
      </c>
      <c r="E273" s="10" t="str">
        <f ca="1">IFERROR(_xludf.XLOOKUP(C273,STUDENTS!$A$5:$A$204,STUDENTS!$L$5:$L$204,""),"")</f>
        <v/>
      </c>
      <c r="F273" s="10" t="str">
        <f t="shared" si="13"/>
        <v/>
      </c>
      <c r="G273" s="8"/>
      <c r="H273" s="11" t="str">
        <f>IF(B273="","",IF(OR(F273="Saturday",F273="Sunday"),SETTINGS!$B$11,IF(G273="Vacation",SETTINGS!$B$13,0)))</f>
        <v/>
      </c>
      <c r="I273" s="12" t="str">
        <f t="shared" si="14"/>
        <v/>
      </c>
      <c r="J273" s="8"/>
    </row>
    <row r="274" spans="1:10" x14ac:dyDescent="0.2">
      <c r="A274" s="7" t="str">
        <f t="shared" si="12"/>
        <v/>
      </c>
      <c r="B274" s="9"/>
      <c r="C274" s="8"/>
      <c r="D274" s="10" t="str">
        <f ca="1">IFERROR(_xludf.XLOOKUP(C274,STUDENTS!$A$5:$A$204,STUDENTS!$C$5:$C$204,""),"")</f>
        <v/>
      </c>
      <c r="E274" s="10" t="str">
        <f ca="1">IFERROR(_xludf.XLOOKUP(C274,STUDENTS!$A$5:$A$204,STUDENTS!$L$5:$L$204,""),"")</f>
        <v/>
      </c>
      <c r="F274" s="10" t="str">
        <f t="shared" si="13"/>
        <v/>
      </c>
      <c r="G274" s="8"/>
      <c r="H274" s="11" t="str">
        <f>IF(B274="","",IF(OR(F274="Saturday",F274="Sunday"),SETTINGS!$B$11,IF(G274="Vacation",SETTINGS!$B$13,0)))</f>
        <v/>
      </c>
      <c r="I274" s="12" t="str">
        <f t="shared" si="14"/>
        <v/>
      </c>
      <c r="J274" s="8"/>
    </row>
    <row r="275" spans="1:10" x14ac:dyDescent="0.2">
      <c r="A275" s="7" t="str">
        <f t="shared" si="12"/>
        <v/>
      </c>
      <c r="B275" s="9"/>
      <c r="C275" s="8"/>
      <c r="D275" s="10" t="str">
        <f ca="1">IFERROR(_xludf.XLOOKUP(C275,STUDENTS!$A$5:$A$204,STUDENTS!$C$5:$C$204,""),"")</f>
        <v/>
      </c>
      <c r="E275" s="10" t="str">
        <f ca="1">IFERROR(_xludf.XLOOKUP(C275,STUDENTS!$A$5:$A$204,STUDENTS!$L$5:$L$204,""),"")</f>
        <v/>
      </c>
      <c r="F275" s="10" t="str">
        <f t="shared" si="13"/>
        <v/>
      </c>
      <c r="G275" s="8"/>
      <c r="H275" s="11" t="str">
        <f>IF(B275="","",IF(OR(F275="Saturday",F275="Sunday"),SETTINGS!$B$11,IF(G275="Vacation",SETTINGS!$B$13,0)))</f>
        <v/>
      </c>
      <c r="I275" s="12" t="str">
        <f t="shared" si="14"/>
        <v/>
      </c>
      <c r="J275" s="8"/>
    </row>
    <row r="276" spans="1:10" x14ac:dyDescent="0.2">
      <c r="A276" s="7" t="str">
        <f t="shared" si="12"/>
        <v/>
      </c>
      <c r="B276" s="9"/>
      <c r="C276" s="8"/>
      <c r="D276" s="10" t="str">
        <f ca="1">IFERROR(_xludf.XLOOKUP(C276,STUDENTS!$A$5:$A$204,STUDENTS!$C$5:$C$204,""),"")</f>
        <v/>
      </c>
      <c r="E276" s="10" t="str">
        <f ca="1">IFERROR(_xludf.XLOOKUP(C276,STUDENTS!$A$5:$A$204,STUDENTS!$L$5:$L$204,""),"")</f>
        <v/>
      </c>
      <c r="F276" s="10" t="str">
        <f t="shared" si="13"/>
        <v/>
      </c>
      <c r="G276" s="8"/>
      <c r="H276" s="11" t="str">
        <f>IF(B276="","",IF(OR(F276="Saturday",F276="Sunday"),SETTINGS!$B$11,IF(G276="Vacation",SETTINGS!$B$13,0)))</f>
        <v/>
      </c>
      <c r="I276" s="12" t="str">
        <f t="shared" si="14"/>
        <v/>
      </c>
      <c r="J276" s="8"/>
    </row>
    <row r="277" spans="1:10" x14ac:dyDescent="0.2">
      <c r="A277" s="7" t="str">
        <f t="shared" si="12"/>
        <v/>
      </c>
      <c r="B277" s="9"/>
      <c r="C277" s="8"/>
      <c r="D277" s="10" t="str">
        <f ca="1">IFERROR(_xludf.XLOOKUP(C277,STUDENTS!$A$5:$A$204,STUDENTS!$C$5:$C$204,""),"")</f>
        <v/>
      </c>
      <c r="E277" s="10" t="str">
        <f ca="1">IFERROR(_xludf.XLOOKUP(C277,STUDENTS!$A$5:$A$204,STUDENTS!$L$5:$L$204,""),"")</f>
        <v/>
      </c>
      <c r="F277" s="10" t="str">
        <f t="shared" si="13"/>
        <v/>
      </c>
      <c r="G277" s="8"/>
      <c r="H277" s="11" t="str">
        <f>IF(B277="","",IF(OR(F277="Saturday",F277="Sunday"),SETTINGS!$B$11,IF(G277="Vacation",SETTINGS!$B$13,0)))</f>
        <v/>
      </c>
      <c r="I277" s="12" t="str">
        <f t="shared" si="14"/>
        <v/>
      </c>
      <c r="J277" s="8"/>
    </row>
    <row r="278" spans="1:10" x14ac:dyDescent="0.2">
      <c r="A278" s="7" t="str">
        <f t="shared" si="12"/>
        <v/>
      </c>
      <c r="B278" s="9"/>
      <c r="C278" s="8"/>
      <c r="D278" s="10" t="str">
        <f ca="1">IFERROR(_xludf.XLOOKUP(C278,STUDENTS!$A$5:$A$204,STUDENTS!$C$5:$C$204,""),"")</f>
        <v/>
      </c>
      <c r="E278" s="10" t="str">
        <f ca="1">IFERROR(_xludf.XLOOKUP(C278,STUDENTS!$A$5:$A$204,STUDENTS!$L$5:$L$204,""),"")</f>
        <v/>
      </c>
      <c r="F278" s="10" t="str">
        <f t="shared" si="13"/>
        <v/>
      </c>
      <c r="G278" s="8"/>
      <c r="H278" s="11" t="str">
        <f>IF(B278="","",IF(OR(F278="Saturday",F278="Sunday"),SETTINGS!$B$11,IF(G278="Vacation",SETTINGS!$B$13,0)))</f>
        <v/>
      </c>
      <c r="I278" s="12" t="str">
        <f t="shared" si="14"/>
        <v/>
      </c>
      <c r="J278" s="8"/>
    </row>
    <row r="279" spans="1:10" x14ac:dyDescent="0.2">
      <c r="A279" s="7" t="str">
        <f t="shared" si="12"/>
        <v/>
      </c>
      <c r="B279" s="9"/>
      <c r="C279" s="8"/>
      <c r="D279" s="10" t="str">
        <f ca="1">IFERROR(_xludf.XLOOKUP(C279,STUDENTS!$A$5:$A$204,STUDENTS!$C$5:$C$204,""),"")</f>
        <v/>
      </c>
      <c r="E279" s="10" t="str">
        <f ca="1">IFERROR(_xludf.XLOOKUP(C279,STUDENTS!$A$5:$A$204,STUDENTS!$L$5:$L$204,""),"")</f>
        <v/>
      </c>
      <c r="F279" s="10" t="str">
        <f t="shared" si="13"/>
        <v/>
      </c>
      <c r="G279" s="8"/>
      <c r="H279" s="11" t="str">
        <f>IF(B279="","",IF(OR(F279="Saturday",F279="Sunday"),SETTINGS!$B$11,IF(G279="Vacation",SETTINGS!$B$13,0)))</f>
        <v/>
      </c>
      <c r="I279" s="12" t="str">
        <f t="shared" si="14"/>
        <v/>
      </c>
      <c r="J279" s="8"/>
    </row>
    <row r="280" spans="1:10" x14ac:dyDescent="0.2">
      <c r="A280" s="7" t="str">
        <f t="shared" si="12"/>
        <v/>
      </c>
      <c r="B280" s="9"/>
      <c r="C280" s="8"/>
      <c r="D280" s="10" t="str">
        <f ca="1">IFERROR(_xludf.XLOOKUP(C280,STUDENTS!$A$5:$A$204,STUDENTS!$C$5:$C$204,""),"")</f>
        <v/>
      </c>
      <c r="E280" s="10" t="str">
        <f ca="1">IFERROR(_xludf.XLOOKUP(C280,STUDENTS!$A$5:$A$204,STUDENTS!$L$5:$L$204,""),"")</f>
        <v/>
      </c>
      <c r="F280" s="10" t="str">
        <f t="shared" si="13"/>
        <v/>
      </c>
      <c r="G280" s="8"/>
      <c r="H280" s="11" t="str">
        <f>IF(B280="","",IF(OR(F280="Saturday",F280="Sunday"),SETTINGS!$B$11,IF(G280="Vacation",SETTINGS!$B$13,0)))</f>
        <v/>
      </c>
      <c r="I280" s="12" t="str">
        <f t="shared" si="14"/>
        <v/>
      </c>
      <c r="J280" s="8"/>
    </row>
    <row r="281" spans="1:10" x14ac:dyDescent="0.2">
      <c r="A281" s="7" t="str">
        <f t="shared" si="12"/>
        <v/>
      </c>
      <c r="B281" s="9"/>
      <c r="C281" s="8"/>
      <c r="D281" s="10" t="str">
        <f ca="1">IFERROR(_xludf.XLOOKUP(C281,STUDENTS!$A$5:$A$204,STUDENTS!$C$5:$C$204,""),"")</f>
        <v/>
      </c>
      <c r="E281" s="10" t="str">
        <f ca="1">IFERROR(_xludf.XLOOKUP(C281,STUDENTS!$A$5:$A$204,STUDENTS!$L$5:$L$204,""),"")</f>
        <v/>
      </c>
      <c r="F281" s="10" t="str">
        <f t="shared" si="13"/>
        <v/>
      </c>
      <c r="G281" s="8"/>
      <c r="H281" s="11" t="str">
        <f>IF(B281="","",IF(OR(F281="Saturday",F281="Sunday"),SETTINGS!$B$11,IF(G281="Vacation",SETTINGS!$B$13,0)))</f>
        <v/>
      </c>
      <c r="I281" s="12" t="str">
        <f t="shared" si="14"/>
        <v/>
      </c>
      <c r="J281" s="8"/>
    </row>
    <row r="282" spans="1:10" x14ac:dyDescent="0.2">
      <c r="A282" s="7" t="str">
        <f t="shared" si="12"/>
        <v/>
      </c>
      <c r="B282" s="9"/>
      <c r="C282" s="8"/>
      <c r="D282" s="10" t="str">
        <f ca="1">IFERROR(_xludf.XLOOKUP(C282,STUDENTS!$A$5:$A$204,STUDENTS!$C$5:$C$204,""),"")</f>
        <v/>
      </c>
      <c r="E282" s="10" t="str">
        <f ca="1">IFERROR(_xludf.XLOOKUP(C282,STUDENTS!$A$5:$A$204,STUDENTS!$L$5:$L$204,""),"")</f>
        <v/>
      </c>
      <c r="F282" s="10" t="str">
        <f t="shared" si="13"/>
        <v/>
      </c>
      <c r="G282" s="8"/>
      <c r="H282" s="11" t="str">
        <f>IF(B282="","",IF(OR(F282="Saturday",F282="Sunday"),SETTINGS!$B$11,IF(G282="Vacation",SETTINGS!$B$13,0)))</f>
        <v/>
      </c>
      <c r="I282" s="12" t="str">
        <f t="shared" si="14"/>
        <v/>
      </c>
      <c r="J282" s="8"/>
    </row>
    <row r="283" spans="1:10" x14ac:dyDescent="0.2">
      <c r="A283" s="7" t="str">
        <f t="shared" si="12"/>
        <v/>
      </c>
      <c r="B283" s="9"/>
      <c r="C283" s="8"/>
      <c r="D283" s="10" t="str">
        <f ca="1">IFERROR(_xludf.XLOOKUP(C283,STUDENTS!$A$5:$A$204,STUDENTS!$C$5:$C$204,""),"")</f>
        <v/>
      </c>
      <c r="E283" s="10" t="str">
        <f ca="1">IFERROR(_xludf.XLOOKUP(C283,STUDENTS!$A$5:$A$204,STUDENTS!$L$5:$L$204,""),"")</f>
        <v/>
      </c>
      <c r="F283" s="10" t="str">
        <f t="shared" si="13"/>
        <v/>
      </c>
      <c r="G283" s="8"/>
      <c r="H283" s="11" t="str">
        <f>IF(B283="","",IF(OR(F283="Saturday",F283="Sunday"),SETTINGS!$B$11,IF(G283="Vacation",SETTINGS!$B$13,0)))</f>
        <v/>
      </c>
      <c r="I283" s="12" t="str">
        <f t="shared" si="14"/>
        <v/>
      </c>
      <c r="J283" s="8"/>
    </row>
    <row r="284" spans="1:10" x14ac:dyDescent="0.2">
      <c r="A284" s="7" t="str">
        <f t="shared" si="12"/>
        <v/>
      </c>
      <c r="B284" s="9"/>
      <c r="C284" s="8"/>
      <c r="D284" s="10" t="str">
        <f ca="1">IFERROR(_xludf.XLOOKUP(C284,STUDENTS!$A$5:$A$204,STUDENTS!$C$5:$C$204,""),"")</f>
        <v/>
      </c>
      <c r="E284" s="10" t="str">
        <f ca="1">IFERROR(_xludf.XLOOKUP(C284,STUDENTS!$A$5:$A$204,STUDENTS!$L$5:$L$204,""),"")</f>
        <v/>
      </c>
      <c r="F284" s="10" t="str">
        <f t="shared" si="13"/>
        <v/>
      </c>
      <c r="G284" s="8"/>
      <c r="H284" s="11" t="str">
        <f>IF(B284="","",IF(OR(F284="Saturday",F284="Sunday"),SETTINGS!$B$11,IF(G284="Vacation",SETTINGS!$B$13,0)))</f>
        <v/>
      </c>
      <c r="I284" s="12" t="str">
        <f t="shared" si="14"/>
        <v/>
      </c>
      <c r="J284" s="8"/>
    </row>
    <row r="285" spans="1:10" x14ac:dyDescent="0.2">
      <c r="A285" s="7" t="str">
        <f t="shared" si="12"/>
        <v/>
      </c>
      <c r="B285" s="9"/>
      <c r="C285" s="8"/>
      <c r="D285" s="10" t="str">
        <f ca="1">IFERROR(_xludf.XLOOKUP(C285,STUDENTS!$A$5:$A$204,STUDENTS!$C$5:$C$204,""),"")</f>
        <v/>
      </c>
      <c r="E285" s="10" t="str">
        <f ca="1">IFERROR(_xludf.XLOOKUP(C285,STUDENTS!$A$5:$A$204,STUDENTS!$L$5:$L$204,""),"")</f>
        <v/>
      </c>
      <c r="F285" s="10" t="str">
        <f t="shared" si="13"/>
        <v/>
      </c>
      <c r="G285" s="8"/>
      <c r="H285" s="11" t="str">
        <f>IF(B285="","",IF(OR(F285="Saturday",F285="Sunday"),SETTINGS!$B$11,IF(G285="Vacation",SETTINGS!$B$13,0)))</f>
        <v/>
      </c>
      <c r="I285" s="12" t="str">
        <f t="shared" si="14"/>
        <v/>
      </c>
      <c r="J285" s="8"/>
    </row>
    <row r="286" spans="1:10" x14ac:dyDescent="0.2">
      <c r="A286" s="7" t="str">
        <f t="shared" si="12"/>
        <v/>
      </c>
      <c r="B286" s="9"/>
      <c r="C286" s="8"/>
      <c r="D286" s="10" t="str">
        <f ca="1">IFERROR(_xludf.XLOOKUP(C286,STUDENTS!$A$5:$A$204,STUDENTS!$C$5:$C$204,""),"")</f>
        <v/>
      </c>
      <c r="E286" s="10" t="str">
        <f ca="1">IFERROR(_xludf.XLOOKUP(C286,STUDENTS!$A$5:$A$204,STUDENTS!$L$5:$L$204,""),"")</f>
        <v/>
      </c>
      <c r="F286" s="10" t="str">
        <f t="shared" si="13"/>
        <v/>
      </c>
      <c r="G286" s="8"/>
      <c r="H286" s="11" t="str">
        <f>IF(B286="","",IF(OR(F286="Saturday",F286="Sunday"),SETTINGS!$B$11,IF(G286="Vacation",SETTINGS!$B$13,0)))</f>
        <v/>
      </c>
      <c r="I286" s="12" t="str">
        <f t="shared" si="14"/>
        <v/>
      </c>
      <c r="J286" s="8"/>
    </row>
    <row r="287" spans="1:10" x14ac:dyDescent="0.2">
      <c r="A287" s="7" t="str">
        <f t="shared" si="12"/>
        <v/>
      </c>
      <c r="B287" s="9"/>
      <c r="C287" s="8"/>
      <c r="D287" s="10" t="str">
        <f ca="1">IFERROR(_xludf.XLOOKUP(C287,STUDENTS!$A$5:$A$204,STUDENTS!$C$5:$C$204,""),"")</f>
        <v/>
      </c>
      <c r="E287" s="10" t="str">
        <f ca="1">IFERROR(_xludf.XLOOKUP(C287,STUDENTS!$A$5:$A$204,STUDENTS!$L$5:$L$204,""),"")</f>
        <v/>
      </c>
      <c r="F287" s="10" t="str">
        <f t="shared" si="13"/>
        <v/>
      </c>
      <c r="G287" s="8"/>
      <c r="H287" s="11" t="str">
        <f>IF(B287="","",IF(OR(F287="Saturday",F287="Sunday"),SETTINGS!$B$11,IF(G287="Vacation",SETTINGS!$B$13,0)))</f>
        <v/>
      </c>
      <c r="I287" s="12" t="str">
        <f t="shared" si="14"/>
        <v/>
      </c>
      <c r="J287" s="8"/>
    </row>
    <row r="288" spans="1:10" x14ac:dyDescent="0.2">
      <c r="A288" s="7" t="str">
        <f t="shared" si="12"/>
        <v/>
      </c>
      <c r="B288" s="9"/>
      <c r="C288" s="8"/>
      <c r="D288" s="10" t="str">
        <f ca="1">IFERROR(_xludf.XLOOKUP(C288,STUDENTS!$A$5:$A$204,STUDENTS!$C$5:$C$204,""),"")</f>
        <v/>
      </c>
      <c r="E288" s="10" t="str">
        <f ca="1">IFERROR(_xludf.XLOOKUP(C288,STUDENTS!$A$5:$A$204,STUDENTS!$L$5:$L$204,""),"")</f>
        <v/>
      </c>
      <c r="F288" s="10" t="str">
        <f t="shared" si="13"/>
        <v/>
      </c>
      <c r="G288" s="8"/>
      <c r="H288" s="11" t="str">
        <f>IF(B288="","",IF(OR(F288="Saturday",F288="Sunday"),SETTINGS!$B$11,IF(G288="Vacation",SETTINGS!$B$13,0)))</f>
        <v/>
      </c>
      <c r="I288" s="12" t="str">
        <f t="shared" si="14"/>
        <v/>
      </c>
      <c r="J288" s="8"/>
    </row>
    <row r="289" spans="1:10" x14ac:dyDescent="0.2">
      <c r="A289" s="7" t="str">
        <f t="shared" si="12"/>
        <v/>
      </c>
      <c r="B289" s="9"/>
      <c r="C289" s="8"/>
      <c r="D289" s="10" t="str">
        <f ca="1">IFERROR(_xludf.XLOOKUP(C289,STUDENTS!$A$5:$A$204,STUDENTS!$C$5:$C$204,""),"")</f>
        <v/>
      </c>
      <c r="E289" s="10" t="str">
        <f ca="1">IFERROR(_xludf.XLOOKUP(C289,STUDENTS!$A$5:$A$204,STUDENTS!$L$5:$L$204,""),"")</f>
        <v/>
      </c>
      <c r="F289" s="10" t="str">
        <f t="shared" si="13"/>
        <v/>
      </c>
      <c r="G289" s="8"/>
      <c r="H289" s="11" t="str">
        <f>IF(B289="","",IF(OR(F289="Saturday",F289="Sunday"),SETTINGS!$B$11,IF(G289="Vacation",SETTINGS!$B$13,0)))</f>
        <v/>
      </c>
      <c r="I289" s="12" t="str">
        <f t="shared" si="14"/>
        <v/>
      </c>
      <c r="J289" s="8"/>
    </row>
    <row r="290" spans="1:10" x14ac:dyDescent="0.2">
      <c r="A290" s="7" t="str">
        <f t="shared" si="12"/>
        <v/>
      </c>
      <c r="B290" s="9"/>
      <c r="C290" s="8"/>
      <c r="D290" s="10" t="str">
        <f ca="1">IFERROR(_xludf.XLOOKUP(C290,STUDENTS!$A$5:$A$204,STUDENTS!$C$5:$C$204,""),"")</f>
        <v/>
      </c>
      <c r="E290" s="10" t="str">
        <f ca="1">IFERROR(_xludf.XLOOKUP(C290,STUDENTS!$A$5:$A$204,STUDENTS!$L$5:$L$204,""),"")</f>
        <v/>
      </c>
      <c r="F290" s="10" t="str">
        <f t="shared" si="13"/>
        <v/>
      </c>
      <c r="G290" s="8"/>
      <c r="H290" s="11" t="str">
        <f>IF(B290="","",IF(OR(F290="Saturday",F290="Sunday"),SETTINGS!$B$11,IF(G290="Vacation",SETTINGS!$B$13,0)))</f>
        <v/>
      </c>
      <c r="I290" s="12" t="str">
        <f t="shared" si="14"/>
        <v/>
      </c>
      <c r="J290" s="8"/>
    </row>
    <row r="291" spans="1:10" x14ac:dyDescent="0.2">
      <c r="A291" s="7" t="str">
        <f t="shared" si="12"/>
        <v/>
      </c>
      <c r="B291" s="9"/>
      <c r="C291" s="8"/>
      <c r="D291" s="10" t="str">
        <f ca="1">IFERROR(_xludf.XLOOKUP(C291,STUDENTS!$A$5:$A$204,STUDENTS!$C$5:$C$204,""),"")</f>
        <v/>
      </c>
      <c r="E291" s="10" t="str">
        <f ca="1">IFERROR(_xludf.XLOOKUP(C291,STUDENTS!$A$5:$A$204,STUDENTS!$L$5:$L$204,""),"")</f>
        <v/>
      </c>
      <c r="F291" s="10" t="str">
        <f t="shared" si="13"/>
        <v/>
      </c>
      <c r="G291" s="8"/>
      <c r="H291" s="11" t="str">
        <f>IF(B291="","",IF(OR(F291="Saturday",F291="Sunday"),SETTINGS!$B$11,IF(G291="Vacation",SETTINGS!$B$13,0)))</f>
        <v/>
      </c>
      <c r="I291" s="12" t="str">
        <f t="shared" si="14"/>
        <v/>
      </c>
      <c r="J291" s="8"/>
    </row>
    <row r="292" spans="1:10" x14ac:dyDescent="0.2">
      <c r="A292" s="7" t="str">
        <f t="shared" si="12"/>
        <v/>
      </c>
      <c r="B292" s="9"/>
      <c r="C292" s="8"/>
      <c r="D292" s="10" t="str">
        <f ca="1">IFERROR(_xludf.XLOOKUP(C292,STUDENTS!$A$5:$A$204,STUDENTS!$C$5:$C$204,""),"")</f>
        <v/>
      </c>
      <c r="E292" s="10" t="str">
        <f ca="1">IFERROR(_xludf.XLOOKUP(C292,STUDENTS!$A$5:$A$204,STUDENTS!$L$5:$L$204,""),"")</f>
        <v/>
      </c>
      <c r="F292" s="10" t="str">
        <f t="shared" si="13"/>
        <v/>
      </c>
      <c r="G292" s="8"/>
      <c r="H292" s="11" t="str">
        <f>IF(B292="","",IF(OR(F292="Saturday",F292="Sunday"),SETTINGS!$B$11,IF(G292="Vacation",SETTINGS!$B$13,0)))</f>
        <v/>
      </c>
      <c r="I292" s="12" t="str">
        <f t="shared" si="14"/>
        <v/>
      </c>
      <c r="J292" s="8"/>
    </row>
    <row r="293" spans="1:10" x14ac:dyDescent="0.2">
      <c r="A293" s="7" t="str">
        <f t="shared" si="12"/>
        <v/>
      </c>
      <c r="B293" s="9"/>
      <c r="C293" s="8"/>
      <c r="D293" s="10" t="str">
        <f ca="1">IFERROR(_xludf.XLOOKUP(C293,STUDENTS!$A$5:$A$204,STUDENTS!$C$5:$C$204,""),"")</f>
        <v/>
      </c>
      <c r="E293" s="10" t="str">
        <f ca="1">IFERROR(_xludf.XLOOKUP(C293,STUDENTS!$A$5:$A$204,STUDENTS!$L$5:$L$204,""),"")</f>
        <v/>
      </c>
      <c r="F293" s="10" t="str">
        <f t="shared" si="13"/>
        <v/>
      </c>
      <c r="G293" s="8"/>
      <c r="H293" s="11" t="str">
        <f>IF(B293="","",IF(OR(F293="Saturday",F293="Sunday"),SETTINGS!$B$11,IF(G293="Vacation",SETTINGS!$B$13,0)))</f>
        <v/>
      </c>
      <c r="I293" s="12" t="str">
        <f t="shared" si="14"/>
        <v/>
      </c>
      <c r="J293" s="8"/>
    </row>
    <row r="294" spans="1:10" x14ac:dyDescent="0.2">
      <c r="A294" s="7" t="str">
        <f t="shared" si="12"/>
        <v/>
      </c>
      <c r="B294" s="9"/>
      <c r="C294" s="8"/>
      <c r="D294" s="10" t="str">
        <f ca="1">IFERROR(_xludf.XLOOKUP(C294,STUDENTS!$A$5:$A$204,STUDENTS!$C$5:$C$204,""),"")</f>
        <v/>
      </c>
      <c r="E294" s="10" t="str">
        <f ca="1">IFERROR(_xludf.XLOOKUP(C294,STUDENTS!$A$5:$A$204,STUDENTS!$L$5:$L$204,""),"")</f>
        <v/>
      </c>
      <c r="F294" s="10" t="str">
        <f t="shared" si="13"/>
        <v/>
      </c>
      <c r="G294" s="8"/>
      <c r="H294" s="11" t="str">
        <f>IF(B294="","",IF(OR(F294="Saturday",F294="Sunday"),SETTINGS!$B$11,IF(G294="Vacation",SETTINGS!$B$13,0)))</f>
        <v/>
      </c>
      <c r="I294" s="12" t="str">
        <f t="shared" si="14"/>
        <v/>
      </c>
      <c r="J294" s="8"/>
    </row>
    <row r="295" spans="1:10" x14ac:dyDescent="0.2">
      <c r="A295" s="7" t="str">
        <f t="shared" si="12"/>
        <v/>
      </c>
      <c r="B295" s="9"/>
      <c r="C295" s="8"/>
      <c r="D295" s="10" t="str">
        <f ca="1">IFERROR(_xludf.XLOOKUP(C295,STUDENTS!$A$5:$A$204,STUDENTS!$C$5:$C$204,""),"")</f>
        <v/>
      </c>
      <c r="E295" s="10" t="str">
        <f ca="1">IFERROR(_xludf.XLOOKUP(C295,STUDENTS!$A$5:$A$204,STUDENTS!$L$5:$L$204,""),"")</f>
        <v/>
      </c>
      <c r="F295" s="10" t="str">
        <f t="shared" si="13"/>
        <v/>
      </c>
      <c r="G295" s="8"/>
      <c r="H295" s="11" t="str">
        <f>IF(B295="","",IF(OR(F295="Saturday",F295="Sunday"),SETTINGS!$B$11,IF(G295="Vacation",SETTINGS!$B$13,0)))</f>
        <v/>
      </c>
      <c r="I295" s="12" t="str">
        <f t="shared" si="14"/>
        <v/>
      </c>
      <c r="J295" s="8"/>
    </row>
    <row r="296" spans="1:10" x14ac:dyDescent="0.2">
      <c r="A296" s="7" t="str">
        <f t="shared" si="12"/>
        <v/>
      </c>
      <c r="B296" s="9"/>
      <c r="C296" s="8"/>
      <c r="D296" s="10" t="str">
        <f ca="1">IFERROR(_xludf.XLOOKUP(C296,STUDENTS!$A$5:$A$204,STUDENTS!$C$5:$C$204,""),"")</f>
        <v/>
      </c>
      <c r="E296" s="10" t="str">
        <f ca="1">IFERROR(_xludf.XLOOKUP(C296,STUDENTS!$A$5:$A$204,STUDENTS!$L$5:$L$204,""),"")</f>
        <v/>
      </c>
      <c r="F296" s="10" t="str">
        <f t="shared" si="13"/>
        <v/>
      </c>
      <c r="G296" s="8"/>
      <c r="H296" s="11" t="str">
        <f>IF(B296="","",IF(OR(F296="Saturday",F296="Sunday"),SETTINGS!$B$11,IF(G296="Vacation",SETTINGS!$B$13,0)))</f>
        <v/>
      </c>
      <c r="I296" s="12" t="str">
        <f t="shared" si="14"/>
        <v/>
      </c>
      <c r="J296" s="8"/>
    </row>
    <row r="297" spans="1:10" x14ac:dyDescent="0.2">
      <c r="A297" s="7" t="str">
        <f t="shared" si="12"/>
        <v/>
      </c>
      <c r="B297" s="9"/>
      <c r="C297" s="8"/>
      <c r="D297" s="10" t="str">
        <f ca="1">IFERROR(_xludf.XLOOKUP(C297,STUDENTS!$A$5:$A$204,STUDENTS!$C$5:$C$204,""),"")</f>
        <v/>
      </c>
      <c r="E297" s="10" t="str">
        <f ca="1">IFERROR(_xludf.XLOOKUP(C297,STUDENTS!$A$5:$A$204,STUDENTS!$L$5:$L$204,""),"")</f>
        <v/>
      </c>
      <c r="F297" s="10" t="str">
        <f t="shared" si="13"/>
        <v/>
      </c>
      <c r="G297" s="8"/>
      <c r="H297" s="11" t="str">
        <f>IF(B297="","",IF(OR(F297="Saturday",F297="Sunday"),SETTINGS!$B$11,IF(G297="Vacation",SETTINGS!$B$13,0)))</f>
        <v/>
      </c>
      <c r="I297" s="12" t="str">
        <f t="shared" si="14"/>
        <v/>
      </c>
      <c r="J297" s="8"/>
    </row>
    <row r="298" spans="1:10" x14ac:dyDescent="0.2">
      <c r="A298" s="7" t="str">
        <f t="shared" si="12"/>
        <v/>
      </c>
      <c r="B298" s="9"/>
      <c r="C298" s="8"/>
      <c r="D298" s="10" t="str">
        <f ca="1">IFERROR(_xludf.XLOOKUP(C298,STUDENTS!$A$5:$A$204,STUDENTS!$C$5:$C$204,""),"")</f>
        <v/>
      </c>
      <c r="E298" s="10" t="str">
        <f ca="1">IFERROR(_xludf.XLOOKUP(C298,STUDENTS!$A$5:$A$204,STUDENTS!$L$5:$L$204,""),"")</f>
        <v/>
      </c>
      <c r="F298" s="10" t="str">
        <f t="shared" si="13"/>
        <v/>
      </c>
      <c r="G298" s="8"/>
      <c r="H298" s="11" t="str">
        <f>IF(B298="","",IF(OR(F298="Saturday",F298="Sunday"),SETTINGS!$B$11,IF(G298="Vacation",SETTINGS!$B$13,0)))</f>
        <v/>
      </c>
      <c r="I298" s="12" t="str">
        <f t="shared" si="14"/>
        <v/>
      </c>
      <c r="J298" s="8"/>
    </row>
    <row r="299" spans="1:10" x14ac:dyDescent="0.2">
      <c r="A299" s="7" t="str">
        <f t="shared" si="12"/>
        <v/>
      </c>
      <c r="B299" s="9"/>
      <c r="C299" s="8"/>
      <c r="D299" s="10" t="str">
        <f ca="1">IFERROR(_xludf.XLOOKUP(C299,STUDENTS!$A$5:$A$204,STUDENTS!$C$5:$C$204,""),"")</f>
        <v/>
      </c>
      <c r="E299" s="10" t="str">
        <f ca="1">IFERROR(_xludf.XLOOKUP(C299,STUDENTS!$A$5:$A$204,STUDENTS!$L$5:$L$204,""),"")</f>
        <v/>
      </c>
      <c r="F299" s="10" t="str">
        <f t="shared" si="13"/>
        <v/>
      </c>
      <c r="G299" s="8"/>
      <c r="H299" s="11" t="str">
        <f>IF(B299="","",IF(OR(F299="Saturday",F299="Sunday"),SETTINGS!$B$11,IF(G299="Vacation",SETTINGS!$B$13,0)))</f>
        <v/>
      </c>
      <c r="I299" s="12" t="str">
        <f t="shared" si="14"/>
        <v/>
      </c>
      <c r="J299" s="8"/>
    </row>
    <row r="300" spans="1:10" x14ac:dyDescent="0.2">
      <c r="A300" s="7" t="str">
        <f t="shared" si="12"/>
        <v/>
      </c>
      <c r="B300" s="9"/>
      <c r="C300" s="8"/>
      <c r="D300" s="10" t="str">
        <f ca="1">IFERROR(_xludf.XLOOKUP(C300,STUDENTS!$A$5:$A$204,STUDENTS!$C$5:$C$204,""),"")</f>
        <v/>
      </c>
      <c r="E300" s="10" t="str">
        <f ca="1">IFERROR(_xludf.XLOOKUP(C300,STUDENTS!$A$5:$A$204,STUDENTS!$L$5:$L$204,""),"")</f>
        <v/>
      </c>
      <c r="F300" s="10" t="str">
        <f t="shared" si="13"/>
        <v/>
      </c>
      <c r="G300" s="8"/>
      <c r="H300" s="11" t="str">
        <f>IF(B300="","",IF(OR(F300="Saturday",F300="Sunday"),SETTINGS!$B$11,IF(G300="Vacation",SETTINGS!$B$13,0)))</f>
        <v/>
      </c>
      <c r="I300" s="12" t="str">
        <f t="shared" si="14"/>
        <v/>
      </c>
      <c r="J300" s="8"/>
    </row>
    <row r="301" spans="1:10" x14ac:dyDescent="0.2">
      <c r="A301" s="7" t="str">
        <f t="shared" si="12"/>
        <v/>
      </c>
      <c r="B301" s="9"/>
      <c r="C301" s="8"/>
      <c r="D301" s="10" t="str">
        <f ca="1">IFERROR(_xludf.XLOOKUP(C301,STUDENTS!$A$5:$A$204,STUDENTS!$C$5:$C$204,""),"")</f>
        <v/>
      </c>
      <c r="E301" s="10" t="str">
        <f ca="1">IFERROR(_xludf.XLOOKUP(C301,STUDENTS!$A$5:$A$204,STUDENTS!$L$5:$L$204,""),"")</f>
        <v/>
      </c>
      <c r="F301" s="10" t="str">
        <f t="shared" si="13"/>
        <v/>
      </c>
      <c r="G301" s="8"/>
      <c r="H301" s="11" t="str">
        <f>IF(B301="","",IF(OR(F301="Saturday",F301="Sunday"),SETTINGS!$B$11,IF(G301="Vacation",SETTINGS!$B$13,0)))</f>
        <v/>
      </c>
      <c r="I301" s="12" t="str">
        <f t="shared" si="14"/>
        <v/>
      </c>
      <c r="J301" s="8"/>
    </row>
    <row r="302" spans="1:10" x14ac:dyDescent="0.2">
      <c r="A302" s="7" t="str">
        <f t="shared" si="12"/>
        <v/>
      </c>
      <c r="B302" s="9"/>
      <c r="C302" s="8"/>
      <c r="D302" s="10" t="str">
        <f ca="1">IFERROR(_xludf.XLOOKUP(C302,STUDENTS!$A$5:$A$204,STUDENTS!$C$5:$C$204,""),"")</f>
        <v/>
      </c>
      <c r="E302" s="10" t="str">
        <f ca="1">IFERROR(_xludf.XLOOKUP(C302,STUDENTS!$A$5:$A$204,STUDENTS!$L$5:$L$204,""),"")</f>
        <v/>
      </c>
      <c r="F302" s="10" t="str">
        <f t="shared" si="13"/>
        <v/>
      </c>
      <c r="G302" s="8"/>
      <c r="H302" s="11" t="str">
        <f>IF(B302="","",IF(OR(F302="Saturday",F302="Sunday"),SETTINGS!$B$11,IF(G302="Vacation",SETTINGS!$B$13,0)))</f>
        <v/>
      </c>
      <c r="I302" s="12" t="str">
        <f t="shared" si="14"/>
        <v/>
      </c>
      <c r="J302" s="8"/>
    </row>
    <row r="303" spans="1:10" x14ac:dyDescent="0.2">
      <c r="A303" s="7" t="str">
        <f t="shared" si="12"/>
        <v/>
      </c>
      <c r="B303" s="9"/>
      <c r="C303" s="8"/>
      <c r="D303" s="10" t="str">
        <f ca="1">IFERROR(_xludf.XLOOKUP(C303,STUDENTS!$A$5:$A$204,STUDENTS!$C$5:$C$204,""),"")</f>
        <v/>
      </c>
      <c r="E303" s="10" t="str">
        <f ca="1">IFERROR(_xludf.XLOOKUP(C303,STUDENTS!$A$5:$A$204,STUDENTS!$L$5:$L$204,""),"")</f>
        <v/>
      </c>
      <c r="F303" s="10" t="str">
        <f t="shared" si="13"/>
        <v/>
      </c>
      <c r="G303" s="8"/>
      <c r="H303" s="11" t="str">
        <f>IF(B303="","",IF(OR(F303="Saturday",F303="Sunday"),SETTINGS!$B$11,IF(G303="Vacation",SETTINGS!$B$13,0)))</f>
        <v/>
      </c>
      <c r="I303" s="12" t="str">
        <f t="shared" si="14"/>
        <v/>
      </c>
      <c r="J303" s="8"/>
    </row>
    <row r="304" spans="1:10" x14ac:dyDescent="0.2">
      <c r="A304" s="7" t="str">
        <f t="shared" si="12"/>
        <v/>
      </c>
      <c r="B304" s="9"/>
      <c r="C304" s="8"/>
      <c r="D304" s="10" t="str">
        <f ca="1">IFERROR(_xludf.XLOOKUP(C304,STUDENTS!$A$5:$A$204,STUDENTS!$C$5:$C$204,""),"")</f>
        <v/>
      </c>
      <c r="E304" s="10" t="str">
        <f ca="1">IFERROR(_xludf.XLOOKUP(C304,STUDENTS!$A$5:$A$204,STUDENTS!$L$5:$L$204,""),"")</f>
        <v/>
      </c>
      <c r="F304" s="10" t="str">
        <f t="shared" si="13"/>
        <v/>
      </c>
      <c r="G304" s="8"/>
      <c r="H304" s="11" t="str">
        <f>IF(B304="","",IF(OR(F304="Saturday",F304="Sunday"),SETTINGS!$B$11,IF(G304="Vacation",SETTINGS!$B$13,0)))</f>
        <v/>
      </c>
      <c r="I304" s="12" t="str">
        <f t="shared" si="14"/>
        <v/>
      </c>
      <c r="J304" s="8"/>
    </row>
    <row r="305" spans="1:10" x14ac:dyDescent="0.2">
      <c r="A305" s="7" t="str">
        <f t="shared" si="12"/>
        <v/>
      </c>
      <c r="B305" s="9"/>
      <c r="C305" s="8"/>
      <c r="D305" s="10" t="str">
        <f ca="1">IFERROR(_xludf.XLOOKUP(C305,STUDENTS!$A$5:$A$204,STUDENTS!$C$5:$C$204,""),"")</f>
        <v/>
      </c>
      <c r="E305" s="10" t="str">
        <f ca="1">IFERROR(_xludf.XLOOKUP(C305,STUDENTS!$A$5:$A$204,STUDENTS!$L$5:$L$204,""),"")</f>
        <v/>
      </c>
      <c r="F305" s="10" t="str">
        <f t="shared" si="13"/>
        <v/>
      </c>
      <c r="G305" s="8"/>
      <c r="H305" s="11" t="str">
        <f>IF(B305="","",IF(OR(F305="Saturday",F305="Sunday"),SETTINGS!$B$11,IF(G305="Vacation",SETTINGS!$B$13,0)))</f>
        <v/>
      </c>
      <c r="I305" s="12" t="str">
        <f t="shared" si="14"/>
        <v/>
      </c>
      <c r="J305" s="8"/>
    </row>
    <row r="306" spans="1:10" x14ac:dyDescent="0.2">
      <c r="A306" s="7" t="str">
        <f t="shared" si="12"/>
        <v/>
      </c>
      <c r="B306" s="9"/>
      <c r="C306" s="8"/>
      <c r="D306" s="10" t="str">
        <f ca="1">IFERROR(_xludf.XLOOKUP(C306,STUDENTS!$A$5:$A$204,STUDENTS!$C$5:$C$204,""),"")</f>
        <v/>
      </c>
      <c r="E306" s="10" t="str">
        <f ca="1">IFERROR(_xludf.XLOOKUP(C306,STUDENTS!$A$5:$A$204,STUDENTS!$L$5:$L$204,""),"")</f>
        <v/>
      </c>
      <c r="F306" s="10" t="str">
        <f t="shared" si="13"/>
        <v/>
      </c>
      <c r="G306" s="8"/>
      <c r="H306" s="11" t="str">
        <f>IF(B306="","",IF(OR(F306="Saturday",F306="Sunday"),SETTINGS!$B$11,IF(G306="Vacation",SETTINGS!$B$13,0)))</f>
        <v/>
      </c>
      <c r="I306" s="12" t="str">
        <f t="shared" si="14"/>
        <v/>
      </c>
      <c r="J306" s="8"/>
    </row>
    <row r="307" spans="1:10" x14ac:dyDescent="0.2">
      <c r="A307" s="7" t="str">
        <f t="shared" si="12"/>
        <v/>
      </c>
      <c r="B307" s="9"/>
      <c r="C307" s="8"/>
      <c r="D307" s="10" t="str">
        <f ca="1">IFERROR(_xludf.XLOOKUP(C307,STUDENTS!$A$5:$A$204,STUDENTS!$C$5:$C$204,""),"")</f>
        <v/>
      </c>
      <c r="E307" s="10" t="str">
        <f ca="1">IFERROR(_xludf.XLOOKUP(C307,STUDENTS!$A$5:$A$204,STUDENTS!$L$5:$L$204,""),"")</f>
        <v/>
      </c>
      <c r="F307" s="10" t="str">
        <f t="shared" si="13"/>
        <v/>
      </c>
      <c r="G307" s="8"/>
      <c r="H307" s="11" t="str">
        <f>IF(B307="","",IF(OR(F307="Saturday",F307="Sunday"),SETTINGS!$B$11,IF(G307="Vacation",SETTINGS!$B$13,0)))</f>
        <v/>
      </c>
      <c r="I307" s="12" t="str">
        <f t="shared" si="14"/>
        <v/>
      </c>
      <c r="J307" s="8"/>
    </row>
    <row r="308" spans="1:10" x14ac:dyDescent="0.2">
      <c r="A308" s="7" t="str">
        <f t="shared" si="12"/>
        <v/>
      </c>
      <c r="B308" s="9"/>
      <c r="C308" s="8"/>
      <c r="D308" s="10" t="str">
        <f ca="1">IFERROR(_xludf.XLOOKUP(C308,STUDENTS!$A$5:$A$204,STUDENTS!$C$5:$C$204,""),"")</f>
        <v/>
      </c>
      <c r="E308" s="10" t="str">
        <f ca="1">IFERROR(_xludf.XLOOKUP(C308,STUDENTS!$A$5:$A$204,STUDENTS!$L$5:$L$204,""),"")</f>
        <v/>
      </c>
      <c r="F308" s="10" t="str">
        <f t="shared" si="13"/>
        <v/>
      </c>
      <c r="G308" s="8"/>
      <c r="H308" s="11" t="str">
        <f>IF(B308="","",IF(OR(F308="Saturday",F308="Sunday"),SETTINGS!$B$11,IF(G308="Vacation",SETTINGS!$B$13,0)))</f>
        <v/>
      </c>
      <c r="I308" s="12" t="str">
        <f t="shared" si="14"/>
        <v/>
      </c>
      <c r="J308" s="8"/>
    </row>
    <row r="309" spans="1:10" x14ac:dyDescent="0.2">
      <c r="A309" s="7" t="str">
        <f t="shared" si="12"/>
        <v/>
      </c>
      <c r="B309" s="9"/>
      <c r="C309" s="8"/>
      <c r="D309" s="10" t="str">
        <f ca="1">IFERROR(_xludf.XLOOKUP(C309,STUDENTS!$A$5:$A$204,STUDENTS!$C$5:$C$204,""),"")</f>
        <v/>
      </c>
      <c r="E309" s="10" t="str">
        <f ca="1">IFERROR(_xludf.XLOOKUP(C309,STUDENTS!$A$5:$A$204,STUDENTS!$L$5:$L$204,""),"")</f>
        <v/>
      </c>
      <c r="F309" s="10" t="str">
        <f t="shared" si="13"/>
        <v/>
      </c>
      <c r="G309" s="8"/>
      <c r="H309" s="11" t="str">
        <f>IF(B309="","",IF(OR(F309="Saturday",F309="Sunday"),SETTINGS!$B$11,IF(G309="Vacation",SETTINGS!$B$13,0)))</f>
        <v/>
      </c>
      <c r="I309" s="12" t="str">
        <f t="shared" si="14"/>
        <v/>
      </c>
      <c r="J309" s="8"/>
    </row>
    <row r="310" spans="1:10" x14ac:dyDescent="0.2">
      <c r="A310" s="7" t="str">
        <f t="shared" si="12"/>
        <v/>
      </c>
      <c r="B310" s="9"/>
      <c r="C310" s="8"/>
      <c r="D310" s="10" t="str">
        <f ca="1">IFERROR(_xludf.XLOOKUP(C310,STUDENTS!$A$5:$A$204,STUDENTS!$C$5:$C$204,""),"")</f>
        <v/>
      </c>
      <c r="E310" s="10" t="str">
        <f ca="1">IFERROR(_xludf.XLOOKUP(C310,STUDENTS!$A$5:$A$204,STUDENTS!$L$5:$L$204,""),"")</f>
        <v/>
      </c>
      <c r="F310" s="10" t="str">
        <f t="shared" si="13"/>
        <v/>
      </c>
      <c r="G310" s="8"/>
      <c r="H310" s="11" t="str">
        <f>IF(B310="","",IF(OR(F310="Saturday",F310="Sunday"),SETTINGS!$B$11,IF(G310="Vacation",SETTINGS!$B$13,0)))</f>
        <v/>
      </c>
      <c r="I310" s="12" t="str">
        <f t="shared" si="14"/>
        <v/>
      </c>
      <c r="J310" s="8"/>
    </row>
    <row r="311" spans="1:10" x14ac:dyDescent="0.2">
      <c r="A311" s="7" t="str">
        <f t="shared" si="12"/>
        <v/>
      </c>
      <c r="B311" s="9"/>
      <c r="C311" s="8"/>
      <c r="D311" s="10" t="str">
        <f ca="1">IFERROR(_xludf.XLOOKUP(C311,STUDENTS!$A$5:$A$204,STUDENTS!$C$5:$C$204,""),"")</f>
        <v/>
      </c>
      <c r="E311" s="10" t="str">
        <f ca="1">IFERROR(_xludf.XLOOKUP(C311,STUDENTS!$A$5:$A$204,STUDENTS!$L$5:$L$204,""),"")</f>
        <v/>
      </c>
      <c r="F311" s="10" t="str">
        <f t="shared" si="13"/>
        <v/>
      </c>
      <c r="G311" s="8"/>
      <c r="H311" s="11" t="str">
        <f>IF(B311="","",IF(OR(F311="Saturday",F311="Sunday"),SETTINGS!$B$11,IF(G311="Vacation",SETTINGS!$B$13,0)))</f>
        <v/>
      </c>
      <c r="I311" s="12" t="str">
        <f t="shared" si="14"/>
        <v/>
      </c>
      <c r="J311" s="8"/>
    </row>
    <row r="312" spans="1:10" x14ac:dyDescent="0.2">
      <c r="A312" s="7" t="str">
        <f t="shared" si="12"/>
        <v/>
      </c>
      <c r="B312" s="9"/>
      <c r="C312" s="8"/>
      <c r="D312" s="10" t="str">
        <f ca="1">IFERROR(_xludf.XLOOKUP(C312,STUDENTS!$A$5:$A$204,STUDENTS!$C$5:$C$204,""),"")</f>
        <v/>
      </c>
      <c r="E312" s="10" t="str">
        <f ca="1">IFERROR(_xludf.XLOOKUP(C312,STUDENTS!$A$5:$A$204,STUDENTS!$L$5:$L$204,""),"")</f>
        <v/>
      </c>
      <c r="F312" s="10" t="str">
        <f t="shared" si="13"/>
        <v/>
      </c>
      <c r="G312" s="8"/>
      <c r="H312" s="11" t="str">
        <f>IF(B312="","",IF(OR(F312="Saturday",F312="Sunday"),SETTINGS!$B$11,IF(G312="Vacation",SETTINGS!$B$13,0)))</f>
        <v/>
      </c>
      <c r="I312" s="12" t="str">
        <f t="shared" si="14"/>
        <v/>
      </c>
      <c r="J312" s="8"/>
    </row>
    <row r="313" spans="1:10" x14ac:dyDescent="0.2">
      <c r="A313" s="7" t="str">
        <f t="shared" si="12"/>
        <v/>
      </c>
      <c r="B313" s="9"/>
      <c r="C313" s="8"/>
      <c r="D313" s="10" t="str">
        <f ca="1">IFERROR(_xludf.XLOOKUP(C313,STUDENTS!$A$5:$A$204,STUDENTS!$C$5:$C$204,""),"")</f>
        <v/>
      </c>
      <c r="E313" s="10" t="str">
        <f ca="1">IFERROR(_xludf.XLOOKUP(C313,STUDENTS!$A$5:$A$204,STUDENTS!$L$5:$L$204,""),"")</f>
        <v/>
      </c>
      <c r="F313" s="10" t="str">
        <f t="shared" si="13"/>
        <v/>
      </c>
      <c r="G313" s="8"/>
      <c r="H313" s="11" t="str">
        <f>IF(B313="","",IF(OR(F313="Saturday",F313="Sunday"),SETTINGS!$B$11,IF(G313="Vacation",SETTINGS!$B$13,0)))</f>
        <v/>
      </c>
      <c r="I313" s="12" t="str">
        <f t="shared" si="14"/>
        <v/>
      </c>
      <c r="J313" s="8"/>
    </row>
    <row r="314" spans="1:10" x14ac:dyDescent="0.2">
      <c r="A314" s="7" t="str">
        <f t="shared" si="12"/>
        <v/>
      </c>
      <c r="B314" s="9"/>
      <c r="C314" s="8"/>
      <c r="D314" s="10" t="str">
        <f ca="1">IFERROR(_xludf.XLOOKUP(C314,STUDENTS!$A$5:$A$204,STUDENTS!$C$5:$C$204,""),"")</f>
        <v/>
      </c>
      <c r="E314" s="10" t="str">
        <f ca="1">IFERROR(_xludf.XLOOKUP(C314,STUDENTS!$A$5:$A$204,STUDENTS!$L$5:$L$204,""),"")</f>
        <v/>
      </c>
      <c r="F314" s="10" t="str">
        <f t="shared" si="13"/>
        <v/>
      </c>
      <c r="G314" s="8"/>
      <c r="H314" s="11" t="str">
        <f>IF(B314="","",IF(OR(F314="Saturday",F314="Sunday"),SETTINGS!$B$11,IF(G314="Vacation",SETTINGS!$B$13,0)))</f>
        <v/>
      </c>
      <c r="I314" s="12" t="str">
        <f t="shared" si="14"/>
        <v/>
      </c>
      <c r="J314" s="8"/>
    </row>
    <row r="315" spans="1:10" x14ac:dyDescent="0.2">
      <c r="A315" s="7" t="str">
        <f t="shared" si="12"/>
        <v/>
      </c>
      <c r="B315" s="9"/>
      <c r="C315" s="8"/>
      <c r="D315" s="10" t="str">
        <f ca="1">IFERROR(_xludf.XLOOKUP(C315,STUDENTS!$A$5:$A$204,STUDENTS!$C$5:$C$204,""),"")</f>
        <v/>
      </c>
      <c r="E315" s="10" t="str">
        <f ca="1">IFERROR(_xludf.XLOOKUP(C315,STUDENTS!$A$5:$A$204,STUDENTS!$L$5:$L$204,""),"")</f>
        <v/>
      </c>
      <c r="F315" s="10" t="str">
        <f t="shared" si="13"/>
        <v/>
      </c>
      <c r="G315" s="8"/>
      <c r="H315" s="11" t="str">
        <f>IF(B315="","",IF(OR(F315="Saturday",F315="Sunday"),SETTINGS!$B$11,IF(G315="Vacation",SETTINGS!$B$13,0)))</f>
        <v/>
      </c>
      <c r="I315" s="12" t="str">
        <f t="shared" si="14"/>
        <v/>
      </c>
      <c r="J315" s="8"/>
    </row>
    <row r="316" spans="1:10" x14ac:dyDescent="0.2">
      <c r="A316" s="7" t="str">
        <f t="shared" si="12"/>
        <v/>
      </c>
      <c r="B316" s="9"/>
      <c r="C316" s="8"/>
      <c r="D316" s="10" t="str">
        <f ca="1">IFERROR(_xludf.XLOOKUP(C316,STUDENTS!$A$5:$A$204,STUDENTS!$C$5:$C$204,""),"")</f>
        <v/>
      </c>
      <c r="E316" s="10" t="str">
        <f ca="1">IFERROR(_xludf.XLOOKUP(C316,STUDENTS!$A$5:$A$204,STUDENTS!$L$5:$L$204,""),"")</f>
        <v/>
      </c>
      <c r="F316" s="10" t="str">
        <f t="shared" si="13"/>
        <v/>
      </c>
      <c r="G316" s="8"/>
      <c r="H316" s="11" t="str">
        <f>IF(B316="","",IF(OR(F316="Saturday",F316="Sunday"),SETTINGS!$B$11,IF(G316="Vacation",SETTINGS!$B$13,0)))</f>
        <v/>
      </c>
      <c r="I316" s="12" t="str">
        <f t="shared" si="14"/>
        <v/>
      </c>
      <c r="J316" s="8"/>
    </row>
    <row r="317" spans="1:10" x14ac:dyDescent="0.2">
      <c r="A317" s="7" t="str">
        <f t="shared" si="12"/>
        <v/>
      </c>
      <c r="B317" s="9"/>
      <c r="C317" s="8"/>
      <c r="D317" s="10" t="str">
        <f ca="1">IFERROR(_xludf.XLOOKUP(C317,STUDENTS!$A$5:$A$204,STUDENTS!$C$5:$C$204,""),"")</f>
        <v/>
      </c>
      <c r="E317" s="10" t="str">
        <f ca="1">IFERROR(_xludf.XLOOKUP(C317,STUDENTS!$A$5:$A$204,STUDENTS!$L$5:$L$204,""),"")</f>
        <v/>
      </c>
      <c r="F317" s="10" t="str">
        <f t="shared" si="13"/>
        <v/>
      </c>
      <c r="G317" s="8"/>
      <c r="H317" s="11" t="str">
        <f>IF(B317="","",IF(OR(F317="Saturday",F317="Sunday"),SETTINGS!$B$11,IF(G317="Vacation",SETTINGS!$B$13,0)))</f>
        <v/>
      </c>
      <c r="I317" s="12" t="str">
        <f t="shared" si="14"/>
        <v/>
      </c>
      <c r="J317" s="8"/>
    </row>
    <row r="318" spans="1:10" x14ac:dyDescent="0.2">
      <c r="A318" s="7" t="str">
        <f t="shared" si="12"/>
        <v/>
      </c>
      <c r="B318" s="9"/>
      <c r="C318" s="8"/>
      <c r="D318" s="10" t="str">
        <f ca="1">IFERROR(_xludf.XLOOKUP(C318,STUDENTS!$A$5:$A$204,STUDENTS!$C$5:$C$204,""),"")</f>
        <v/>
      </c>
      <c r="E318" s="10" t="str">
        <f ca="1">IFERROR(_xludf.XLOOKUP(C318,STUDENTS!$A$5:$A$204,STUDENTS!$L$5:$L$204,""),"")</f>
        <v/>
      </c>
      <c r="F318" s="10" t="str">
        <f t="shared" si="13"/>
        <v/>
      </c>
      <c r="G318" s="8"/>
      <c r="H318" s="11" t="str">
        <f>IF(B318="","",IF(OR(F318="Saturday",F318="Sunday"),SETTINGS!$B$11,IF(G318="Vacation",SETTINGS!$B$13,0)))</f>
        <v/>
      </c>
      <c r="I318" s="12" t="str">
        <f t="shared" si="14"/>
        <v/>
      </c>
      <c r="J318" s="8"/>
    </row>
    <row r="319" spans="1:10" x14ac:dyDescent="0.2">
      <c r="A319" s="7" t="str">
        <f t="shared" si="12"/>
        <v/>
      </c>
      <c r="B319" s="9"/>
      <c r="C319" s="8"/>
      <c r="D319" s="10" t="str">
        <f ca="1">IFERROR(_xludf.XLOOKUP(C319,STUDENTS!$A$5:$A$204,STUDENTS!$C$5:$C$204,""),"")</f>
        <v/>
      </c>
      <c r="E319" s="10" t="str">
        <f ca="1">IFERROR(_xludf.XLOOKUP(C319,STUDENTS!$A$5:$A$204,STUDENTS!$L$5:$L$204,""),"")</f>
        <v/>
      </c>
      <c r="F319" s="10" t="str">
        <f t="shared" si="13"/>
        <v/>
      </c>
      <c r="G319" s="8"/>
      <c r="H319" s="11" t="str">
        <f>IF(B319="","",IF(OR(F319="Saturday",F319="Sunday"),SETTINGS!$B$11,IF(G319="Vacation",SETTINGS!$B$13,0)))</f>
        <v/>
      </c>
      <c r="I319" s="12" t="str">
        <f t="shared" si="14"/>
        <v/>
      </c>
      <c r="J319" s="8"/>
    </row>
    <row r="320" spans="1:10" x14ac:dyDescent="0.2">
      <c r="A320" s="7" t="str">
        <f t="shared" si="12"/>
        <v/>
      </c>
      <c r="B320" s="9"/>
      <c r="C320" s="8"/>
      <c r="D320" s="10" t="str">
        <f ca="1">IFERROR(_xludf.XLOOKUP(C320,STUDENTS!$A$5:$A$204,STUDENTS!$C$5:$C$204,""),"")</f>
        <v/>
      </c>
      <c r="E320" s="10" t="str">
        <f ca="1">IFERROR(_xludf.XLOOKUP(C320,STUDENTS!$A$5:$A$204,STUDENTS!$L$5:$L$204,""),"")</f>
        <v/>
      </c>
      <c r="F320" s="10" t="str">
        <f t="shared" si="13"/>
        <v/>
      </c>
      <c r="G320" s="8"/>
      <c r="H320" s="11" t="str">
        <f>IF(B320="","",IF(OR(F320="Saturday",F320="Sunday"),SETTINGS!$B$11,IF(G320="Vacation",SETTINGS!$B$13,0)))</f>
        <v/>
      </c>
      <c r="I320" s="12" t="str">
        <f t="shared" si="14"/>
        <v/>
      </c>
      <c r="J320" s="8"/>
    </row>
    <row r="321" spans="1:10" x14ac:dyDescent="0.2">
      <c r="A321" s="7" t="str">
        <f t="shared" si="12"/>
        <v/>
      </c>
      <c r="B321" s="9"/>
      <c r="C321" s="8"/>
      <c r="D321" s="10" t="str">
        <f ca="1">IFERROR(_xludf.XLOOKUP(C321,STUDENTS!$A$5:$A$204,STUDENTS!$C$5:$C$204,""),"")</f>
        <v/>
      </c>
      <c r="E321" s="10" t="str">
        <f ca="1">IFERROR(_xludf.XLOOKUP(C321,STUDENTS!$A$5:$A$204,STUDENTS!$L$5:$L$204,""),"")</f>
        <v/>
      </c>
      <c r="F321" s="10" t="str">
        <f t="shared" si="13"/>
        <v/>
      </c>
      <c r="G321" s="8"/>
      <c r="H321" s="11" t="str">
        <f>IF(B321="","",IF(OR(F321="Saturday",F321="Sunday"),SETTINGS!$B$11,IF(G321="Vacation",SETTINGS!$B$13,0)))</f>
        <v/>
      </c>
      <c r="I321" s="12" t="str">
        <f t="shared" si="14"/>
        <v/>
      </c>
      <c r="J321" s="8"/>
    </row>
    <row r="322" spans="1:10" x14ac:dyDescent="0.2">
      <c r="A322" s="7" t="str">
        <f t="shared" si="12"/>
        <v/>
      </c>
      <c r="B322" s="9"/>
      <c r="C322" s="8"/>
      <c r="D322" s="10" t="str">
        <f ca="1">IFERROR(_xludf.XLOOKUP(C322,STUDENTS!$A$5:$A$204,STUDENTS!$C$5:$C$204,""),"")</f>
        <v/>
      </c>
      <c r="E322" s="10" t="str">
        <f ca="1">IFERROR(_xludf.XLOOKUP(C322,STUDENTS!$A$5:$A$204,STUDENTS!$L$5:$L$204,""),"")</f>
        <v/>
      </c>
      <c r="F322" s="10" t="str">
        <f t="shared" si="13"/>
        <v/>
      </c>
      <c r="G322" s="8"/>
      <c r="H322" s="11" t="str">
        <f>IF(B322="","",IF(OR(F322="Saturday",F322="Sunday"),SETTINGS!$B$11,IF(G322="Vacation",SETTINGS!$B$13,0)))</f>
        <v/>
      </c>
      <c r="I322" s="12" t="str">
        <f t="shared" si="14"/>
        <v/>
      </c>
      <c r="J322" s="8"/>
    </row>
    <row r="323" spans="1:10" x14ac:dyDescent="0.2">
      <c r="A323" s="7" t="str">
        <f t="shared" si="12"/>
        <v/>
      </c>
      <c r="B323" s="9"/>
      <c r="C323" s="8"/>
      <c r="D323" s="10" t="str">
        <f ca="1">IFERROR(_xludf.XLOOKUP(C323,STUDENTS!$A$5:$A$204,STUDENTS!$C$5:$C$204,""),"")</f>
        <v/>
      </c>
      <c r="E323" s="10" t="str">
        <f ca="1">IFERROR(_xludf.XLOOKUP(C323,STUDENTS!$A$5:$A$204,STUDENTS!$L$5:$L$204,""),"")</f>
        <v/>
      </c>
      <c r="F323" s="10" t="str">
        <f t="shared" si="13"/>
        <v/>
      </c>
      <c r="G323" s="8"/>
      <c r="H323" s="11" t="str">
        <f>IF(B323="","",IF(OR(F323="Saturday",F323="Sunday"),SETTINGS!$B$11,IF(G323="Vacation",SETTINGS!$B$13,0)))</f>
        <v/>
      </c>
      <c r="I323" s="12" t="str">
        <f t="shared" si="14"/>
        <v/>
      </c>
      <c r="J323" s="8"/>
    </row>
    <row r="324" spans="1:10" x14ac:dyDescent="0.2">
      <c r="A324" s="7" t="str">
        <f t="shared" si="12"/>
        <v/>
      </c>
      <c r="B324" s="9"/>
      <c r="C324" s="8"/>
      <c r="D324" s="10" t="str">
        <f ca="1">IFERROR(_xludf.XLOOKUP(C324,STUDENTS!$A$5:$A$204,STUDENTS!$C$5:$C$204,""),"")</f>
        <v/>
      </c>
      <c r="E324" s="10" t="str">
        <f ca="1">IFERROR(_xludf.XLOOKUP(C324,STUDENTS!$A$5:$A$204,STUDENTS!$L$5:$L$204,""),"")</f>
        <v/>
      </c>
      <c r="F324" s="10" t="str">
        <f t="shared" si="13"/>
        <v/>
      </c>
      <c r="G324" s="8"/>
      <c r="H324" s="11" t="str">
        <f>IF(B324="","",IF(OR(F324="Saturday",F324="Sunday"),SETTINGS!$B$11,IF(G324="Vacation",SETTINGS!$B$13,0)))</f>
        <v/>
      </c>
      <c r="I324" s="12" t="str">
        <f t="shared" si="14"/>
        <v/>
      </c>
      <c r="J324" s="8"/>
    </row>
    <row r="325" spans="1:10" x14ac:dyDescent="0.2">
      <c r="A325" s="7" t="str">
        <f t="shared" ref="A325:A388" si="15">IF(C325="","","F-"&amp;TEXT(ROW()-4,"00000"))</f>
        <v/>
      </c>
      <c r="B325" s="9"/>
      <c r="C325" s="8"/>
      <c r="D325" s="10" t="str">
        <f ca="1">IFERROR(_xludf.XLOOKUP(C325,STUDENTS!$A$5:$A$204,STUDENTS!$C$5:$C$204,""),"")</f>
        <v/>
      </c>
      <c r="E325" s="10" t="str">
        <f ca="1">IFERROR(_xludf.XLOOKUP(C325,STUDENTS!$A$5:$A$204,STUDENTS!$L$5:$L$204,""),"")</f>
        <v/>
      </c>
      <c r="F325" s="10" t="str">
        <f t="shared" ref="F325:F388" si="16">IF(B325="","",TEXT(B325,"dddd"))</f>
        <v/>
      </c>
      <c r="G325" s="8"/>
      <c r="H325" s="11" t="str">
        <f>IF(B325="","",IF(OR(F325="Saturday",F325="Sunday"),SETTINGS!$B$11,IF(G325="Vacation",SETTINGS!$B$13,0)))</f>
        <v/>
      </c>
      <c r="I325" s="12" t="str">
        <f t="shared" ref="I325:I388" si="17">IF(H325="","",H325)</f>
        <v/>
      </c>
      <c r="J325" s="8"/>
    </row>
    <row r="326" spans="1:10" x14ac:dyDescent="0.2">
      <c r="A326" s="7" t="str">
        <f t="shared" si="15"/>
        <v/>
      </c>
      <c r="B326" s="9"/>
      <c r="C326" s="8"/>
      <c r="D326" s="10" t="str">
        <f ca="1">IFERROR(_xludf.XLOOKUP(C326,STUDENTS!$A$5:$A$204,STUDENTS!$C$5:$C$204,""),"")</f>
        <v/>
      </c>
      <c r="E326" s="10" t="str">
        <f ca="1">IFERROR(_xludf.XLOOKUP(C326,STUDENTS!$A$5:$A$204,STUDENTS!$L$5:$L$204,""),"")</f>
        <v/>
      </c>
      <c r="F326" s="10" t="str">
        <f t="shared" si="16"/>
        <v/>
      </c>
      <c r="G326" s="8"/>
      <c r="H326" s="11" t="str">
        <f>IF(B326="","",IF(OR(F326="Saturday",F326="Sunday"),SETTINGS!$B$11,IF(G326="Vacation",SETTINGS!$B$13,0)))</f>
        <v/>
      </c>
      <c r="I326" s="12" t="str">
        <f t="shared" si="17"/>
        <v/>
      </c>
      <c r="J326" s="8"/>
    </row>
    <row r="327" spans="1:10" x14ac:dyDescent="0.2">
      <c r="A327" s="7" t="str">
        <f t="shared" si="15"/>
        <v/>
      </c>
      <c r="B327" s="9"/>
      <c r="C327" s="8"/>
      <c r="D327" s="10" t="str">
        <f ca="1">IFERROR(_xludf.XLOOKUP(C327,STUDENTS!$A$5:$A$204,STUDENTS!$C$5:$C$204,""),"")</f>
        <v/>
      </c>
      <c r="E327" s="10" t="str">
        <f ca="1">IFERROR(_xludf.XLOOKUP(C327,STUDENTS!$A$5:$A$204,STUDENTS!$L$5:$L$204,""),"")</f>
        <v/>
      </c>
      <c r="F327" s="10" t="str">
        <f t="shared" si="16"/>
        <v/>
      </c>
      <c r="G327" s="8"/>
      <c r="H327" s="11" t="str">
        <f>IF(B327="","",IF(OR(F327="Saturday",F327="Sunday"),SETTINGS!$B$11,IF(G327="Vacation",SETTINGS!$B$13,0)))</f>
        <v/>
      </c>
      <c r="I327" s="12" t="str">
        <f t="shared" si="17"/>
        <v/>
      </c>
      <c r="J327" s="8"/>
    </row>
    <row r="328" spans="1:10" x14ac:dyDescent="0.2">
      <c r="A328" s="7" t="str">
        <f t="shared" si="15"/>
        <v/>
      </c>
      <c r="B328" s="9"/>
      <c r="C328" s="8"/>
      <c r="D328" s="10" t="str">
        <f ca="1">IFERROR(_xludf.XLOOKUP(C328,STUDENTS!$A$5:$A$204,STUDENTS!$C$5:$C$204,""),"")</f>
        <v/>
      </c>
      <c r="E328" s="10" t="str">
        <f ca="1">IFERROR(_xludf.XLOOKUP(C328,STUDENTS!$A$5:$A$204,STUDENTS!$L$5:$L$204,""),"")</f>
        <v/>
      </c>
      <c r="F328" s="10" t="str">
        <f t="shared" si="16"/>
        <v/>
      </c>
      <c r="G328" s="8"/>
      <c r="H328" s="11" t="str">
        <f>IF(B328="","",IF(OR(F328="Saturday",F328="Sunday"),SETTINGS!$B$11,IF(G328="Vacation",SETTINGS!$B$13,0)))</f>
        <v/>
      </c>
      <c r="I328" s="12" t="str">
        <f t="shared" si="17"/>
        <v/>
      </c>
      <c r="J328" s="8"/>
    </row>
    <row r="329" spans="1:10" x14ac:dyDescent="0.2">
      <c r="A329" s="7" t="str">
        <f t="shared" si="15"/>
        <v/>
      </c>
      <c r="B329" s="9"/>
      <c r="C329" s="8"/>
      <c r="D329" s="10" t="str">
        <f ca="1">IFERROR(_xludf.XLOOKUP(C329,STUDENTS!$A$5:$A$204,STUDENTS!$C$5:$C$204,""),"")</f>
        <v/>
      </c>
      <c r="E329" s="10" t="str">
        <f ca="1">IFERROR(_xludf.XLOOKUP(C329,STUDENTS!$A$5:$A$204,STUDENTS!$L$5:$L$204,""),"")</f>
        <v/>
      </c>
      <c r="F329" s="10" t="str">
        <f t="shared" si="16"/>
        <v/>
      </c>
      <c r="G329" s="8"/>
      <c r="H329" s="11" t="str">
        <f>IF(B329="","",IF(OR(F329="Saturday",F329="Sunday"),SETTINGS!$B$11,IF(G329="Vacation",SETTINGS!$B$13,0)))</f>
        <v/>
      </c>
      <c r="I329" s="12" t="str">
        <f t="shared" si="17"/>
        <v/>
      </c>
      <c r="J329" s="8"/>
    </row>
    <row r="330" spans="1:10" x14ac:dyDescent="0.2">
      <c r="A330" s="7" t="str">
        <f t="shared" si="15"/>
        <v/>
      </c>
      <c r="B330" s="9"/>
      <c r="C330" s="8"/>
      <c r="D330" s="10" t="str">
        <f ca="1">IFERROR(_xludf.XLOOKUP(C330,STUDENTS!$A$5:$A$204,STUDENTS!$C$5:$C$204,""),"")</f>
        <v/>
      </c>
      <c r="E330" s="10" t="str">
        <f ca="1">IFERROR(_xludf.XLOOKUP(C330,STUDENTS!$A$5:$A$204,STUDENTS!$L$5:$L$204,""),"")</f>
        <v/>
      </c>
      <c r="F330" s="10" t="str">
        <f t="shared" si="16"/>
        <v/>
      </c>
      <c r="G330" s="8"/>
      <c r="H330" s="11" t="str">
        <f>IF(B330="","",IF(OR(F330="Saturday",F330="Sunday"),SETTINGS!$B$11,IF(G330="Vacation",SETTINGS!$B$13,0)))</f>
        <v/>
      </c>
      <c r="I330" s="12" t="str">
        <f t="shared" si="17"/>
        <v/>
      </c>
      <c r="J330" s="8"/>
    </row>
    <row r="331" spans="1:10" x14ac:dyDescent="0.2">
      <c r="A331" s="7" t="str">
        <f t="shared" si="15"/>
        <v/>
      </c>
      <c r="B331" s="9"/>
      <c r="C331" s="8"/>
      <c r="D331" s="10" t="str">
        <f ca="1">IFERROR(_xludf.XLOOKUP(C331,STUDENTS!$A$5:$A$204,STUDENTS!$C$5:$C$204,""),"")</f>
        <v/>
      </c>
      <c r="E331" s="10" t="str">
        <f ca="1">IFERROR(_xludf.XLOOKUP(C331,STUDENTS!$A$5:$A$204,STUDENTS!$L$5:$L$204,""),"")</f>
        <v/>
      </c>
      <c r="F331" s="10" t="str">
        <f t="shared" si="16"/>
        <v/>
      </c>
      <c r="G331" s="8"/>
      <c r="H331" s="11" t="str">
        <f>IF(B331="","",IF(OR(F331="Saturday",F331="Sunday"),SETTINGS!$B$11,IF(G331="Vacation",SETTINGS!$B$13,0)))</f>
        <v/>
      </c>
      <c r="I331" s="12" t="str">
        <f t="shared" si="17"/>
        <v/>
      </c>
      <c r="J331" s="8"/>
    </row>
    <row r="332" spans="1:10" x14ac:dyDescent="0.2">
      <c r="A332" s="7" t="str">
        <f t="shared" si="15"/>
        <v/>
      </c>
      <c r="B332" s="9"/>
      <c r="C332" s="8"/>
      <c r="D332" s="10" t="str">
        <f ca="1">IFERROR(_xludf.XLOOKUP(C332,STUDENTS!$A$5:$A$204,STUDENTS!$C$5:$C$204,""),"")</f>
        <v/>
      </c>
      <c r="E332" s="10" t="str">
        <f ca="1">IFERROR(_xludf.XLOOKUP(C332,STUDENTS!$A$5:$A$204,STUDENTS!$L$5:$L$204,""),"")</f>
        <v/>
      </c>
      <c r="F332" s="10" t="str">
        <f t="shared" si="16"/>
        <v/>
      </c>
      <c r="G332" s="8"/>
      <c r="H332" s="11" t="str">
        <f>IF(B332="","",IF(OR(F332="Saturday",F332="Sunday"),SETTINGS!$B$11,IF(G332="Vacation",SETTINGS!$B$13,0)))</f>
        <v/>
      </c>
      <c r="I332" s="12" t="str">
        <f t="shared" si="17"/>
        <v/>
      </c>
      <c r="J332" s="8"/>
    </row>
    <row r="333" spans="1:10" x14ac:dyDescent="0.2">
      <c r="A333" s="7" t="str">
        <f t="shared" si="15"/>
        <v/>
      </c>
      <c r="B333" s="9"/>
      <c r="C333" s="8"/>
      <c r="D333" s="10" t="str">
        <f ca="1">IFERROR(_xludf.XLOOKUP(C333,STUDENTS!$A$5:$A$204,STUDENTS!$C$5:$C$204,""),"")</f>
        <v/>
      </c>
      <c r="E333" s="10" t="str">
        <f ca="1">IFERROR(_xludf.XLOOKUP(C333,STUDENTS!$A$5:$A$204,STUDENTS!$L$5:$L$204,""),"")</f>
        <v/>
      </c>
      <c r="F333" s="10" t="str">
        <f t="shared" si="16"/>
        <v/>
      </c>
      <c r="G333" s="8"/>
      <c r="H333" s="11" t="str">
        <f>IF(B333="","",IF(OR(F333="Saturday",F333="Sunday"),SETTINGS!$B$11,IF(G333="Vacation",SETTINGS!$B$13,0)))</f>
        <v/>
      </c>
      <c r="I333" s="12" t="str">
        <f t="shared" si="17"/>
        <v/>
      </c>
      <c r="J333" s="8"/>
    </row>
    <row r="334" spans="1:10" x14ac:dyDescent="0.2">
      <c r="A334" s="7" t="str">
        <f t="shared" si="15"/>
        <v/>
      </c>
      <c r="B334" s="9"/>
      <c r="C334" s="8"/>
      <c r="D334" s="10" t="str">
        <f ca="1">IFERROR(_xludf.XLOOKUP(C334,STUDENTS!$A$5:$A$204,STUDENTS!$C$5:$C$204,""),"")</f>
        <v/>
      </c>
      <c r="E334" s="10" t="str">
        <f ca="1">IFERROR(_xludf.XLOOKUP(C334,STUDENTS!$A$5:$A$204,STUDENTS!$L$5:$L$204,""),"")</f>
        <v/>
      </c>
      <c r="F334" s="10" t="str">
        <f t="shared" si="16"/>
        <v/>
      </c>
      <c r="G334" s="8"/>
      <c r="H334" s="11" t="str">
        <f>IF(B334="","",IF(OR(F334="Saturday",F334="Sunday"),SETTINGS!$B$11,IF(G334="Vacation",SETTINGS!$B$13,0)))</f>
        <v/>
      </c>
      <c r="I334" s="12" t="str">
        <f t="shared" si="17"/>
        <v/>
      </c>
      <c r="J334" s="8"/>
    </row>
    <row r="335" spans="1:10" x14ac:dyDescent="0.2">
      <c r="A335" s="7" t="str">
        <f t="shared" si="15"/>
        <v/>
      </c>
      <c r="B335" s="9"/>
      <c r="C335" s="8"/>
      <c r="D335" s="10" t="str">
        <f ca="1">IFERROR(_xludf.XLOOKUP(C335,STUDENTS!$A$5:$A$204,STUDENTS!$C$5:$C$204,""),"")</f>
        <v/>
      </c>
      <c r="E335" s="10" t="str">
        <f ca="1">IFERROR(_xludf.XLOOKUP(C335,STUDENTS!$A$5:$A$204,STUDENTS!$L$5:$L$204,""),"")</f>
        <v/>
      </c>
      <c r="F335" s="10" t="str">
        <f t="shared" si="16"/>
        <v/>
      </c>
      <c r="G335" s="8"/>
      <c r="H335" s="11" t="str">
        <f>IF(B335="","",IF(OR(F335="Saturday",F335="Sunday"),SETTINGS!$B$11,IF(G335="Vacation",SETTINGS!$B$13,0)))</f>
        <v/>
      </c>
      <c r="I335" s="12" t="str">
        <f t="shared" si="17"/>
        <v/>
      </c>
      <c r="J335" s="8"/>
    </row>
    <row r="336" spans="1:10" x14ac:dyDescent="0.2">
      <c r="A336" s="7" t="str">
        <f t="shared" si="15"/>
        <v/>
      </c>
      <c r="B336" s="9"/>
      <c r="C336" s="8"/>
      <c r="D336" s="10" t="str">
        <f ca="1">IFERROR(_xludf.XLOOKUP(C336,STUDENTS!$A$5:$A$204,STUDENTS!$C$5:$C$204,""),"")</f>
        <v/>
      </c>
      <c r="E336" s="10" t="str">
        <f ca="1">IFERROR(_xludf.XLOOKUP(C336,STUDENTS!$A$5:$A$204,STUDENTS!$L$5:$L$204,""),"")</f>
        <v/>
      </c>
      <c r="F336" s="10" t="str">
        <f t="shared" si="16"/>
        <v/>
      </c>
      <c r="G336" s="8"/>
      <c r="H336" s="11" t="str">
        <f>IF(B336="","",IF(OR(F336="Saturday",F336="Sunday"),SETTINGS!$B$11,IF(G336="Vacation",SETTINGS!$B$13,0)))</f>
        <v/>
      </c>
      <c r="I336" s="12" t="str">
        <f t="shared" si="17"/>
        <v/>
      </c>
      <c r="J336" s="8"/>
    </row>
    <row r="337" spans="1:10" x14ac:dyDescent="0.2">
      <c r="A337" s="7" t="str">
        <f t="shared" si="15"/>
        <v/>
      </c>
      <c r="B337" s="9"/>
      <c r="C337" s="8"/>
      <c r="D337" s="10" t="str">
        <f ca="1">IFERROR(_xludf.XLOOKUP(C337,STUDENTS!$A$5:$A$204,STUDENTS!$C$5:$C$204,""),"")</f>
        <v/>
      </c>
      <c r="E337" s="10" t="str">
        <f ca="1">IFERROR(_xludf.XLOOKUP(C337,STUDENTS!$A$5:$A$204,STUDENTS!$L$5:$L$204,""),"")</f>
        <v/>
      </c>
      <c r="F337" s="10" t="str">
        <f t="shared" si="16"/>
        <v/>
      </c>
      <c r="G337" s="8"/>
      <c r="H337" s="11" t="str">
        <f>IF(B337="","",IF(OR(F337="Saturday",F337="Sunday"),SETTINGS!$B$11,IF(G337="Vacation",SETTINGS!$B$13,0)))</f>
        <v/>
      </c>
      <c r="I337" s="12" t="str">
        <f t="shared" si="17"/>
        <v/>
      </c>
      <c r="J337" s="8"/>
    </row>
    <row r="338" spans="1:10" x14ac:dyDescent="0.2">
      <c r="A338" s="7" t="str">
        <f t="shared" si="15"/>
        <v/>
      </c>
      <c r="B338" s="9"/>
      <c r="C338" s="8"/>
      <c r="D338" s="10" t="str">
        <f ca="1">IFERROR(_xludf.XLOOKUP(C338,STUDENTS!$A$5:$A$204,STUDENTS!$C$5:$C$204,""),"")</f>
        <v/>
      </c>
      <c r="E338" s="10" t="str">
        <f ca="1">IFERROR(_xludf.XLOOKUP(C338,STUDENTS!$A$5:$A$204,STUDENTS!$L$5:$L$204,""),"")</f>
        <v/>
      </c>
      <c r="F338" s="10" t="str">
        <f t="shared" si="16"/>
        <v/>
      </c>
      <c r="G338" s="8"/>
      <c r="H338" s="11" t="str">
        <f>IF(B338="","",IF(OR(F338="Saturday",F338="Sunday"),SETTINGS!$B$11,IF(G338="Vacation",SETTINGS!$B$13,0)))</f>
        <v/>
      </c>
      <c r="I338" s="12" t="str">
        <f t="shared" si="17"/>
        <v/>
      </c>
      <c r="J338" s="8"/>
    </row>
    <row r="339" spans="1:10" x14ac:dyDescent="0.2">
      <c r="A339" s="7" t="str">
        <f t="shared" si="15"/>
        <v/>
      </c>
      <c r="B339" s="9"/>
      <c r="C339" s="8"/>
      <c r="D339" s="10" t="str">
        <f ca="1">IFERROR(_xludf.XLOOKUP(C339,STUDENTS!$A$5:$A$204,STUDENTS!$C$5:$C$204,""),"")</f>
        <v/>
      </c>
      <c r="E339" s="10" t="str">
        <f ca="1">IFERROR(_xludf.XLOOKUP(C339,STUDENTS!$A$5:$A$204,STUDENTS!$L$5:$L$204,""),"")</f>
        <v/>
      </c>
      <c r="F339" s="10" t="str">
        <f t="shared" si="16"/>
        <v/>
      </c>
      <c r="G339" s="8"/>
      <c r="H339" s="11" t="str">
        <f>IF(B339="","",IF(OR(F339="Saturday",F339="Sunday"),SETTINGS!$B$11,IF(G339="Vacation",SETTINGS!$B$13,0)))</f>
        <v/>
      </c>
      <c r="I339" s="12" t="str">
        <f t="shared" si="17"/>
        <v/>
      </c>
      <c r="J339" s="8"/>
    </row>
    <row r="340" spans="1:10" x14ac:dyDescent="0.2">
      <c r="A340" s="7" t="str">
        <f t="shared" si="15"/>
        <v/>
      </c>
      <c r="B340" s="9"/>
      <c r="C340" s="8"/>
      <c r="D340" s="10" t="str">
        <f ca="1">IFERROR(_xludf.XLOOKUP(C340,STUDENTS!$A$5:$A$204,STUDENTS!$C$5:$C$204,""),"")</f>
        <v/>
      </c>
      <c r="E340" s="10" t="str">
        <f ca="1">IFERROR(_xludf.XLOOKUP(C340,STUDENTS!$A$5:$A$204,STUDENTS!$L$5:$L$204,""),"")</f>
        <v/>
      </c>
      <c r="F340" s="10" t="str">
        <f t="shared" si="16"/>
        <v/>
      </c>
      <c r="G340" s="8"/>
      <c r="H340" s="11" t="str">
        <f>IF(B340="","",IF(OR(F340="Saturday",F340="Sunday"),SETTINGS!$B$11,IF(G340="Vacation",SETTINGS!$B$13,0)))</f>
        <v/>
      </c>
      <c r="I340" s="12" t="str">
        <f t="shared" si="17"/>
        <v/>
      </c>
      <c r="J340" s="8"/>
    </row>
    <row r="341" spans="1:10" x14ac:dyDescent="0.2">
      <c r="A341" s="7" t="str">
        <f t="shared" si="15"/>
        <v/>
      </c>
      <c r="B341" s="9"/>
      <c r="C341" s="8"/>
      <c r="D341" s="10" t="str">
        <f ca="1">IFERROR(_xludf.XLOOKUP(C341,STUDENTS!$A$5:$A$204,STUDENTS!$C$5:$C$204,""),"")</f>
        <v/>
      </c>
      <c r="E341" s="10" t="str">
        <f ca="1">IFERROR(_xludf.XLOOKUP(C341,STUDENTS!$A$5:$A$204,STUDENTS!$L$5:$L$204,""),"")</f>
        <v/>
      </c>
      <c r="F341" s="10" t="str">
        <f t="shared" si="16"/>
        <v/>
      </c>
      <c r="G341" s="8"/>
      <c r="H341" s="11" t="str">
        <f>IF(B341="","",IF(OR(F341="Saturday",F341="Sunday"),SETTINGS!$B$11,IF(G341="Vacation",SETTINGS!$B$13,0)))</f>
        <v/>
      </c>
      <c r="I341" s="12" t="str">
        <f t="shared" si="17"/>
        <v/>
      </c>
      <c r="J341" s="8"/>
    </row>
    <row r="342" spans="1:10" x14ac:dyDescent="0.2">
      <c r="A342" s="7" t="str">
        <f t="shared" si="15"/>
        <v/>
      </c>
      <c r="B342" s="9"/>
      <c r="C342" s="8"/>
      <c r="D342" s="10" t="str">
        <f ca="1">IFERROR(_xludf.XLOOKUP(C342,STUDENTS!$A$5:$A$204,STUDENTS!$C$5:$C$204,""),"")</f>
        <v/>
      </c>
      <c r="E342" s="10" t="str">
        <f ca="1">IFERROR(_xludf.XLOOKUP(C342,STUDENTS!$A$5:$A$204,STUDENTS!$L$5:$L$204,""),"")</f>
        <v/>
      </c>
      <c r="F342" s="10" t="str">
        <f t="shared" si="16"/>
        <v/>
      </c>
      <c r="G342" s="8"/>
      <c r="H342" s="11" t="str">
        <f>IF(B342="","",IF(OR(F342="Saturday",F342="Sunday"),SETTINGS!$B$11,IF(G342="Vacation",SETTINGS!$B$13,0)))</f>
        <v/>
      </c>
      <c r="I342" s="12" t="str">
        <f t="shared" si="17"/>
        <v/>
      </c>
      <c r="J342" s="8"/>
    </row>
    <row r="343" spans="1:10" x14ac:dyDescent="0.2">
      <c r="A343" s="7" t="str">
        <f t="shared" si="15"/>
        <v/>
      </c>
      <c r="B343" s="9"/>
      <c r="C343" s="8"/>
      <c r="D343" s="10" t="str">
        <f ca="1">IFERROR(_xludf.XLOOKUP(C343,STUDENTS!$A$5:$A$204,STUDENTS!$C$5:$C$204,""),"")</f>
        <v/>
      </c>
      <c r="E343" s="10" t="str">
        <f ca="1">IFERROR(_xludf.XLOOKUP(C343,STUDENTS!$A$5:$A$204,STUDENTS!$L$5:$L$204,""),"")</f>
        <v/>
      </c>
      <c r="F343" s="10" t="str">
        <f t="shared" si="16"/>
        <v/>
      </c>
      <c r="G343" s="8"/>
      <c r="H343" s="11" t="str">
        <f>IF(B343="","",IF(OR(F343="Saturday",F343="Sunday"),SETTINGS!$B$11,IF(G343="Vacation",SETTINGS!$B$13,0)))</f>
        <v/>
      </c>
      <c r="I343" s="12" t="str">
        <f t="shared" si="17"/>
        <v/>
      </c>
      <c r="J343" s="8"/>
    </row>
    <row r="344" spans="1:10" x14ac:dyDescent="0.2">
      <c r="A344" s="7" t="str">
        <f t="shared" si="15"/>
        <v/>
      </c>
      <c r="B344" s="9"/>
      <c r="C344" s="8"/>
      <c r="D344" s="10" t="str">
        <f ca="1">IFERROR(_xludf.XLOOKUP(C344,STUDENTS!$A$5:$A$204,STUDENTS!$C$5:$C$204,""),"")</f>
        <v/>
      </c>
      <c r="E344" s="10" t="str">
        <f ca="1">IFERROR(_xludf.XLOOKUP(C344,STUDENTS!$A$5:$A$204,STUDENTS!$L$5:$L$204,""),"")</f>
        <v/>
      </c>
      <c r="F344" s="10" t="str">
        <f t="shared" si="16"/>
        <v/>
      </c>
      <c r="G344" s="8"/>
      <c r="H344" s="11" t="str">
        <f>IF(B344="","",IF(OR(F344="Saturday",F344="Sunday"),SETTINGS!$B$11,IF(G344="Vacation",SETTINGS!$B$13,0)))</f>
        <v/>
      </c>
      <c r="I344" s="12" t="str">
        <f t="shared" si="17"/>
        <v/>
      </c>
      <c r="J344" s="8"/>
    </row>
    <row r="345" spans="1:10" x14ac:dyDescent="0.2">
      <c r="A345" s="7" t="str">
        <f t="shared" si="15"/>
        <v/>
      </c>
      <c r="B345" s="9"/>
      <c r="C345" s="8"/>
      <c r="D345" s="10" t="str">
        <f ca="1">IFERROR(_xludf.XLOOKUP(C345,STUDENTS!$A$5:$A$204,STUDENTS!$C$5:$C$204,""),"")</f>
        <v/>
      </c>
      <c r="E345" s="10" t="str">
        <f ca="1">IFERROR(_xludf.XLOOKUP(C345,STUDENTS!$A$5:$A$204,STUDENTS!$L$5:$L$204,""),"")</f>
        <v/>
      </c>
      <c r="F345" s="10" t="str">
        <f t="shared" si="16"/>
        <v/>
      </c>
      <c r="G345" s="8"/>
      <c r="H345" s="11" t="str">
        <f>IF(B345="","",IF(OR(F345="Saturday",F345="Sunday"),SETTINGS!$B$11,IF(G345="Vacation",SETTINGS!$B$13,0)))</f>
        <v/>
      </c>
      <c r="I345" s="12" t="str">
        <f t="shared" si="17"/>
        <v/>
      </c>
      <c r="J345" s="8"/>
    </row>
    <row r="346" spans="1:10" x14ac:dyDescent="0.2">
      <c r="A346" s="7" t="str">
        <f t="shared" si="15"/>
        <v/>
      </c>
      <c r="B346" s="9"/>
      <c r="C346" s="8"/>
      <c r="D346" s="10" t="str">
        <f ca="1">IFERROR(_xludf.XLOOKUP(C346,STUDENTS!$A$5:$A$204,STUDENTS!$C$5:$C$204,""),"")</f>
        <v/>
      </c>
      <c r="E346" s="10" t="str">
        <f ca="1">IFERROR(_xludf.XLOOKUP(C346,STUDENTS!$A$5:$A$204,STUDENTS!$L$5:$L$204,""),"")</f>
        <v/>
      </c>
      <c r="F346" s="10" t="str">
        <f t="shared" si="16"/>
        <v/>
      </c>
      <c r="G346" s="8"/>
      <c r="H346" s="11" t="str">
        <f>IF(B346="","",IF(OR(F346="Saturday",F346="Sunday"),SETTINGS!$B$11,IF(G346="Vacation",SETTINGS!$B$13,0)))</f>
        <v/>
      </c>
      <c r="I346" s="12" t="str">
        <f t="shared" si="17"/>
        <v/>
      </c>
      <c r="J346" s="8"/>
    </row>
    <row r="347" spans="1:10" x14ac:dyDescent="0.2">
      <c r="A347" s="7" t="str">
        <f t="shared" si="15"/>
        <v/>
      </c>
      <c r="B347" s="9"/>
      <c r="C347" s="8"/>
      <c r="D347" s="10" t="str">
        <f ca="1">IFERROR(_xludf.XLOOKUP(C347,STUDENTS!$A$5:$A$204,STUDENTS!$C$5:$C$204,""),"")</f>
        <v/>
      </c>
      <c r="E347" s="10" t="str">
        <f ca="1">IFERROR(_xludf.XLOOKUP(C347,STUDENTS!$A$5:$A$204,STUDENTS!$L$5:$L$204,""),"")</f>
        <v/>
      </c>
      <c r="F347" s="10" t="str">
        <f t="shared" si="16"/>
        <v/>
      </c>
      <c r="G347" s="8"/>
      <c r="H347" s="11" t="str">
        <f>IF(B347="","",IF(OR(F347="Saturday",F347="Sunday"),SETTINGS!$B$11,IF(G347="Vacation",SETTINGS!$B$13,0)))</f>
        <v/>
      </c>
      <c r="I347" s="12" t="str">
        <f t="shared" si="17"/>
        <v/>
      </c>
      <c r="J347" s="8"/>
    </row>
    <row r="348" spans="1:10" x14ac:dyDescent="0.2">
      <c r="A348" s="7" t="str">
        <f t="shared" si="15"/>
        <v/>
      </c>
      <c r="B348" s="9"/>
      <c r="C348" s="8"/>
      <c r="D348" s="10" t="str">
        <f ca="1">IFERROR(_xludf.XLOOKUP(C348,STUDENTS!$A$5:$A$204,STUDENTS!$C$5:$C$204,""),"")</f>
        <v/>
      </c>
      <c r="E348" s="10" t="str">
        <f ca="1">IFERROR(_xludf.XLOOKUP(C348,STUDENTS!$A$5:$A$204,STUDENTS!$L$5:$L$204,""),"")</f>
        <v/>
      </c>
      <c r="F348" s="10" t="str">
        <f t="shared" si="16"/>
        <v/>
      </c>
      <c r="G348" s="8"/>
      <c r="H348" s="11" t="str">
        <f>IF(B348="","",IF(OR(F348="Saturday",F348="Sunday"),SETTINGS!$B$11,IF(G348="Vacation",SETTINGS!$B$13,0)))</f>
        <v/>
      </c>
      <c r="I348" s="12" t="str">
        <f t="shared" si="17"/>
        <v/>
      </c>
      <c r="J348" s="8"/>
    </row>
    <row r="349" spans="1:10" x14ac:dyDescent="0.2">
      <c r="A349" s="7" t="str">
        <f t="shared" si="15"/>
        <v/>
      </c>
      <c r="B349" s="9"/>
      <c r="C349" s="8"/>
      <c r="D349" s="10" t="str">
        <f ca="1">IFERROR(_xludf.XLOOKUP(C349,STUDENTS!$A$5:$A$204,STUDENTS!$C$5:$C$204,""),"")</f>
        <v/>
      </c>
      <c r="E349" s="10" t="str">
        <f ca="1">IFERROR(_xludf.XLOOKUP(C349,STUDENTS!$A$5:$A$204,STUDENTS!$L$5:$L$204,""),"")</f>
        <v/>
      </c>
      <c r="F349" s="10" t="str">
        <f t="shared" si="16"/>
        <v/>
      </c>
      <c r="G349" s="8"/>
      <c r="H349" s="11" t="str">
        <f>IF(B349="","",IF(OR(F349="Saturday",F349="Sunday"),SETTINGS!$B$11,IF(G349="Vacation",SETTINGS!$B$13,0)))</f>
        <v/>
      </c>
      <c r="I349" s="12" t="str">
        <f t="shared" si="17"/>
        <v/>
      </c>
      <c r="J349" s="8"/>
    </row>
    <row r="350" spans="1:10" x14ac:dyDescent="0.2">
      <c r="A350" s="7" t="str">
        <f t="shared" si="15"/>
        <v/>
      </c>
      <c r="B350" s="9"/>
      <c r="C350" s="8"/>
      <c r="D350" s="10" t="str">
        <f ca="1">IFERROR(_xludf.XLOOKUP(C350,STUDENTS!$A$5:$A$204,STUDENTS!$C$5:$C$204,""),"")</f>
        <v/>
      </c>
      <c r="E350" s="10" t="str">
        <f ca="1">IFERROR(_xludf.XLOOKUP(C350,STUDENTS!$A$5:$A$204,STUDENTS!$L$5:$L$204,""),"")</f>
        <v/>
      </c>
      <c r="F350" s="10" t="str">
        <f t="shared" si="16"/>
        <v/>
      </c>
      <c r="G350" s="8"/>
      <c r="H350" s="11" t="str">
        <f>IF(B350="","",IF(OR(F350="Saturday",F350="Sunday"),SETTINGS!$B$11,IF(G350="Vacation",SETTINGS!$B$13,0)))</f>
        <v/>
      </c>
      <c r="I350" s="12" t="str">
        <f t="shared" si="17"/>
        <v/>
      </c>
      <c r="J350" s="8"/>
    </row>
    <row r="351" spans="1:10" x14ac:dyDescent="0.2">
      <c r="A351" s="7" t="str">
        <f t="shared" si="15"/>
        <v/>
      </c>
      <c r="B351" s="9"/>
      <c r="C351" s="8"/>
      <c r="D351" s="10" t="str">
        <f ca="1">IFERROR(_xludf.XLOOKUP(C351,STUDENTS!$A$5:$A$204,STUDENTS!$C$5:$C$204,""),"")</f>
        <v/>
      </c>
      <c r="E351" s="10" t="str">
        <f ca="1">IFERROR(_xludf.XLOOKUP(C351,STUDENTS!$A$5:$A$204,STUDENTS!$L$5:$L$204,""),"")</f>
        <v/>
      </c>
      <c r="F351" s="10" t="str">
        <f t="shared" si="16"/>
        <v/>
      </c>
      <c r="G351" s="8"/>
      <c r="H351" s="11" t="str">
        <f>IF(B351="","",IF(OR(F351="Saturday",F351="Sunday"),SETTINGS!$B$11,IF(G351="Vacation",SETTINGS!$B$13,0)))</f>
        <v/>
      </c>
      <c r="I351" s="12" t="str">
        <f t="shared" si="17"/>
        <v/>
      </c>
      <c r="J351" s="8"/>
    </row>
    <row r="352" spans="1:10" x14ac:dyDescent="0.2">
      <c r="A352" s="7" t="str">
        <f t="shared" si="15"/>
        <v/>
      </c>
      <c r="B352" s="9"/>
      <c r="C352" s="8"/>
      <c r="D352" s="10" t="str">
        <f ca="1">IFERROR(_xludf.XLOOKUP(C352,STUDENTS!$A$5:$A$204,STUDENTS!$C$5:$C$204,""),"")</f>
        <v/>
      </c>
      <c r="E352" s="10" t="str">
        <f ca="1">IFERROR(_xludf.XLOOKUP(C352,STUDENTS!$A$5:$A$204,STUDENTS!$L$5:$L$204,""),"")</f>
        <v/>
      </c>
      <c r="F352" s="10" t="str">
        <f t="shared" si="16"/>
        <v/>
      </c>
      <c r="G352" s="8"/>
      <c r="H352" s="11" t="str">
        <f>IF(B352="","",IF(OR(F352="Saturday",F352="Sunday"),SETTINGS!$B$11,IF(G352="Vacation",SETTINGS!$B$13,0)))</f>
        <v/>
      </c>
      <c r="I352" s="12" t="str">
        <f t="shared" si="17"/>
        <v/>
      </c>
      <c r="J352" s="8"/>
    </row>
    <row r="353" spans="1:10" x14ac:dyDescent="0.2">
      <c r="A353" s="7" t="str">
        <f t="shared" si="15"/>
        <v/>
      </c>
      <c r="B353" s="9"/>
      <c r="C353" s="8"/>
      <c r="D353" s="10" t="str">
        <f ca="1">IFERROR(_xludf.XLOOKUP(C353,STUDENTS!$A$5:$A$204,STUDENTS!$C$5:$C$204,""),"")</f>
        <v/>
      </c>
      <c r="E353" s="10" t="str">
        <f ca="1">IFERROR(_xludf.XLOOKUP(C353,STUDENTS!$A$5:$A$204,STUDENTS!$L$5:$L$204,""),"")</f>
        <v/>
      </c>
      <c r="F353" s="10" t="str">
        <f t="shared" si="16"/>
        <v/>
      </c>
      <c r="G353" s="8"/>
      <c r="H353" s="11" t="str">
        <f>IF(B353="","",IF(OR(F353="Saturday",F353="Sunday"),SETTINGS!$B$11,IF(G353="Vacation",SETTINGS!$B$13,0)))</f>
        <v/>
      </c>
      <c r="I353" s="12" t="str">
        <f t="shared" si="17"/>
        <v/>
      </c>
      <c r="J353" s="8"/>
    </row>
    <row r="354" spans="1:10" x14ac:dyDescent="0.2">
      <c r="A354" s="7" t="str">
        <f t="shared" si="15"/>
        <v/>
      </c>
      <c r="B354" s="9"/>
      <c r="C354" s="8"/>
      <c r="D354" s="10" t="str">
        <f ca="1">IFERROR(_xludf.XLOOKUP(C354,STUDENTS!$A$5:$A$204,STUDENTS!$C$5:$C$204,""),"")</f>
        <v/>
      </c>
      <c r="E354" s="10" t="str">
        <f ca="1">IFERROR(_xludf.XLOOKUP(C354,STUDENTS!$A$5:$A$204,STUDENTS!$L$5:$L$204,""),"")</f>
        <v/>
      </c>
      <c r="F354" s="10" t="str">
        <f t="shared" si="16"/>
        <v/>
      </c>
      <c r="G354" s="8"/>
      <c r="H354" s="11" t="str">
        <f>IF(B354="","",IF(OR(F354="Saturday",F354="Sunday"),SETTINGS!$B$11,IF(G354="Vacation",SETTINGS!$B$13,0)))</f>
        <v/>
      </c>
      <c r="I354" s="12" t="str">
        <f t="shared" si="17"/>
        <v/>
      </c>
      <c r="J354" s="8"/>
    </row>
    <row r="355" spans="1:10" x14ac:dyDescent="0.2">
      <c r="A355" s="7" t="str">
        <f t="shared" si="15"/>
        <v/>
      </c>
      <c r="B355" s="9"/>
      <c r="C355" s="8"/>
      <c r="D355" s="10" t="str">
        <f ca="1">IFERROR(_xludf.XLOOKUP(C355,STUDENTS!$A$5:$A$204,STUDENTS!$C$5:$C$204,""),"")</f>
        <v/>
      </c>
      <c r="E355" s="10" t="str">
        <f ca="1">IFERROR(_xludf.XLOOKUP(C355,STUDENTS!$A$5:$A$204,STUDENTS!$L$5:$L$204,""),"")</f>
        <v/>
      </c>
      <c r="F355" s="10" t="str">
        <f t="shared" si="16"/>
        <v/>
      </c>
      <c r="G355" s="8"/>
      <c r="H355" s="11" t="str">
        <f>IF(B355="","",IF(OR(F355="Saturday",F355="Sunday"),SETTINGS!$B$11,IF(G355="Vacation",SETTINGS!$B$13,0)))</f>
        <v/>
      </c>
      <c r="I355" s="12" t="str">
        <f t="shared" si="17"/>
        <v/>
      </c>
      <c r="J355" s="8"/>
    </row>
    <row r="356" spans="1:10" x14ac:dyDescent="0.2">
      <c r="A356" s="7" t="str">
        <f t="shared" si="15"/>
        <v/>
      </c>
      <c r="B356" s="9"/>
      <c r="C356" s="8"/>
      <c r="D356" s="10" t="str">
        <f ca="1">IFERROR(_xludf.XLOOKUP(C356,STUDENTS!$A$5:$A$204,STUDENTS!$C$5:$C$204,""),"")</f>
        <v/>
      </c>
      <c r="E356" s="10" t="str">
        <f ca="1">IFERROR(_xludf.XLOOKUP(C356,STUDENTS!$A$5:$A$204,STUDENTS!$L$5:$L$204,""),"")</f>
        <v/>
      </c>
      <c r="F356" s="10" t="str">
        <f t="shared" si="16"/>
        <v/>
      </c>
      <c r="G356" s="8"/>
      <c r="H356" s="11" t="str">
        <f>IF(B356="","",IF(OR(F356="Saturday",F356="Sunday"),SETTINGS!$B$11,IF(G356="Vacation",SETTINGS!$B$13,0)))</f>
        <v/>
      </c>
      <c r="I356" s="12" t="str">
        <f t="shared" si="17"/>
        <v/>
      </c>
      <c r="J356" s="8"/>
    </row>
    <row r="357" spans="1:10" x14ac:dyDescent="0.2">
      <c r="A357" s="7" t="str">
        <f t="shared" si="15"/>
        <v/>
      </c>
      <c r="B357" s="9"/>
      <c r="C357" s="8"/>
      <c r="D357" s="10" t="str">
        <f ca="1">IFERROR(_xludf.XLOOKUP(C357,STUDENTS!$A$5:$A$204,STUDENTS!$C$5:$C$204,""),"")</f>
        <v/>
      </c>
      <c r="E357" s="10" t="str">
        <f ca="1">IFERROR(_xludf.XLOOKUP(C357,STUDENTS!$A$5:$A$204,STUDENTS!$L$5:$L$204,""),"")</f>
        <v/>
      </c>
      <c r="F357" s="10" t="str">
        <f t="shared" si="16"/>
        <v/>
      </c>
      <c r="G357" s="8"/>
      <c r="H357" s="11" t="str">
        <f>IF(B357="","",IF(OR(F357="Saturday",F357="Sunday"),SETTINGS!$B$11,IF(G357="Vacation",SETTINGS!$B$13,0)))</f>
        <v/>
      </c>
      <c r="I357" s="12" t="str">
        <f t="shared" si="17"/>
        <v/>
      </c>
      <c r="J357" s="8"/>
    </row>
    <row r="358" spans="1:10" x14ac:dyDescent="0.2">
      <c r="A358" s="7" t="str">
        <f t="shared" si="15"/>
        <v/>
      </c>
      <c r="B358" s="9"/>
      <c r="C358" s="8"/>
      <c r="D358" s="10" t="str">
        <f ca="1">IFERROR(_xludf.XLOOKUP(C358,STUDENTS!$A$5:$A$204,STUDENTS!$C$5:$C$204,""),"")</f>
        <v/>
      </c>
      <c r="E358" s="10" t="str">
        <f ca="1">IFERROR(_xludf.XLOOKUP(C358,STUDENTS!$A$5:$A$204,STUDENTS!$L$5:$L$204,""),"")</f>
        <v/>
      </c>
      <c r="F358" s="10" t="str">
        <f t="shared" si="16"/>
        <v/>
      </c>
      <c r="G358" s="8"/>
      <c r="H358" s="11" t="str">
        <f>IF(B358="","",IF(OR(F358="Saturday",F358="Sunday"),SETTINGS!$B$11,IF(G358="Vacation",SETTINGS!$B$13,0)))</f>
        <v/>
      </c>
      <c r="I358" s="12" t="str">
        <f t="shared" si="17"/>
        <v/>
      </c>
      <c r="J358" s="8"/>
    </row>
    <row r="359" spans="1:10" x14ac:dyDescent="0.2">
      <c r="A359" s="7" t="str">
        <f t="shared" si="15"/>
        <v/>
      </c>
      <c r="B359" s="9"/>
      <c r="C359" s="8"/>
      <c r="D359" s="10" t="str">
        <f ca="1">IFERROR(_xludf.XLOOKUP(C359,STUDENTS!$A$5:$A$204,STUDENTS!$C$5:$C$204,""),"")</f>
        <v/>
      </c>
      <c r="E359" s="10" t="str">
        <f ca="1">IFERROR(_xludf.XLOOKUP(C359,STUDENTS!$A$5:$A$204,STUDENTS!$L$5:$L$204,""),"")</f>
        <v/>
      </c>
      <c r="F359" s="10" t="str">
        <f t="shared" si="16"/>
        <v/>
      </c>
      <c r="G359" s="8"/>
      <c r="H359" s="11" t="str">
        <f>IF(B359="","",IF(OR(F359="Saturday",F359="Sunday"),SETTINGS!$B$11,IF(G359="Vacation",SETTINGS!$B$13,0)))</f>
        <v/>
      </c>
      <c r="I359" s="12" t="str">
        <f t="shared" si="17"/>
        <v/>
      </c>
      <c r="J359" s="8"/>
    </row>
    <row r="360" spans="1:10" x14ac:dyDescent="0.2">
      <c r="A360" s="7" t="str">
        <f t="shared" si="15"/>
        <v/>
      </c>
      <c r="B360" s="9"/>
      <c r="C360" s="8"/>
      <c r="D360" s="10" t="str">
        <f ca="1">IFERROR(_xludf.XLOOKUP(C360,STUDENTS!$A$5:$A$204,STUDENTS!$C$5:$C$204,""),"")</f>
        <v/>
      </c>
      <c r="E360" s="10" t="str">
        <f ca="1">IFERROR(_xludf.XLOOKUP(C360,STUDENTS!$A$5:$A$204,STUDENTS!$L$5:$L$204,""),"")</f>
        <v/>
      </c>
      <c r="F360" s="10" t="str">
        <f t="shared" si="16"/>
        <v/>
      </c>
      <c r="G360" s="8"/>
      <c r="H360" s="11" t="str">
        <f>IF(B360="","",IF(OR(F360="Saturday",F360="Sunday"),SETTINGS!$B$11,IF(G360="Vacation",SETTINGS!$B$13,0)))</f>
        <v/>
      </c>
      <c r="I360" s="12" t="str">
        <f t="shared" si="17"/>
        <v/>
      </c>
      <c r="J360" s="8"/>
    </row>
    <row r="361" spans="1:10" x14ac:dyDescent="0.2">
      <c r="A361" s="7" t="str">
        <f t="shared" si="15"/>
        <v/>
      </c>
      <c r="B361" s="9"/>
      <c r="C361" s="8"/>
      <c r="D361" s="10" t="str">
        <f ca="1">IFERROR(_xludf.XLOOKUP(C361,STUDENTS!$A$5:$A$204,STUDENTS!$C$5:$C$204,""),"")</f>
        <v/>
      </c>
      <c r="E361" s="10" t="str">
        <f ca="1">IFERROR(_xludf.XLOOKUP(C361,STUDENTS!$A$5:$A$204,STUDENTS!$L$5:$L$204,""),"")</f>
        <v/>
      </c>
      <c r="F361" s="10" t="str">
        <f t="shared" si="16"/>
        <v/>
      </c>
      <c r="G361" s="8"/>
      <c r="H361" s="11" t="str">
        <f>IF(B361="","",IF(OR(F361="Saturday",F361="Sunday"),SETTINGS!$B$11,IF(G361="Vacation",SETTINGS!$B$13,0)))</f>
        <v/>
      </c>
      <c r="I361" s="12" t="str">
        <f t="shared" si="17"/>
        <v/>
      </c>
      <c r="J361" s="8"/>
    </row>
    <row r="362" spans="1:10" x14ac:dyDescent="0.2">
      <c r="A362" s="7" t="str">
        <f t="shared" si="15"/>
        <v/>
      </c>
      <c r="B362" s="9"/>
      <c r="C362" s="8"/>
      <c r="D362" s="10" t="str">
        <f ca="1">IFERROR(_xludf.XLOOKUP(C362,STUDENTS!$A$5:$A$204,STUDENTS!$C$5:$C$204,""),"")</f>
        <v/>
      </c>
      <c r="E362" s="10" t="str">
        <f ca="1">IFERROR(_xludf.XLOOKUP(C362,STUDENTS!$A$5:$A$204,STUDENTS!$L$5:$L$204,""),"")</f>
        <v/>
      </c>
      <c r="F362" s="10" t="str">
        <f t="shared" si="16"/>
        <v/>
      </c>
      <c r="G362" s="8"/>
      <c r="H362" s="11" t="str">
        <f>IF(B362="","",IF(OR(F362="Saturday",F362="Sunday"),SETTINGS!$B$11,IF(G362="Vacation",SETTINGS!$B$13,0)))</f>
        <v/>
      </c>
      <c r="I362" s="12" t="str">
        <f t="shared" si="17"/>
        <v/>
      </c>
      <c r="J362" s="8"/>
    </row>
    <row r="363" spans="1:10" x14ac:dyDescent="0.2">
      <c r="A363" s="7" t="str">
        <f t="shared" si="15"/>
        <v/>
      </c>
      <c r="B363" s="9"/>
      <c r="C363" s="8"/>
      <c r="D363" s="10" t="str">
        <f ca="1">IFERROR(_xludf.XLOOKUP(C363,STUDENTS!$A$5:$A$204,STUDENTS!$C$5:$C$204,""),"")</f>
        <v/>
      </c>
      <c r="E363" s="10" t="str">
        <f ca="1">IFERROR(_xludf.XLOOKUP(C363,STUDENTS!$A$5:$A$204,STUDENTS!$L$5:$L$204,""),"")</f>
        <v/>
      </c>
      <c r="F363" s="10" t="str">
        <f t="shared" si="16"/>
        <v/>
      </c>
      <c r="G363" s="8"/>
      <c r="H363" s="11" t="str">
        <f>IF(B363="","",IF(OR(F363="Saturday",F363="Sunday"),SETTINGS!$B$11,IF(G363="Vacation",SETTINGS!$B$13,0)))</f>
        <v/>
      </c>
      <c r="I363" s="12" t="str">
        <f t="shared" si="17"/>
        <v/>
      </c>
      <c r="J363" s="8"/>
    </row>
    <row r="364" spans="1:10" x14ac:dyDescent="0.2">
      <c r="A364" s="7" t="str">
        <f t="shared" si="15"/>
        <v/>
      </c>
      <c r="B364" s="9"/>
      <c r="C364" s="8"/>
      <c r="D364" s="10" t="str">
        <f ca="1">IFERROR(_xludf.XLOOKUP(C364,STUDENTS!$A$5:$A$204,STUDENTS!$C$5:$C$204,""),"")</f>
        <v/>
      </c>
      <c r="E364" s="10" t="str">
        <f ca="1">IFERROR(_xludf.XLOOKUP(C364,STUDENTS!$A$5:$A$204,STUDENTS!$L$5:$L$204,""),"")</f>
        <v/>
      </c>
      <c r="F364" s="10" t="str">
        <f t="shared" si="16"/>
        <v/>
      </c>
      <c r="G364" s="8"/>
      <c r="H364" s="11" t="str">
        <f>IF(B364="","",IF(OR(F364="Saturday",F364="Sunday"),SETTINGS!$B$11,IF(G364="Vacation",SETTINGS!$B$13,0)))</f>
        <v/>
      </c>
      <c r="I364" s="12" t="str">
        <f t="shared" si="17"/>
        <v/>
      </c>
      <c r="J364" s="8"/>
    </row>
    <row r="365" spans="1:10" x14ac:dyDescent="0.2">
      <c r="A365" s="7" t="str">
        <f t="shared" si="15"/>
        <v/>
      </c>
      <c r="B365" s="9"/>
      <c r="C365" s="8"/>
      <c r="D365" s="10" t="str">
        <f ca="1">IFERROR(_xludf.XLOOKUP(C365,STUDENTS!$A$5:$A$204,STUDENTS!$C$5:$C$204,""),"")</f>
        <v/>
      </c>
      <c r="E365" s="10" t="str">
        <f ca="1">IFERROR(_xludf.XLOOKUP(C365,STUDENTS!$A$5:$A$204,STUDENTS!$L$5:$L$204,""),"")</f>
        <v/>
      </c>
      <c r="F365" s="10" t="str">
        <f t="shared" si="16"/>
        <v/>
      </c>
      <c r="G365" s="8"/>
      <c r="H365" s="11" t="str">
        <f>IF(B365="","",IF(OR(F365="Saturday",F365="Sunday"),SETTINGS!$B$11,IF(G365="Vacation",SETTINGS!$B$13,0)))</f>
        <v/>
      </c>
      <c r="I365" s="12" t="str">
        <f t="shared" si="17"/>
        <v/>
      </c>
      <c r="J365" s="8"/>
    </row>
    <row r="366" spans="1:10" x14ac:dyDescent="0.2">
      <c r="A366" s="7" t="str">
        <f t="shared" si="15"/>
        <v/>
      </c>
      <c r="B366" s="9"/>
      <c r="C366" s="8"/>
      <c r="D366" s="10" t="str">
        <f ca="1">IFERROR(_xludf.XLOOKUP(C366,STUDENTS!$A$5:$A$204,STUDENTS!$C$5:$C$204,""),"")</f>
        <v/>
      </c>
      <c r="E366" s="10" t="str">
        <f ca="1">IFERROR(_xludf.XLOOKUP(C366,STUDENTS!$A$5:$A$204,STUDENTS!$L$5:$L$204,""),"")</f>
        <v/>
      </c>
      <c r="F366" s="10" t="str">
        <f t="shared" si="16"/>
        <v/>
      </c>
      <c r="G366" s="8"/>
      <c r="H366" s="11" t="str">
        <f>IF(B366="","",IF(OR(F366="Saturday",F366="Sunday"),SETTINGS!$B$11,IF(G366="Vacation",SETTINGS!$B$13,0)))</f>
        <v/>
      </c>
      <c r="I366" s="12" t="str">
        <f t="shared" si="17"/>
        <v/>
      </c>
      <c r="J366" s="8"/>
    </row>
    <row r="367" spans="1:10" x14ac:dyDescent="0.2">
      <c r="A367" s="7" t="str">
        <f t="shared" si="15"/>
        <v/>
      </c>
      <c r="B367" s="9"/>
      <c r="C367" s="8"/>
      <c r="D367" s="10" t="str">
        <f ca="1">IFERROR(_xludf.XLOOKUP(C367,STUDENTS!$A$5:$A$204,STUDENTS!$C$5:$C$204,""),"")</f>
        <v/>
      </c>
      <c r="E367" s="10" t="str">
        <f ca="1">IFERROR(_xludf.XLOOKUP(C367,STUDENTS!$A$5:$A$204,STUDENTS!$L$5:$L$204,""),"")</f>
        <v/>
      </c>
      <c r="F367" s="10" t="str">
        <f t="shared" si="16"/>
        <v/>
      </c>
      <c r="G367" s="8"/>
      <c r="H367" s="11" t="str">
        <f>IF(B367="","",IF(OR(F367="Saturday",F367="Sunday"),SETTINGS!$B$11,IF(G367="Vacation",SETTINGS!$B$13,0)))</f>
        <v/>
      </c>
      <c r="I367" s="12" t="str">
        <f t="shared" si="17"/>
        <v/>
      </c>
      <c r="J367" s="8"/>
    </row>
    <row r="368" spans="1:10" x14ac:dyDescent="0.2">
      <c r="A368" s="7" t="str">
        <f t="shared" si="15"/>
        <v/>
      </c>
      <c r="B368" s="9"/>
      <c r="C368" s="8"/>
      <c r="D368" s="10" t="str">
        <f ca="1">IFERROR(_xludf.XLOOKUP(C368,STUDENTS!$A$5:$A$204,STUDENTS!$C$5:$C$204,""),"")</f>
        <v/>
      </c>
      <c r="E368" s="10" t="str">
        <f ca="1">IFERROR(_xludf.XLOOKUP(C368,STUDENTS!$A$5:$A$204,STUDENTS!$L$5:$L$204,""),"")</f>
        <v/>
      </c>
      <c r="F368" s="10" t="str">
        <f t="shared" si="16"/>
        <v/>
      </c>
      <c r="G368" s="8"/>
      <c r="H368" s="11" t="str">
        <f>IF(B368="","",IF(OR(F368="Saturday",F368="Sunday"),SETTINGS!$B$11,IF(G368="Vacation",SETTINGS!$B$13,0)))</f>
        <v/>
      </c>
      <c r="I368" s="12" t="str">
        <f t="shared" si="17"/>
        <v/>
      </c>
      <c r="J368" s="8"/>
    </row>
    <row r="369" spans="1:10" x14ac:dyDescent="0.2">
      <c r="A369" s="7" t="str">
        <f t="shared" si="15"/>
        <v/>
      </c>
      <c r="B369" s="9"/>
      <c r="C369" s="8"/>
      <c r="D369" s="10" t="str">
        <f ca="1">IFERROR(_xludf.XLOOKUP(C369,STUDENTS!$A$5:$A$204,STUDENTS!$C$5:$C$204,""),"")</f>
        <v/>
      </c>
      <c r="E369" s="10" t="str">
        <f ca="1">IFERROR(_xludf.XLOOKUP(C369,STUDENTS!$A$5:$A$204,STUDENTS!$L$5:$L$204,""),"")</f>
        <v/>
      </c>
      <c r="F369" s="10" t="str">
        <f t="shared" si="16"/>
        <v/>
      </c>
      <c r="G369" s="8"/>
      <c r="H369" s="11" t="str">
        <f>IF(B369="","",IF(OR(F369="Saturday",F369="Sunday"),SETTINGS!$B$11,IF(G369="Vacation",SETTINGS!$B$13,0)))</f>
        <v/>
      </c>
      <c r="I369" s="12" t="str">
        <f t="shared" si="17"/>
        <v/>
      </c>
      <c r="J369" s="8"/>
    </row>
    <row r="370" spans="1:10" x14ac:dyDescent="0.2">
      <c r="A370" s="7" t="str">
        <f t="shared" si="15"/>
        <v/>
      </c>
      <c r="B370" s="9"/>
      <c r="C370" s="8"/>
      <c r="D370" s="10" t="str">
        <f ca="1">IFERROR(_xludf.XLOOKUP(C370,STUDENTS!$A$5:$A$204,STUDENTS!$C$5:$C$204,""),"")</f>
        <v/>
      </c>
      <c r="E370" s="10" t="str">
        <f ca="1">IFERROR(_xludf.XLOOKUP(C370,STUDENTS!$A$5:$A$204,STUDENTS!$L$5:$L$204,""),"")</f>
        <v/>
      </c>
      <c r="F370" s="10" t="str">
        <f t="shared" si="16"/>
        <v/>
      </c>
      <c r="G370" s="8"/>
      <c r="H370" s="11" t="str">
        <f>IF(B370="","",IF(OR(F370="Saturday",F370="Sunday"),SETTINGS!$B$11,IF(G370="Vacation",SETTINGS!$B$13,0)))</f>
        <v/>
      </c>
      <c r="I370" s="12" t="str">
        <f t="shared" si="17"/>
        <v/>
      </c>
      <c r="J370" s="8"/>
    </row>
    <row r="371" spans="1:10" x14ac:dyDescent="0.2">
      <c r="A371" s="7" t="str">
        <f t="shared" si="15"/>
        <v/>
      </c>
      <c r="B371" s="9"/>
      <c r="C371" s="8"/>
      <c r="D371" s="10" t="str">
        <f ca="1">IFERROR(_xludf.XLOOKUP(C371,STUDENTS!$A$5:$A$204,STUDENTS!$C$5:$C$204,""),"")</f>
        <v/>
      </c>
      <c r="E371" s="10" t="str">
        <f ca="1">IFERROR(_xludf.XLOOKUP(C371,STUDENTS!$A$5:$A$204,STUDENTS!$L$5:$L$204,""),"")</f>
        <v/>
      </c>
      <c r="F371" s="10" t="str">
        <f t="shared" si="16"/>
        <v/>
      </c>
      <c r="G371" s="8"/>
      <c r="H371" s="11" t="str">
        <f>IF(B371="","",IF(OR(F371="Saturday",F371="Sunday"),SETTINGS!$B$11,IF(G371="Vacation",SETTINGS!$B$13,0)))</f>
        <v/>
      </c>
      <c r="I371" s="12" t="str">
        <f t="shared" si="17"/>
        <v/>
      </c>
      <c r="J371" s="8"/>
    </row>
    <row r="372" spans="1:10" x14ac:dyDescent="0.2">
      <c r="A372" s="7" t="str">
        <f t="shared" si="15"/>
        <v/>
      </c>
      <c r="B372" s="9"/>
      <c r="C372" s="8"/>
      <c r="D372" s="10" t="str">
        <f ca="1">IFERROR(_xludf.XLOOKUP(C372,STUDENTS!$A$5:$A$204,STUDENTS!$C$5:$C$204,""),"")</f>
        <v/>
      </c>
      <c r="E372" s="10" t="str">
        <f ca="1">IFERROR(_xludf.XLOOKUP(C372,STUDENTS!$A$5:$A$204,STUDENTS!$L$5:$L$204,""),"")</f>
        <v/>
      </c>
      <c r="F372" s="10" t="str">
        <f t="shared" si="16"/>
        <v/>
      </c>
      <c r="G372" s="8"/>
      <c r="H372" s="11" t="str">
        <f>IF(B372="","",IF(OR(F372="Saturday",F372="Sunday"),SETTINGS!$B$11,IF(G372="Vacation",SETTINGS!$B$13,0)))</f>
        <v/>
      </c>
      <c r="I372" s="12" t="str">
        <f t="shared" si="17"/>
        <v/>
      </c>
      <c r="J372" s="8"/>
    </row>
    <row r="373" spans="1:10" x14ac:dyDescent="0.2">
      <c r="A373" s="7" t="str">
        <f t="shared" si="15"/>
        <v/>
      </c>
      <c r="B373" s="9"/>
      <c r="C373" s="8"/>
      <c r="D373" s="10" t="str">
        <f ca="1">IFERROR(_xludf.XLOOKUP(C373,STUDENTS!$A$5:$A$204,STUDENTS!$C$5:$C$204,""),"")</f>
        <v/>
      </c>
      <c r="E373" s="10" t="str">
        <f ca="1">IFERROR(_xludf.XLOOKUP(C373,STUDENTS!$A$5:$A$204,STUDENTS!$L$5:$L$204,""),"")</f>
        <v/>
      </c>
      <c r="F373" s="10" t="str">
        <f t="shared" si="16"/>
        <v/>
      </c>
      <c r="G373" s="8"/>
      <c r="H373" s="11" t="str">
        <f>IF(B373="","",IF(OR(F373="Saturday",F373="Sunday"),SETTINGS!$B$11,IF(G373="Vacation",SETTINGS!$B$13,0)))</f>
        <v/>
      </c>
      <c r="I373" s="12" t="str">
        <f t="shared" si="17"/>
        <v/>
      </c>
      <c r="J373" s="8"/>
    </row>
    <row r="374" spans="1:10" x14ac:dyDescent="0.2">
      <c r="A374" s="7" t="str">
        <f t="shared" si="15"/>
        <v/>
      </c>
      <c r="B374" s="9"/>
      <c r="C374" s="8"/>
      <c r="D374" s="10" t="str">
        <f ca="1">IFERROR(_xludf.XLOOKUP(C374,STUDENTS!$A$5:$A$204,STUDENTS!$C$5:$C$204,""),"")</f>
        <v/>
      </c>
      <c r="E374" s="10" t="str">
        <f ca="1">IFERROR(_xludf.XLOOKUP(C374,STUDENTS!$A$5:$A$204,STUDENTS!$L$5:$L$204,""),"")</f>
        <v/>
      </c>
      <c r="F374" s="10" t="str">
        <f t="shared" si="16"/>
        <v/>
      </c>
      <c r="G374" s="8"/>
      <c r="H374" s="11" t="str">
        <f>IF(B374="","",IF(OR(F374="Saturday",F374="Sunday"),SETTINGS!$B$11,IF(G374="Vacation",SETTINGS!$B$13,0)))</f>
        <v/>
      </c>
      <c r="I374" s="12" t="str">
        <f t="shared" si="17"/>
        <v/>
      </c>
      <c r="J374" s="8"/>
    </row>
    <row r="375" spans="1:10" x14ac:dyDescent="0.2">
      <c r="A375" s="7" t="str">
        <f t="shared" si="15"/>
        <v/>
      </c>
      <c r="B375" s="9"/>
      <c r="C375" s="8"/>
      <c r="D375" s="10" t="str">
        <f ca="1">IFERROR(_xludf.XLOOKUP(C375,STUDENTS!$A$5:$A$204,STUDENTS!$C$5:$C$204,""),"")</f>
        <v/>
      </c>
      <c r="E375" s="10" t="str">
        <f ca="1">IFERROR(_xludf.XLOOKUP(C375,STUDENTS!$A$5:$A$204,STUDENTS!$L$5:$L$204,""),"")</f>
        <v/>
      </c>
      <c r="F375" s="10" t="str">
        <f t="shared" si="16"/>
        <v/>
      </c>
      <c r="G375" s="8"/>
      <c r="H375" s="11" t="str">
        <f>IF(B375="","",IF(OR(F375="Saturday",F375="Sunday"),SETTINGS!$B$11,IF(G375="Vacation",SETTINGS!$B$13,0)))</f>
        <v/>
      </c>
      <c r="I375" s="12" t="str">
        <f t="shared" si="17"/>
        <v/>
      </c>
      <c r="J375" s="8"/>
    </row>
    <row r="376" spans="1:10" x14ac:dyDescent="0.2">
      <c r="A376" s="7" t="str">
        <f t="shared" si="15"/>
        <v/>
      </c>
      <c r="B376" s="9"/>
      <c r="C376" s="8"/>
      <c r="D376" s="10" t="str">
        <f ca="1">IFERROR(_xludf.XLOOKUP(C376,STUDENTS!$A$5:$A$204,STUDENTS!$C$5:$C$204,""),"")</f>
        <v/>
      </c>
      <c r="E376" s="10" t="str">
        <f ca="1">IFERROR(_xludf.XLOOKUP(C376,STUDENTS!$A$5:$A$204,STUDENTS!$L$5:$L$204,""),"")</f>
        <v/>
      </c>
      <c r="F376" s="10" t="str">
        <f t="shared" si="16"/>
        <v/>
      </c>
      <c r="G376" s="8"/>
      <c r="H376" s="11" t="str">
        <f>IF(B376="","",IF(OR(F376="Saturday",F376="Sunday"),SETTINGS!$B$11,IF(G376="Vacation",SETTINGS!$B$13,0)))</f>
        <v/>
      </c>
      <c r="I376" s="12" t="str">
        <f t="shared" si="17"/>
        <v/>
      </c>
      <c r="J376" s="8"/>
    </row>
    <row r="377" spans="1:10" x14ac:dyDescent="0.2">
      <c r="A377" s="7" t="str">
        <f t="shared" si="15"/>
        <v/>
      </c>
      <c r="B377" s="9"/>
      <c r="C377" s="8"/>
      <c r="D377" s="10" t="str">
        <f ca="1">IFERROR(_xludf.XLOOKUP(C377,STUDENTS!$A$5:$A$204,STUDENTS!$C$5:$C$204,""),"")</f>
        <v/>
      </c>
      <c r="E377" s="10" t="str">
        <f ca="1">IFERROR(_xludf.XLOOKUP(C377,STUDENTS!$A$5:$A$204,STUDENTS!$L$5:$L$204,""),"")</f>
        <v/>
      </c>
      <c r="F377" s="10" t="str">
        <f t="shared" si="16"/>
        <v/>
      </c>
      <c r="G377" s="8"/>
      <c r="H377" s="11" t="str">
        <f>IF(B377="","",IF(OR(F377="Saturday",F377="Sunday"),SETTINGS!$B$11,IF(G377="Vacation",SETTINGS!$B$13,0)))</f>
        <v/>
      </c>
      <c r="I377" s="12" t="str">
        <f t="shared" si="17"/>
        <v/>
      </c>
      <c r="J377" s="8"/>
    </row>
    <row r="378" spans="1:10" x14ac:dyDescent="0.2">
      <c r="A378" s="7" t="str">
        <f t="shared" si="15"/>
        <v/>
      </c>
      <c r="B378" s="9"/>
      <c r="C378" s="8"/>
      <c r="D378" s="10" t="str">
        <f ca="1">IFERROR(_xludf.XLOOKUP(C378,STUDENTS!$A$5:$A$204,STUDENTS!$C$5:$C$204,""),"")</f>
        <v/>
      </c>
      <c r="E378" s="10" t="str">
        <f ca="1">IFERROR(_xludf.XLOOKUP(C378,STUDENTS!$A$5:$A$204,STUDENTS!$L$5:$L$204,""),"")</f>
        <v/>
      </c>
      <c r="F378" s="10" t="str">
        <f t="shared" si="16"/>
        <v/>
      </c>
      <c r="G378" s="8"/>
      <c r="H378" s="11" t="str">
        <f>IF(B378="","",IF(OR(F378="Saturday",F378="Sunday"),SETTINGS!$B$11,IF(G378="Vacation",SETTINGS!$B$13,0)))</f>
        <v/>
      </c>
      <c r="I378" s="12" t="str">
        <f t="shared" si="17"/>
        <v/>
      </c>
      <c r="J378" s="8"/>
    </row>
    <row r="379" spans="1:10" x14ac:dyDescent="0.2">
      <c r="A379" s="7" t="str">
        <f t="shared" si="15"/>
        <v/>
      </c>
      <c r="B379" s="9"/>
      <c r="C379" s="8"/>
      <c r="D379" s="10" t="str">
        <f ca="1">IFERROR(_xludf.XLOOKUP(C379,STUDENTS!$A$5:$A$204,STUDENTS!$C$5:$C$204,""),"")</f>
        <v/>
      </c>
      <c r="E379" s="10" t="str">
        <f ca="1">IFERROR(_xludf.XLOOKUP(C379,STUDENTS!$A$5:$A$204,STUDENTS!$L$5:$L$204,""),"")</f>
        <v/>
      </c>
      <c r="F379" s="10" t="str">
        <f t="shared" si="16"/>
        <v/>
      </c>
      <c r="G379" s="8"/>
      <c r="H379" s="11" t="str">
        <f>IF(B379="","",IF(OR(F379="Saturday",F379="Sunday"),SETTINGS!$B$11,IF(G379="Vacation",SETTINGS!$B$13,0)))</f>
        <v/>
      </c>
      <c r="I379" s="12" t="str">
        <f t="shared" si="17"/>
        <v/>
      </c>
      <c r="J379" s="8"/>
    </row>
    <row r="380" spans="1:10" x14ac:dyDescent="0.2">
      <c r="A380" s="7" t="str">
        <f t="shared" si="15"/>
        <v/>
      </c>
      <c r="B380" s="9"/>
      <c r="C380" s="8"/>
      <c r="D380" s="10" t="str">
        <f ca="1">IFERROR(_xludf.XLOOKUP(C380,STUDENTS!$A$5:$A$204,STUDENTS!$C$5:$C$204,""),"")</f>
        <v/>
      </c>
      <c r="E380" s="10" t="str">
        <f ca="1">IFERROR(_xludf.XLOOKUP(C380,STUDENTS!$A$5:$A$204,STUDENTS!$L$5:$L$204,""),"")</f>
        <v/>
      </c>
      <c r="F380" s="10" t="str">
        <f t="shared" si="16"/>
        <v/>
      </c>
      <c r="G380" s="8"/>
      <c r="H380" s="11" t="str">
        <f>IF(B380="","",IF(OR(F380="Saturday",F380="Sunday"),SETTINGS!$B$11,IF(G380="Vacation",SETTINGS!$B$13,0)))</f>
        <v/>
      </c>
      <c r="I380" s="12" t="str">
        <f t="shared" si="17"/>
        <v/>
      </c>
      <c r="J380" s="8"/>
    </row>
    <row r="381" spans="1:10" x14ac:dyDescent="0.2">
      <c r="A381" s="7" t="str">
        <f t="shared" si="15"/>
        <v/>
      </c>
      <c r="B381" s="9"/>
      <c r="C381" s="8"/>
      <c r="D381" s="10" t="str">
        <f ca="1">IFERROR(_xludf.XLOOKUP(C381,STUDENTS!$A$5:$A$204,STUDENTS!$C$5:$C$204,""),"")</f>
        <v/>
      </c>
      <c r="E381" s="10" t="str">
        <f ca="1">IFERROR(_xludf.XLOOKUP(C381,STUDENTS!$A$5:$A$204,STUDENTS!$L$5:$L$204,""),"")</f>
        <v/>
      </c>
      <c r="F381" s="10" t="str">
        <f t="shared" si="16"/>
        <v/>
      </c>
      <c r="G381" s="8"/>
      <c r="H381" s="11" t="str">
        <f>IF(B381="","",IF(OR(F381="Saturday",F381="Sunday"),SETTINGS!$B$11,IF(G381="Vacation",SETTINGS!$B$13,0)))</f>
        <v/>
      </c>
      <c r="I381" s="12" t="str">
        <f t="shared" si="17"/>
        <v/>
      </c>
      <c r="J381" s="8"/>
    </row>
    <row r="382" spans="1:10" x14ac:dyDescent="0.2">
      <c r="A382" s="7" t="str">
        <f t="shared" si="15"/>
        <v/>
      </c>
      <c r="B382" s="9"/>
      <c r="C382" s="8"/>
      <c r="D382" s="10" t="str">
        <f ca="1">IFERROR(_xludf.XLOOKUP(C382,STUDENTS!$A$5:$A$204,STUDENTS!$C$5:$C$204,""),"")</f>
        <v/>
      </c>
      <c r="E382" s="10" t="str">
        <f ca="1">IFERROR(_xludf.XLOOKUP(C382,STUDENTS!$A$5:$A$204,STUDENTS!$L$5:$L$204,""),"")</f>
        <v/>
      </c>
      <c r="F382" s="10" t="str">
        <f t="shared" si="16"/>
        <v/>
      </c>
      <c r="G382" s="8"/>
      <c r="H382" s="11" t="str">
        <f>IF(B382="","",IF(OR(F382="Saturday",F382="Sunday"),SETTINGS!$B$11,IF(G382="Vacation",SETTINGS!$B$13,0)))</f>
        <v/>
      </c>
      <c r="I382" s="12" t="str">
        <f t="shared" si="17"/>
        <v/>
      </c>
      <c r="J382" s="8"/>
    </row>
    <row r="383" spans="1:10" x14ac:dyDescent="0.2">
      <c r="A383" s="7" t="str">
        <f t="shared" si="15"/>
        <v/>
      </c>
      <c r="B383" s="9"/>
      <c r="C383" s="8"/>
      <c r="D383" s="10" t="str">
        <f ca="1">IFERROR(_xludf.XLOOKUP(C383,STUDENTS!$A$5:$A$204,STUDENTS!$C$5:$C$204,""),"")</f>
        <v/>
      </c>
      <c r="E383" s="10" t="str">
        <f ca="1">IFERROR(_xludf.XLOOKUP(C383,STUDENTS!$A$5:$A$204,STUDENTS!$L$5:$L$204,""),"")</f>
        <v/>
      </c>
      <c r="F383" s="10" t="str">
        <f t="shared" si="16"/>
        <v/>
      </c>
      <c r="G383" s="8"/>
      <c r="H383" s="11" t="str">
        <f>IF(B383="","",IF(OR(F383="Saturday",F383="Sunday"),SETTINGS!$B$11,IF(G383="Vacation",SETTINGS!$B$13,0)))</f>
        <v/>
      </c>
      <c r="I383" s="12" t="str">
        <f t="shared" si="17"/>
        <v/>
      </c>
      <c r="J383" s="8"/>
    </row>
    <row r="384" spans="1:10" x14ac:dyDescent="0.2">
      <c r="A384" s="7" t="str">
        <f t="shared" si="15"/>
        <v/>
      </c>
      <c r="B384" s="9"/>
      <c r="C384" s="8"/>
      <c r="D384" s="10" t="str">
        <f ca="1">IFERROR(_xludf.XLOOKUP(C384,STUDENTS!$A$5:$A$204,STUDENTS!$C$5:$C$204,""),"")</f>
        <v/>
      </c>
      <c r="E384" s="10" t="str">
        <f ca="1">IFERROR(_xludf.XLOOKUP(C384,STUDENTS!$A$5:$A$204,STUDENTS!$L$5:$L$204,""),"")</f>
        <v/>
      </c>
      <c r="F384" s="10" t="str">
        <f t="shared" si="16"/>
        <v/>
      </c>
      <c r="G384" s="8"/>
      <c r="H384" s="11" t="str">
        <f>IF(B384="","",IF(OR(F384="Saturday",F384="Sunday"),SETTINGS!$B$11,IF(G384="Vacation",SETTINGS!$B$13,0)))</f>
        <v/>
      </c>
      <c r="I384" s="12" t="str">
        <f t="shared" si="17"/>
        <v/>
      </c>
      <c r="J384" s="8"/>
    </row>
    <row r="385" spans="1:10" x14ac:dyDescent="0.2">
      <c r="A385" s="7" t="str">
        <f t="shared" si="15"/>
        <v/>
      </c>
      <c r="B385" s="9"/>
      <c r="C385" s="8"/>
      <c r="D385" s="10" t="str">
        <f ca="1">IFERROR(_xludf.XLOOKUP(C385,STUDENTS!$A$5:$A$204,STUDENTS!$C$5:$C$204,""),"")</f>
        <v/>
      </c>
      <c r="E385" s="10" t="str">
        <f ca="1">IFERROR(_xludf.XLOOKUP(C385,STUDENTS!$A$5:$A$204,STUDENTS!$L$5:$L$204,""),"")</f>
        <v/>
      </c>
      <c r="F385" s="10" t="str">
        <f t="shared" si="16"/>
        <v/>
      </c>
      <c r="G385" s="8"/>
      <c r="H385" s="11" t="str">
        <f>IF(B385="","",IF(OR(F385="Saturday",F385="Sunday"),SETTINGS!$B$11,IF(G385="Vacation",SETTINGS!$B$13,0)))</f>
        <v/>
      </c>
      <c r="I385" s="12" t="str">
        <f t="shared" si="17"/>
        <v/>
      </c>
      <c r="J385" s="8"/>
    </row>
    <row r="386" spans="1:10" x14ac:dyDescent="0.2">
      <c r="A386" s="7" t="str">
        <f t="shared" si="15"/>
        <v/>
      </c>
      <c r="B386" s="9"/>
      <c r="C386" s="8"/>
      <c r="D386" s="10" t="str">
        <f ca="1">IFERROR(_xludf.XLOOKUP(C386,STUDENTS!$A$5:$A$204,STUDENTS!$C$5:$C$204,""),"")</f>
        <v/>
      </c>
      <c r="E386" s="10" t="str">
        <f ca="1">IFERROR(_xludf.XLOOKUP(C386,STUDENTS!$A$5:$A$204,STUDENTS!$L$5:$L$204,""),"")</f>
        <v/>
      </c>
      <c r="F386" s="10" t="str">
        <f t="shared" si="16"/>
        <v/>
      </c>
      <c r="G386" s="8"/>
      <c r="H386" s="11" t="str">
        <f>IF(B386="","",IF(OR(F386="Saturday",F386="Sunday"),SETTINGS!$B$11,IF(G386="Vacation",SETTINGS!$B$13,0)))</f>
        <v/>
      </c>
      <c r="I386" s="12" t="str">
        <f t="shared" si="17"/>
        <v/>
      </c>
      <c r="J386" s="8"/>
    </row>
    <row r="387" spans="1:10" x14ac:dyDescent="0.2">
      <c r="A387" s="7" t="str">
        <f t="shared" si="15"/>
        <v/>
      </c>
      <c r="B387" s="9"/>
      <c r="C387" s="8"/>
      <c r="D387" s="10" t="str">
        <f ca="1">IFERROR(_xludf.XLOOKUP(C387,STUDENTS!$A$5:$A$204,STUDENTS!$C$5:$C$204,""),"")</f>
        <v/>
      </c>
      <c r="E387" s="10" t="str">
        <f ca="1">IFERROR(_xludf.XLOOKUP(C387,STUDENTS!$A$5:$A$204,STUDENTS!$L$5:$L$204,""),"")</f>
        <v/>
      </c>
      <c r="F387" s="10" t="str">
        <f t="shared" si="16"/>
        <v/>
      </c>
      <c r="G387" s="8"/>
      <c r="H387" s="11" t="str">
        <f>IF(B387="","",IF(OR(F387="Saturday",F387="Sunday"),SETTINGS!$B$11,IF(G387="Vacation",SETTINGS!$B$13,0)))</f>
        <v/>
      </c>
      <c r="I387" s="12" t="str">
        <f t="shared" si="17"/>
        <v/>
      </c>
      <c r="J387" s="8"/>
    </row>
    <row r="388" spans="1:10" x14ac:dyDescent="0.2">
      <c r="A388" s="7" t="str">
        <f t="shared" si="15"/>
        <v/>
      </c>
      <c r="B388" s="9"/>
      <c r="C388" s="8"/>
      <c r="D388" s="10" t="str">
        <f ca="1">IFERROR(_xludf.XLOOKUP(C388,STUDENTS!$A$5:$A$204,STUDENTS!$C$5:$C$204,""),"")</f>
        <v/>
      </c>
      <c r="E388" s="10" t="str">
        <f ca="1">IFERROR(_xludf.XLOOKUP(C388,STUDENTS!$A$5:$A$204,STUDENTS!$L$5:$L$204,""),"")</f>
        <v/>
      </c>
      <c r="F388" s="10" t="str">
        <f t="shared" si="16"/>
        <v/>
      </c>
      <c r="G388" s="8"/>
      <c r="H388" s="11" t="str">
        <f>IF(B388="","",IF(OR(F388="Saturday",F388="Sunday"),SETTINGS!$B$11,IF(G388="Vacation",SETTINGS!$B$13,0)))</f>
        <v/>
      </c>
      <c r="I388" s="12" t="str">
        <f t="shared" si="17"/>
        <v/>
      </c>
      <c r="J388" s="8"/>
    </row>
    <row r="389" spans="1:10" x14ac:dyDescent="0.2">
      <c r="A389" s="7" t="str">
        <f t="shared" ref="A389:A452" si="18">IF(C389="","","F-"&amp;TEXT(ROW()-4,"00000"))</f>
        <v/>
      </c>
      <c r="B389" s="9"/>
      <c r="C389" s="8"/>
      <c r="D389" s="10" t="str">
        <f ca="1">IFERROR(_xludf.XLOOKUP(C389,STUDENTS!$A$5:$A$204,STUDENTS!$C$5:$C$204,""),"")</f>
        <v/>
      </c>
      <c r="E389" s="10" t="str">
        <f ca="1">IFERROR(_xludf.XLOOKUP(C389,STUDENTS!$A$5:$A$204,STUDENTS!$L$5:$L$204,""),"")</f>
        <v/>
      </c>
      <c r="F389" s="10" t="str">
        <f t="shared" ref="F389:F452" si="19">IF(B389="","",TEXT(B389,"dddd"))</f>
        <v/>
      </c>
      <c r="G389" s="8"/>
      <c r="H389" s="11" t="str">
        <f>IF(B389="","",IF(OR(F389="Saturday",F389="Sunday"),SETTINGS!$B$11,IF(G389="Vacation",SETTINGS!$B$13,0)))</f>
        <v/>
      </c>
      <c r="I389" s="12" t="str">
        <f t="shared" ref="I389:I452" si="20">IF(H389="","",H389)</f>
        <v/>
      </c>
      <c r="J389" s="8"/>
    </row>
    <row r="390" spans="1:10" x14ac:dyDescent="0.2">
      <c r="A390" s="7" t="str">
        <f t="shared" si="18"/>
        <v/>
      </c>
      <c r="B390" s="9"/>
      <c r="C390" s="8"/>
      <c r="D390" s="10" t="str">
        <f ca="1">IFERROR(_xludf.XLOOKUP(C390,STUDENTS!$A$5:$A$204,STUDENTS!$C$5:$C$204,""),"")</f>
        <v/>
      </c>
      <c r="E390" s="10" t="str">
        <f ca="1">IFERROR(_xludf.XLOOKUP(C390,STUDENTS!$A$5:$A$204,STUDENTS!$L$5:$L$204,""),"")</f>
        <v/>
      </c>
      <c r="F390" s="10" t="str">
        <f t="shared" si="19"/>
        <v/>
      </c>
      <c r="G390" s="8"/>
      <c r="H390" s="11" t="str">
        <f>IF(B390="","",IF(OR(F390="Saturday",F390="Sunday"),SETTINGS!$B$11,IF(G390="Vacation",SETTINGS!$B$13,0)))</f>
        <v/>
      </c>
      <c r="I390" s="12" t="str">
        <f t="shared" si="20"/>
        <v/>
      </c>
      <c r="J390" s="8"/>
    </row>
    <row r="391" spans="1:10" x14ac:dyDescent="0.2">
      <c r="A391" s="7" t="str">
        <f t="shared" si="18"/>
        <v/>
      </c>
      <c r="B391" s="9"/>
      <c r="C391" s="8"/>
      <c r="D391" s="10" t="str">
        <f ca="1">IFERROR(_xludf.XLOOKUP(C391,STUDENTS!$A$5:$A$204,STUDENTS!$C$5:$C$204,""),"")</f>
        <v/>
      </c>
      <c r="E391" s="10" t="str">
        <f ca="1">IFERROR(_xludf.XLOOKUP(C391,STUDENTS!$A$5:$A$204,STUDENTS!$L$5:$L$204,""),"")</f>
        <v/>
      </c>
      <c r="F391" s="10" t="str">
        <f t="shared" si="19"/>
        <v/>
      </c>
      <c r="G391" s="8"/>
      <c r="H391" s="11" t="str">
        <f>IF(B391="","",IF(OR(F391="Saturday",F391="Sunday"),SETTINGS!$B$11,IF(G391="Vacation",SETTINGS!$B$13,0)))</f>
        <v/>
      </c>
      <c r="I391" s="12" t="str">
        <f t="shared" si="20"/>
        <v/>
      </c>
      <c r="J391" s="8"/>
    </row>
    <row r="392" spans="1:10" x14ac:dyDescent="0.2">
      <c r="A392" s="7" t="str">
        <f t="shared" si="18"/>
        <v/>
      </c>
      <c r="B392" s="9"/>
      <c r="C392" s="8"/>
      <c r="D392" s="10" t="str">
        <f ca="1">IFERROR(_xludf.XLOOKUP(C392,STUDENTS!$A$5:$A$204,STUDENTS!$C$5:$C$204,""),"")</f>
        <v/>
      </c>
      <c r="E392" s="10" t="str">
        <f ca="1">IFERROR(_xludf.XLOOKUP(C392,STUDENTS!$A$5:$A$204,STUDENTS!$L$5:$L$204,""),"")</f>
        <v/>
      </c>
      <c r="F392" s="10" t="str">
        <f t="shared" si="19"/>
        <v/>
      </c>
      <c r="G392" s="8"/>
      <c r="H392" s="11" t="str">
        <f>IF(B392="","",IF(OR(F392="Saturday",F392="Sunday"),SETTINGS!$B$11,IF(G392="Vacation",SETTINGS!$B$13,0)))</f>
        <v/>
      </c>
      <c r="I392" s="12" t="str">
        <f t="shared" si="20"/>
        <v/>
      </c>
      <c r="J392" s="8"/>
    </row>
    <row r="393" spans="1:10" x14ac:dyDescent="0.2">
      <c r="A393" s="7" t="str">
        <f t="shared" si="18"/>
        <v/>
      </c>
      <c r="B393" s="9"/>
      <c r="C393" s="8"/>
      <c r="D393" s="10" t="str">
        <f ca="1">IFERROR(_xludf.XLOOKUP(C393,STUDENTS!$A$5:$A$204,STUDENTS!$C$5:$C$204,""),"")</f>
        <v/>
      </c>
      <c r="E393" s="10" t="str">
        <f ca="1">IFERROR(_xludf.XLOOKUP(C393,STUDENTS!$A$5:$A$204,STUDENTS!$L$5:$L$204,""),"")</f>
        <v/>
      </c>
      <c r="F393" s="10" t="str">
        <f t="shared" si="19"/>
        <v/>
      </c>
      <c r="G393" s="8"/>
      <c r="H393" s="11" t="str">
        <f>IF(B393="","",IF(OR(F393="Saturday",F393="Sunday"),SETTINGS!$B$11,IF(G393="Vacation",SETTINGS!$B$13,0)))</f>
        <v/>
      </c>
      <c r="I393" s="12" t="str">
        <f t="shared" si="20"/>
        <v/>
      </c>
      <c r="J393" s="8"/>
    </row>
    <row r="394" spans="1:10" x14ac:dyDescent="0.2">
      <c r="A394" s="7" t="str">
        <f t="shared" si="18"/>
        <v/>
      </c>
      <c r="B394" s="9"/>
      <c r="C394" s="8"/>
      <c r="D394" s="10" t="str">
        <f ca="1">IFERROR(_xludf.XLOOKUP(C394,STUDENTS!$A$5:$A$204,STUDENTS!$C$5:$C$204,""),"")</f>
        <v/>
      </c>
      <c r="E394" s="10" t="str">
        <f ca="1">IFERROR(_xludf.XLOOKUP(C394,STUDENTS!$A$5:$A$204,STUDENTS!$L$5:$L$204,""),"")</f>
        <v/>
      </c>
      <c r="F394" s="10" t="str">
        <f t="shared" si="19"/>
        <v/>
      </c>
      <c r="G394" s="8"/>
      <c r="H394" s="11" t="str">
        <f>IF(B394="","",IF(OR(F394="Saturday",F394="Sunday"),SETTINGS!$B$11,IF(G394="Vacation",SETTINGS!$B$13,0)))</f>
        <v/>
      </c>
      <c r="I394" s="12" t="str">
        <f t="shared" si="20"/>
        <v/>
      </c>
      <c r="J394" s="8"/>
    </row>
    <row r="395" spans="1:10" x14ac:dyDescent="0.2">
      <c r="A395" s="7" t="str">
        <f t="shared" si="18"/>
        <v/>
      </c>
      <c r="B395" s="9"/>
      <c r="C395" s="8"/>
      <c r="D395" s="10" t="str">
        <f ca="1">IFERROR(_xludf.XLOOKUP(C395,STUDENTS!$A$5:$A$204,STUDENTS!$C$5:$C$204,""),"")</f>
        <v/>
      </c>
      <c r="E395" s="10" t="str">
        <f ca="1">IFERROR(_xludf.XLOOKUP(C395,STUDENTS!$A$5:$A$204,STUDENTS!$L$5:$L$204,""),"")</f>
        <v/>
      </c>
      <c r="F395" s="10" t="str">
        <f t="shared" si="19"/>
        <v/>
      </c>
      <c r="G395" s="8"/>
      <c r="H395" s="11" t="str">
        <f>IF(B395="","",IF(OR(F395="Saturday",F395="Sunday"),SETTINGS!$B$11,IF(G395="Vacation",SETTINGS!$B$13,0)))</f>
        <v/>
      </c>
      <c r="I395" s="12" t="str">
        <f t="shared" si="20"/>
        <v/>
      </c>
      <c r="J395" s="8"/>
    </row>
    <row r="396" spans="1:10" x14ac:dyDescent="0.2">
      <c r="A396" s="7" t="str">
        <f t="shared" si="18"/>
        <v/>
      </c>
      <c r="B396" s="9"/>
      <c r="C396" s="8"/>
      <c r="D396" s="10" t="str">
        <f ca="1">IFERROR(_xludf.XLOOKUP(C396,STUDENTS!$A$5:$A$204,STUDENTS!$C$5:$C$204,""),"")</f>
        <v/>
      </c>
      <c r="E396" s="10" t="str">
        <f ca="1">IFERROR(_xludf.XLOOKUP(C396,STUDENTS!$A$5:$A$204,STUDENTS!$L$5:$L$204,""),"")</f>
        <v/>
      </c>
      <c r="F396" s="10" t="str">
        <f t="shared" si="19"/>
        <v/>
      </c>
      <c r="G396" s="8"/>
      <c r="H396" s="11" t="str">
        <f>IF(B396="","",IF(OR(F396="Saturday",F396="Sunday"),SETTINGS!$B$11,IF(G396="Vacation",SETTINGS!$B$13,0)))</f>
        <v/>
      </c>
      <c r="I396" s="12" t="str">
        <f t="shared" si="20"/>
        <v/>
      </c>
      <c r="J396" s="8"/>
    </row>
    <row r="397" spans="1:10" x14ac:dyDescent="0.2">
      <c r="A397" s="7" t="str">
        <f t="shared" si="18"/>
        <v/>
      </c>
      <c r="B397" s="9"/>
      <c r="C397" s="8"/>
      <c r="D397" s="10" t="str">
        <f ca="1">IFERROR(_xludf.XLOOKUP(C397,STUDENTS!$A$5:$A$204,STUDENTS!$C$5:$C$204,""),"")</f>
        <v/>
      </c>
      <c r="E397" s="10" t="str">
        <f ca="1">IFERROR(_xludf.XLOOKUP(C397,STUDENTS!$A$5:$A$204,STUDENTS!$L$5:$L$204,""),"")</f>
        <v/>
      </c>
      <c r="F397" s="10" t="str">
        <f t="shared" si="19"/>
        <v/>
      </c>
      <c r="G397" s="8"/>
      <c r="H397" s="11" t="str">
        <f>IF(B397="","",IF(OR(F397="Saturday",F397="Sunday"),SETTINGS!$B$11,IF(G397="Vacation",SETTINGS!$B$13,0)))</f>
        <v/>
      </c>
      <c r="I397" s="12" t="str">
        <f t="shared" si="20"/>
        <v/>
      </c>
      <c r="J397" s="8"/>
    </row>
    <row r="398" spans="1:10" x14ac:dyDescent="0.2">
      <c r="A398" s="7" t="str">
        <f t="shared" si="18"/>
        <v/>
      </c>
      <c r="B398" s="9"/>
      <c r="C398" s="8"/>
      <c r="D398" s="10" t="str">
        <f ca="1">IFERROR(_xludf.XLOOKUP(C398,STUDENTS!$A$5:$A$204,STUDENTS!$C$5:$C$204,""),"")</f>
        <v/>
      </c>
      <c r="E398" s="10" t="str">
        <f ca="1">IFERROR(_xludf.XLOOKUP(C398,STUDENTS!$A$5:$A$204,STUDENTS!$L$5:$L$204,""),"")</f>
        <v/>
      </c>
      <c r="F398" s="10" t="str">
        <f t="shared" si="19"/>
        <v/>
      </c>
      <c r="G398" s="8"/>
      <c r="H398" s="11" t="str">
        <f>IF(B398="","",IF(OR(F398="Saturday",F398="Sunday"),SETTINGS!$B$11,IF(G398="Vacation",SETTINGS!$B$13,0)))</f>
        <v/>
      </c>
      <c r="I398" s="12" t="str">
        <f t="shared" si="20"/>
        <v/>
      </c>
      <c r="J398" s="8"/>
    </row>
    <row r="399" spans="1:10" x14ac:dyDescent="0.2">
      <c r="A399" s="7" t="str">
        <f t="shared" si="18"/>
        <v/>
      </c>
      <c r="B399" s="9"/>
      <c r="C399" s="8"/>
      <c r="D399" s="10" t="str">
        <f ca="1">IFERROR(_xludf.XLOOKUP(C399,STUDENTS!$A$5:$A$204,STUDENTS!$C$5:$C$204,""),"")</f>
        <v/>
      </c>
      <c r="E399" s="10" t="str">
        <f ca="1">IFERROR(_xludf.XLOOKUP(C399,STUDENTS!$A$5:$A$204,STUDENTS!$L$5:$L$204,""),"")</f>
        <v/>
      </c>
      <c r="F399" s="10" t="str">
        <f t="shared" si="19"/>
        <v/>
      </c>
      <c r="G399" s="8"/>
      <c r="H399" s="11" t="str">
        <f>IF(B399="","",IF(OR(F399="Saturday",F399="Sunday"),SETTINGS!$B$11,IF(G399="Vacation",SETTINGS!$B$13,0)))</f>
        <v/>
      </c>
      <c r="I399" s="12" t="str">
        <f t="shared" si="20"/>
        <v/>
      </c>
      <c r="J399" s="8"/>
    </row>
    <row r="400" spans="1:10" x14ac:dyDescent="0.2">
      <c r="A400" s="7" t="str">
        <f t="shared" si="18"/>
        <v/>
      </c>
      <c r="B400" s="9"/>
      <c r="C400" s="8"/>
      <c r="D400" s="10" t="str">
        <f ca="1">IFERROR(_xludf.XLOOKUP(C400,STUDENTS!$A$5:$A$204,STUDENTS!$C$5:$C$204,""),"")</f>
        <v/>
      </c>
      <c r="E400" s="10" t="str">
        <f ca="1">IFERROR(_xludf.XLOOKUP(C400,STUDENTS!$A$5:$A$204,STUDENTS!$L$5:$L$204,""),"")</f>
        <v/>
      </c>
      <c r="F400" s="10" t="str">
        <f t="shared" si="19"/>
        <v/>
      </c>
      <c r="G400" s="8"/>
      <c r="H400" s="11" t="str">
        <f>IF(B400="","",IF(OR(F400="Saturday",F400="Sunday"),SETTINGS!$B$11,IF(G400="Vacation",SETTINGS!$B$13,0)))</f>
        <v/>
      </c>
      <c r="I400" s="12" t="str">
        <f t="shared" si="20"/>
        <v/>
      </c>
      <c r="J400" s="8"/>
    </row>
    <row r="401" spans="1:10" x14ac:dyDescent="0.2">
      <c r="A401" s="7" t="str">
        <f t="shared" si="18"/>
        <v/>
      </c>
      <c r="B401" s="9"/>
      <c r="C401" s="8"/>
      <c r="D401" s="10" t="str">
        <f ca="1">IFERROR(_xludf.XLOOKUP(C401,STUDENTS!$A$5:$A$204,STUDENTS!$C$5:$C$204,""),"")</f>
        <v/>
      </c>
      <c r="E401" s="10" t="str">
        <f ca="1">IFERROR(_xludf.XLOOKUP(C401,STUDENTS!$A$5:$A$204,STUDENTS!$L$5:$L$204,""),"")</f>
        <v/>
      </c>
      <c r="F401" s="10" t="str">
        <f t="shared" si="19"/>
        <v/>
      </c>
      <c r="G401" s="8"/>
      <c r="H401" s="11" t="str">
        <f>IF(B401="","",IF(OR(F401="Saturday",F401="Sunday"),SETTINGS!$B$11,IF(G401="Vacation",SETTINGS!$B$13,0)))</f>
        <v/>
      </c>
      <c r="I401" s="12" t="str">
        <f t="shared" si="20"/>
        <v/>
      </c>
      <c r="J401" s="8"/>
    </row>
    <row r="402" spans="1:10" x14ac:dyDescent="0.2">
      <c r="A402" s="7" t="str">
        <f t="shared" si="18"/>
        <v/>
      </c>
      <c r="B402" s="9"/>
      <c r="C402" s="8"/>
      <c r="D402" s="10" t="str">
        <f ca="1">IFERROR(_xludf.XLOOKUP(C402,STUDENTS!$A$5:$A$204,STUDENTS!$C$5:$C$204,""),"")</f>
        <v/>
      </c>
      <c r="E402" s="10" t="str">
        <f ca="1">IFERROR(_xludf.XLOOKUP(C402,STUDENTS!$A$5:$A$204,STUDENTS!$L$5:$L$204,""),"")</f>
        <v/>
      </c>
      <c r="F402" s="10" t="str">
        <f t="shared" si="19"/>
        <v/>
      </c>
      <c r="G402" s="8"/>
      <c r="H402" s="11" t="str">
        <f>IF(B402="","",IF(OR(F402="Saturday",F402="Sunday"),SETTINGS!$B$11,IF(G402="Vacation",SETTINGS!$B$13,0)))</f>
        <v/>
      </c>
      <c r="I402" s="12" t="str">
        <f t="shared" si="20"/>
        <v/>
      </c>
      <c r="J402" s="8"/>
    </row>
    <row r="403" spans="1:10" x14ac:dyDescent="0.2">
      <c r="A403" s="7" t="str">
        <f t="shared" si="18"/>
        <v/>
      </c>
      <c r="B403" s="9"/>
      <c r="C403" s="8"/>
      <c r="D403" s="10" t="str">
        <f ca="1">IFERROR(_xludf.XLOOKUP(C403,STUDENTS!$A$5:$A$204,STUDENTS!$C$5:$C$204,""),"")</f>
        <v/>
      </c>
      <c r="E403" s="10" t="str">
        <f ca="1">IFERROR(_xludf.XLOOKUP(C403,STUDENTS!$A$5:$A$204,STUDENTS!$L$5:$L$204,""),"")</f>
        <v/>
      </c>
      <c r="F403" s="10" t="str">
        <f t="shared" si="19"/>
        <v/>
      </c>
      <c r="G403" s="8"/>
      <c r="H403" s="11" t="str">
        <f>IF(B403="","",IF(OR(F403="Saturday",F403="Sunday"),SETTINGS!$B$11,IF(G403="Vacation",SETTINGS!$B$13,0)))</f>
        <v/>
      </c>
      <c r="I403" s="12" t="str">
        <f t="shared" si="20"/>
        <v/>
      </c>
      <c r="J403" s="8"/>
    </row>
    <row r="404" spans="1:10" x14ac:dyDescent="0.2">
      <c r="A404" s="7" t="str">
        <f t="shared" si="18"/>
        <v/>
      </c>
      <c r="B404" s="9"/>
      <c r="C404" s="8"/>
      <c r="D404" s="10" t="str">
        <f ca="1">IFERROR(_xludf.XLOOKUP(C404,STUDENTS!$A$5:$A$204,STUDENTS!$C$5:$C$204,""),"")</f>
        <v/>
      </c>
      <c r="E404" s="10" t="str">
        <f ca="1">IFERROR(_xludf.XLOOKUP(C404,STUDENTS!$A$5:$A$204,STUDENTS!$L$5:$L$204,""),"")</f>
        <v/>
      </c>
      <c r="F404" s="10" t="str">
        <f t="shared" si="19"/>
        <v/>
      </c>
      <c r="G404" s="8"/>
      <c r="H404" s="11" t="str">
        <f>IF(B404="","",IF(OR(F404="Saturday",F404="Sunday"),SETTINGS!$B$11,IF(G404="Vacation",SETTINGS!$B$13,0)))</f>
        <v/>
      </c>
      <c r="I404" s="12" t="str">
        <f t="shared" si="20"/>
        <v/>
      </c>
      <c r="J404" s="8"/>
    </row>
    <row r="405" spans="1:10" x14ac:dyDescent="0.2">
      <c r="A405" s="7" t="str">
        <f t="shared" si="18"/>
        <v/>
      </c>
      <c r="B405" s="9"/>
      <c r="C405" s="8"/>
      <c r="D405" s="10" t="str">
        <f ca="1">IFERROR(_xludf.XLOOKUP(C405,STUDENTS!$A$5:$A$204,STUDENTS!$C$5:$C$204,""),"")</f>
        <v/>
      </c>
      <c r="E405" s="10" t="str">
        <f ca="1">IFERROR(_xludf.XLOOKUP(C405,STUDENTS!$A$5:$A$204,STUDENTS!$L$5:$L$204,""),"")</f>
        <v/>
      </c>
      <c r="F405" s="10" t="str">
        <f t="shared" si="19"/>
        <v/>
      </c>
      <c r="G405" s="8"/>
      <c r="H405" s="11" t="str">
        <f>IF(B405="","",IF(OR(F405="Saturday",F405="Sunday"),SETTINGS!$B$11,IF(G405="Vacation",SETTINGS!$B$13,0)))</f>
        <v/>
      </c>
      <c r="I405" s="12" t="str">
        <f t="shared" si="20"/>
        <v/>
      </c>
      <c r="J405" s="8"/>
    </row>
    <row r="406" spans="1:10" x14ac:dyDescent="0.2">
      <c r="A406" s="7" t="str">
        <f t="shared" si="18"/>
        <v/>
      </c>
      <c r="B406" s="9"/>
      <c r="C406" s="8"/>
      <c r="D406" s="10" t="str">
        <f ca="1">IFERROR(_xludf.XLOOKUP(C406,STUDENTS!$A$5:$A$204,STUDENTS!$C$5:$C$204,""),"")</f>
        <v/>
      </c>
      <c r="E406" s="10" t="str">
        <f ca="1">IFERROR(_xludf.XLOOKUP(C406,STUDENTS!$A$5:$A$204,STUDENTS!$L$5:$L$204,""),"")</f>
        <v/>
      </c>
      <c r="F406" s="10" t="str">
        <f t="shared" si="19"/>
        <v/>
      </c>
      <c r="G406" s="8"/>
      <c r="H406" s="11" t="str">
        <f>IF(B406="","",IF(OR(F406="Saturday",F406="Sunday"),SETTINGS!$B$11,IF(G406="Vacation",SETTINGS!$B$13,0)))</f>
        <v/>
      </c>
      <c r="I406" s="12" t="str">
        <f t="shared" si="20"/>
        <v/>
      </c>
      <c r="J406" s="8"/>
    </row>
    <row r="407" spans="1:10" x14ac:dyDescent="0.2">
      <c r="A407" s="7" t="str">
        <f t="shared" si="18"/>
        <v/>
      </c>
      <c r="B407" s="9"/>
      <c r="C407" s="8"/>
      <c r="D407" s="10" t="str">
        <f ca="1">IFERROR(_xludf.XLOOKUP(C407,STUDENTS!$A$5:$A$204,STUDENTS!$C$5:$C$204,""),"")</f>
        <v/>
      </c>
      <c r="E407" s="10" t="str">
        <f ca="1">IFERROR(_xludf.XLOOKUP(C407,STUDENTS!$A$5:$A$204,STUDENTS!$L$5:$L$204,""),"")</f>
        <v/>
      </c>
      <c r="F407" s="10" t="str">
        <f t="shared" si="19"/>
        <v/>
      </c>
      <c r="G407" s="8"/>
      <c r="H407" s="11" t="str">
        <f>IF(B407="","",IF(OR(F407="Saturday",F407="Sunday"),SETTINGS!$B$11,IF(G407="Vacation",SETTINGS!$B$13,0)))</f>
        <v/>
      </c>
      <c r="I407" s="12" t="str">
        <f t="shared" si="20"/>
        <v/>
      </c>
      <c r="J407" s="8"/>
    </row>
    <row r="408" spans="1:10" x14ac:dyDescent="0.2">
      <c r="A408" s="7" t="str">
        <f t="shared" si="18"/>
        <v/>
      </c>
      <c r="B408" s="9"/>
      <c r="C408" s="8"/>
      <c r="D408" s="10" t="str">
        <f ca="1">IFERROR(_xludf.XLOOKUP(C408,STUDENTS!$A$5:$A$204,STUDENTS!$C$5:$C$204,""),"")</f>
        <v/>
      </c>
      <c r="E408" s="10" t="str">
        <f ca="1">IFERROR(_xludf.XLOOKUP(C408,STUDENTS!$A$5:$A$204,STUDENTS!$L$5:$L$204,""),"")</f>
        <v/>
      </c>
      <c r="F408" s="10" t="str">
        <f t="shared" si="19"/>
        <v/>
      </c>
      <c r="G408" s="8"/>
      <c r="H408" s="11" t="str">
        <f>IF(B408="","",IF(OR(F408="Saturday",F408="Sunday"),SETTINGS!$B$11,IF(G408="Vacation",SETTINGS!$B$13,0)))</f>
        <v/>
      </c>
      <c r="I408" s="12" t="str">
        <f t="shared" si="20"/>
        <v/>
      </c>
      <c r="J408" s="8"/>
    </row>
    <row r="409" spans="1:10" x14ac:dyDescent="0.2">
      <c r="A409" s="7" t="str">
        <f t="shared" si="18"/>
        <v/>
      </c>
      <c r="B409" s="9"/>
      <c r="C409" s="8"/>
      <c r="D409" s="10" t="str">
        <f ca="1">IFERROR(_xludf.XLOOKUP(C409,STUDENTS!$A$5:$A$204,STUDENTS!$C$5:$C$204,""),"")</f>
        <v/>
      </c>
      <c r="E409" s="10" t="str">
        <f ca="1">IFERROR(_xludf.XLOOKUP(C409,STUDENTS!$A$5:$A$204,STUDENTS!$L$5:$L$204,""),"")</f>
        <v/>
      </c>
      <c r="F409" s="10" t="str">
        <f t="shared" si="19"/>
        <v/>
      </c>
      <c r="G409" s="8"/>
      <c r="H409" s="11" t="str">
        <f>IF(B409="","",IF(OR(F409="Saturday",F409="Sunday"),SETTINGS!$B$11,IF(G409="Vacation",SETTINGS!$B$13,0)))</f>
        <v/>
      </c>
      <c r="I409" s="12" t="str">
        <f t="shared" si="20"/>
        <v/>
      </c>
      <c r="J409" s="8"/>
    </row>
    <row r="410" spans="1:10" x14ac:dyDescent="0.2">
      <c r="A410" s="7" t="str">
        <f t="shared" si="18"/>
        <v/>
      </c>
      <c r="B410" s="9"/>
      <c r="C410" s="8"/>
      <c r="D410" s="10" t="str">
        <f ca="1">IFERROR(_xludf.XLOOKUP(C410,STUDENTS!$A$5:$A$204,STUDENTS!$C$5:$C$204,""),"")</f>
        <v/>
      </c>
      <c r="E410" s="10" t="str">
        <f ca="1">IFERROR(_xludf.XLOOKUP(C410,STUDENTS!$A$5:$A$204,STUDENTS!$L$5:$L$204,""),"")</f>
        <v/>
      </c>
      <c r="F410" s="10" t="str">
        <f t="shared" si="19"/>
        <v/>
      </c>
      <c r="G410" s="8"/>
      <c r="H410" s="11" t="str">
        <f>IF(B410="","",IF(OR(F410="Saturday",F410="Sunday"),SETTINGS!$B$11,IF(G410="Vacation",SETTINGS!$B$13,0)))</f>
        <v/>
      </c>
      <c r="I410" s="12" t="str">
        <f t="shared" si="20"/>
        <v/>
      </c>
      <c r="J410" s="8"/>
    </row>
    <row r="411" spans="1:10" x14ac:dyDescent="0.2">
      <c r="A411" s="7" t="str">
        <f t="shared" si="18"/>
        <v/>
      </c>
      <c r="B411" s="9"/>
      <c r="C411" s="8"/>
      <c r="D411" s="10" t="str">
        <f ca="1">IFERROR(_xludf.XLOOKUP(C411,STUDENTS!$A$5:$A$204,STUDENTS!$C$5:$C$204,""),"")</f>
        <v/>
      </c>
      <c r="E411" s="10" t="str">
        <f ca="1">IFERROR(_xludf.XLOOKUP(C411,STUDENTS!$A$5:$A$204,STUDENTS!$L$5:$L$204,""),"")</f>
        <v/>
      </c>
      <c r="F411" s="10" t="str">
        <f t="shared" si="19"/>
        <v/>
      </c>
      <c r="G411" s="8"/>
      <c r="H411" s="11" t="str">
        <f>IF(B411="","",IF(OR(F411="Saturday",F411="Sunday"),SETTINGS!$B$11,IF(G411="Vacation",SETTINGS!$B$13,0)))</f>
        <v/>
      </c>
      <c r="I411" s="12" t="str">
        <f t="shared" si="20"/>
        <v/>
      </c>
      <c r="J411" s="8"/>
    </row>
    <row r="412" spans="1:10" x14ac:dyDescent="0.2">
      <c r="A412" s="7" t="str">
        <f t="shared" si="18"/>
        <v/>
      </c>
      <c r="B412" s="9"/>
      <c r="C412" s="8"/>
      <c r="D412" s="10" t="str">
        <f ca="1">IFERROR(_xludf.XLOOKUP(C412,STUDENTS!$A$5:$A$204,STUDENTS!$C$5:$C$204,""),"")</f>
        <v/>
      </c>
      <c r="E412" s="10" t="str">
        <f ca="1">IFERROR(_xludf.XLOOKUP(C412,STUDENTS!$A$5:$A$204,STUDENTS!$L$5:$L$204,""),"")</f>
        <v/>
      </c>
      <c r="F412" s="10" t="str">
        <f t="shared" si="19"/>
        <v/>
      </c>
      <c r="G412" s="8"/>
      <c r="H412" s="11" t="str">
        <f>IF(B412="","",IF(OR(F412="Saturday",F412="Sunday"),SETTINGS!$B$11,IF(G412="Vacation",SETTINGS!$B$13,0)))</f>
        <v/>
      </c>
      <c r="I412" s="12" t="str">
        <f t="shared" si="20"/>
        <v/>
      </c>
      <c r="J412" s="8"/>
    </row>
    <row r="413" spans="1:10" x14ac:dyDescent="0.2">
      <c r="A413" s="7" t="str">
        <f t="shared" si="18"/>
        <v/>
      </c>
      <c r="B413" s="9"/>
      <c r="C413" s="8"/>
      <c r="D413" s="10" t="str">
        <f ca="1">IFERROR(_xludf.XLOOKUP(C413,STUDENTS!$A$5:$A$204,STUDENTS!$C$5:$C$204,""),"")</f>
        <v/>
      </c>
      <c r="E413" s="10" t="str">
        <f ca="1">IFERROR(_xludf.XLOOKUP(C413,STUDENTS!$A$5:$A$204,STUDENTS!$L$5:$L$204,""),"")</f>
        <v/>
      </c>
      <c r="F413" s="10" t="str">
        <f t="shared" si="19"/>
        <v/>
      </c>
      <c r="G413" s="8"/>
      <c r="H413" s="11" t="str">
        <f>IF(B413="","",IF(OR(F413="Saturday",F413="Sunday"),SETTINGS!$B$11,IF(G413="Vacation",SETTINGS!$B$13,0)))</f>
        <v/>
      </c>
      <c r="I413" s="12" t="str">
        <f t="shared" si="20"/>
        <v/>
      </c>
      <c r="J413" s="8"/>
    </row>
    <row r="414" spans="1:10" x14ac:dyDescent="0.2">
      <c r="A414" s="7" t="str">
        <f t="shared" si="18"/>
        <v/>
      </c>
      <c r="B414" s="9"/>
      <c r="C414" s="8"/>
      <c r="D414" s="10" t="str">
        <f ca="1">IFERROR(_xludf.XLOOKUP(C414,STUDENTS!$A$5:$A$204,STUDENTS!$C$5:$C$204,""),"")</f>
        <v/>
      </c>
      <c r="E414" s="10" t="str">
        <f ca="1">IFERROR(_xludf.XLOOKUP(C414,STUDENTS!$A$5:$A$204,STUDENTS!$L$5:$L$204,""),"")</f>
        <v/>
      </c>
      <c r="F414" s="10" t="str">
        <f t="shared" si="19"/>
        <v/>
      </c>
      <c r="G414" s="8"/>
      <c r="H414" s="11" t="str">
        <f>IF(B414="","",IF(OR(F414="Saturday",F414="Sunday"),SETTINGS!$B$11,IF(G414="Vacation",SETTINGS!$B$13,0)))</f>
        <v/>
      </c>
      <c r="I414" s="12" t="str">
        <f t="shared" si="20"/>
        <v/>
      </c>
      <c r="J414" s="8"/>
    </row>
    <row r="415" spans="1:10" x14ac:dyDescent="0.2">
      <c r="A415" s="7" t="str">
        <f t="shared" si="18"/>
        <v/>
      </c>
      <c r="B415" s="9"/>
      <c r="C415" s="8"/>
      <c r="D415" s="10" t="str">
        <f ca="1">IFERROR(_xludf.XLOOKUP(C415,STUDENTS!$A$5:$A$204,STUDENTS!$C$5:$C$204,""),"")</f>
        <v/>
      </c>
      <c r="E415" s="10" t="str">
        <f ca="1">IFERROR(_xludf.XLOOKUP(C415,STUDENTS!$A$5:$A$204,STUDENTS!$L$5:$L$204,""),"")</f>
        <v/>
      </c>
      <c r="F415" s="10" t="str">
        <f t="shared" si="19"/>
        <v/>
      </c>
      <c r="G415" s="8"/>
      <c r="H415" s="11" t="str">
        <f>IF(B415="","",IF(OR(F415="Saturday",F415="Sunday"),SETTINGS!$B$11,IF(G415="Vacation",SETTINGS!$B$13,0)))</f>
        <v/>
      </c>
      <c r="I415" s="12" t="str">
        <f t="shared" si="20"/>
        <v/>
      </c>
      <c r="J415" s="8"/>
    </row>
    <row r="416" spans="1:10" x14ac:dyDescent="0.2">
      <c r="A416" s="7" t="str">
        <f t="shared" si="18"/>
        <v/>
      </c>
      <c r="B416" s="9"/>
      <c r="C416" s="8"/>
      <c r="D416" s="10" t="str">
        <f ca="1">IFERROR(_xludf.XLOOKUP(C416,STUDENTS!$A$5:$A$204,STUDENTS!$C$5:$C$204,""),"")</f>
        <v/>
      </c>
      <c r="E416" s="10" t="str">
        <f ca="1">IFERROR(_xludf.XLOOKUP(C416,STUDENTS!$A$5:$A$204,STUDENTS!$L$5:$L$204,""),"")</f>
        <v/>
      </c>
      <c r="F416" s="10" t="str">
        <f t="shared" si="19"/>
        <v/>
      </c>
      <c r="G416" s="8"/>
      <c r="H416" s="11" t="str">
        <f>IF(B416="","",IF(OR(F416="Saturday",F416="Sunday"),SETTINGS!$B$11,IF(G416="Vacation",SETTINGS!$B$13,0)))</f>
        <v/>
      </c>
      <c r="I416" s="12" t="str">
        <f t="shared" si="20"/>
        <v/>
      </c>
      <c r="J416" s="8"/>
    </row>
    <row r="417" spans="1:10" x14ac:dyDescent="0.2">
      <c r="A417" s="7" t="str">
        <f t="shared" si="18"/>
        <v/>
      </c>
      <c r="B417" s="9"/>
      <c r="C417" s="8"/>
      <c r="D417" s="10" t="str">
        <f ca="1">IFERROR(_xludf.XLOOKUP(C417,STUDENTS!$A$5:$A$204,STUDENTS!$C$5:$C$204,""),"")</f>
        <v/>
      </c>
      <c r="E417" s="10" t="str">
        <f ca="1">IFERROR(_xludf.XLOOKUP(C417,STUDENTS!$A$5:$A$204,STUDENTS!$L$5:$L$204,""),"")</f>
        <v/>
      </c>
      <c r="F417" s="10" t="str">
        <f t="shared" si="19"/>
        <v/>
      </c>
      <c r="G417" s="8"/>
      <c r="H417" s="11" t="str">
        <f>IF(B417="","",IF(OR(F417="Saturday",F417="Sunday"),SETTINGS!$B$11,IF(G417="Vacation",SETTINGS!$B$13,0)))</f>
        <v/>
      </c>
      <c r="I417" s="12" t="str">
        <f t="shared" si="20"/>
        <v/>
      </c>
      <c r="J417" s="8"/>
    </row>
    <row r="418" spans="1:10" x14ac:dyDescent="0.2">
      <c r="A418" s="7" t="str">
        <f t="shared" si="18"/>
        <v/>
      </c>
      <c r="B418" s="9"/>
      <c r="C418" s="8"/>
      <c r="D418" s="10" t="str">
        <f ca="1">IFERROR(_xludf.XLOOKUP(C418,STUDENTS!$A$5:$A$204,STUDENTS!$C$5:$C$204,""),"")</f>
        <v/>
      </c>
      <c r="E418" s="10" t="str">
        <f ca="1">IFERROR(_xludf.XLOOKUP(C418,STUDENTS!$A$5:$A$204,STUDENTS!$L$5:$L$204,""),"")</f>
        <v/>
      </c>
      <c r="F418" s="10" t="str">
        <f t="shared" si="19"/>
        <v/>
      </c>
      <c r="G418" s="8"/>
      <c r="H418" s="11" t="str">
        <f>IF(B418="","",IF(OR(F418="Saturday",F418="Sunday"),SETTINGS!$B$11,IF(G418="Vacation",SETTINGS!$B$13,0)))</f>
        <v/>
      </c>
      <c r="I418" s="12" t="str">
        <f t="shared" si="20"/>
        <v/>
      </c>
      <c r="J418" s="8"/>
    </row>
    <row r="419" spans="1:10" x14ac:dyDescent="0.2">
      <c r="A419" s="7" t="str">
        <f t="shared" si="18"/>
        <v/>
      </c>
      <c r="B419" s="9"/>
      <c r="C419" s="8"/>
      <c r="D419" s="10" t="str">
        <f ca="1">IFERROR(_xludf.XLOOKUP(C419,STUDENTS!$A$5:$A$204,STUDENTS!$C$5:$C$204,""),"")</f>
        <v/>
      </c>
      <c r="E419" s="10" t="str">
        <f ca="1">IFERROR(_xludf.XLOOKUP(C419,STUDENTS!$A$5:$A$204,STUDENTS!$L$5:$L$204,""),"")</f>
        <v/>
      </c>
      <c r="F419" s="10" t="str">
        <f t="shared" si="19"/>
        <v/>
      </c>
      <c r="G419" s="8"/>
      <c r="H419" s="11" t="str">
        <f>IF(B419="","",IF(OR(F419="Saturday",F419="Sunday"),SETTINGS!$B$11,IF(G419="Vacation",SETTINGS!$B$13,0)))</f>
        <v/>
      </c>
      <c r="I419" s="12" t="str">
        <f t="shared" si="20"/>
        <v/>
      </c>
      <c r="J419" s="8"/>
    </row>
    <row r="420" spans="1:10" x14ac:dyDescent="0.2">
      <c r="A420" s="7" t="str">
        <f t="shared" si="18"/>
        <v/>
      </c>
      <c r="B420" s="9"/>
      <c r="C420" s="8"/>
      <c r="D420" s="10" t="str">
        <f ca="1">IFERROR(_xludf.XLOOKUP(C420,STUDENTS!$A$5:$A$204,STUDENTS!$C$5:$C$204,""),"")</f>
        <v/>
      </c>
      <c r="E420" s="10" t="str">
        <f ca="1">IFERROR(_xludf.XLOOKUP(C420,STUDENTS!$A$5:$A$204,STUDENTS!$L$5:$L$204,""),"")</f>
        <v/>
      </c>
      <c r="F420" s="10" t="str">
        <f t="shared" si="19"/>
        <v/>
      </c>
      <c r="G420" s="8"/>
      <c r="H420" s="11" t="str">
        <f>IF(B420="","",IF(OR(F420="Saturday",F420="Sunday"),SETTINGS!$B$11,IF(G420="Vacation",SETTINGS!$B$13,0)))</f>
        <v/>
      </c>
      <c r="I420" s="12" t="str">
        <f t="shared" si="20"/>
        <v/>
      </c>
      <c r="J420" s="8"/>
    </row>
    <row r="421" spans="1:10" x14ac:dyDescent="0.2">
      <c r="A421" s="7" t="str">
        <f t="shared" si="18"/>
        <v/>
      </c>
      <c r="B421" s="9"/>
      <c r="C421" s="8"/>
      <c r="D421" s="10" t="str">
        <f ca="1">IFERROR(_xludf.XLOOKUP(C421,STUDENTS!$A$5:$A$204,STUDENTS!$C$5:$C$204,""),"")</f>
        <v/>
      </c>
      <c r="E421" s="10" t="str">
        <f ca="1">IFERROR(_xludf.XLOOKUP(C421,STUDENTS!$A$5:$A$204,STUDENTS!$L$5:$L$204,""),"")</f>
        <v/>
      </c>
      <c r="F421" s="10" t="str">
        <f t="shared" si="19"/>
        <v/>
      </c>
      <c r="G421" s="8"/>
      <c r="H421" s="11" t="str">
        <f>IF(B421="","",IF(OR(F421="Saturday",F421="Sunday"),SETTINGS!$B$11,IF(G421="Vacation",SETTINGS!$B$13,0)))</f>
        <v/>
      </c>
      <c r="I421" s="12" t="str">
        <f t="shared" si="20"/>
        <v/>
      </c>
      <c r="J421" s="8"/>
    </row>
    <row r="422" spans="1:10" x14ac:dyDescent="0.2">
      <c r="A422" s="7" t="str">
        <f t="shared" si="18"/>
        <v/>
      </c>
      <c r="B422" s="9"/>
      <c r="C422" s="8"/>
      <c r="D422" s="10" t="str">
        <f ca="1">IFERROR(_xludf.XLOOKUP(C422,STUDENTS!$A$5:$A$204,STUDENTS!$C$5:$C$204,""),"")</f>
        <v/>
      </c>
      <c r="E422" s="10" t="str">
        <f ca="1">IFERROR(_xludf.XLOOKUP(C422,STUDENTS!$A$5:$A$204,STUDENTS!$L$5:$L$204,""),"")</f>
        <v/>
      </c>
      <c r="F422" s="10" t="str">
        <f t="shared" si="19"/>
        <v/>
      </c>
      <c r="G422" s="8"/>
      <c r="H422" s="11" t="str">
        <f>IF(B422="","",IF(OR(F422="Saturday",F422="Sunday"),SETTINGS!$B$11,IF(G422="Vacation",SETTINGS!$B$13,0)))</f>
        <v/>
      </c>
      <c r="I422" s="12" t="str">
        <f t="shared" si="20"/>
        <v/>
      </c>
      <c r="J422" s="8"/>
    </row>
    <row r="423" spans="1:10" x14ac:dyDescent="0.2">
      <c r="A423" s="7" t="str">
        <f t="shared" si="18"/>
        <v/>
      </c>
      <c r="B423" s="9"/>
      <c r="C423" s="8"/>
      <c r="D423" s="10" t="str">
        <f ca="1">IFERROR(_xludf.XLOOKUP(C423,STUDENTS!$A$5:$A$204,STUDENTS!$C$5:$C$204,""),"")</f>
        <v/>
      </c>
      <c r="E423" s="10" t="str">
        <f ca="1">IFERROR(_xludf.XLOOKUP(C423,STUDENTS!$A$5:$A$204,STUDENTS!$L$5:$L$204,""),"")</f>
        <v/>
      </c>
      <c r="F423" s="10" t="str">
        <f t="shared" si="19"/>
        <v/>
      </c>
      <c r="G423" s="8"/>
      <c r="H423" s="11" t="str">
        <f>IF(B423="","",IF(OR(F423="Saturday",F423="Sunday"),SETTINGS!$B$11,IF(G423="Vacation",SETTINGS!$B$13,0)))</f>
        <v/>
      </c>
      <c r="I423" s="12" t="str">
        <f t="shared" si="20"/>
        <v/>
      </c>
      <c r="J423" s="8"/>
    </row>
    <row r="424" spans="1:10" x14ac:dyDescent="0.2">
      <c r="A424" s="7" t="str">
        <f t="shared" si="18"/>
        <v/>
      </c>
      <c r="B424" s="9"/>
      <c r="C424" s="8"/>
      <c r="D424" s="10" t="str">
        <f ca="1">IFERROR(_xludf.XLOOKUP(C424,STUDENTS!$A$5:$A$204,STUDENTS!$C$5:$C$204,""),"")</f>
        <v/>
      </c>
      <c r="E424" s="10" t="str">
        <f ca="1">IFERROR(_xludf.XLOOKUP(C424,STUDENTS!$A$5:$A$204,STUDENTS!$L$5:$L$204,""),"")</f>
        <v/>
      </c>
      <c r="F424" s="10" t="str">
        <f t="shared" si="19"/>
        <v/>
      </c>
      <c r="G424" s="8"/>
      <c r="H424" s="11" t="str">
        <f>IF(B424="","",IF(OR(F424="Saturday",F424="Sunday"),SETTINGS!$B$11,IF(G424="Vacation",SETTINGS!$B$13,0)))</f>
        <v/>
      </c>
      <c r="I424" s="12" t="str">
        <f t="shared" si="20"/>
        <v/>
      </c>
      <c r="J424" s="8"/>
    </row>
    <row r="425" spans="1:10" x14ac:dyDescent="0.2">
      <c r="A425" s="7" t="str">
        <f t="shared" si="18"/>
        <v/>
      </c>
      <c r="B425" s="9"/>
      <c r="C425" s="8"/>
      <c r="D425" s="10" t="str">
        <f ca="1">IFERROR(_xludf.XLOOKUP(C425,STUDENTS!$A$5:$A$204,STUDENTS!$C$5:$C$204,""),"")</f>
        <v/>
      </c>
      <c r="E425" s="10" t="str">
        <f ca="1">IFERROR(_xludf.XLOOKUP(C425,STUDENTS!$A$5:$A$204,STUDENTS!$L$5:$L$204,""),"")</f>
        <v/>
      </c>
      <c r="F425" s="10" t="str">
        <f t="shared" si="19"/>
        <v/>
      </c>
      <c r="G425" s="8"/>
      <c r="H425" s="11" t="str">
        <f>IF(B425="","",IF(OR(F425="Saturday",F425="Sunday"),SETTINGS!$B$11,IF(G425="Vacation",SETTINGS!$B$13,0)))</f>
        <v/>
      </c>
      <c r="I425" s="12" t="str">
        <f t="shared" si="20"/>
        <v/>
      </c>
      <c r="J425" s="8"/>
    </row>
    <row r="426" spans="1:10" x14ac:dyDescent="0.2">
      <c r="A426" s="7" t="str">
        <f t="shared" si="18"/>
        <v/>
      </c>
      <c r="B426" s="9"/>
      <c r="C426" s="8"/>
      <c r="D426" s="10" t="str">
        <f ca="1">IFERROR(_xludf.XLOOKUP(C426,STUDENTS!$A$5:$A$204,STUDENTS!$C$5:$C$204,""),"")</f>
        <v/>
      </c>
      <c r="E426" s="10" t="str">
        <f ca="1">IFERROR(_xludf.XLOOKUP(C426,STUDENTS!$A$5:$A$204,STUDENTS!$L$5:$L$204,""),"")</f>
        <v/>
      </c>
      <c r="F426" s="10" t="str">
        <f t="shared" si="19"/>
        <v/>
      </c>
      <c r="G426" s="8"/>
      <c r="H426" s="11" t="str">
        <f>IF(B426="","",IF(OR(F426="Saturday",F426="Sunday"),SETTINGS!$B$11,IF(G426="Vacation",SETTINGS!$B$13,0)))</f>
        <v/>
      </c>
      <c r="I426" s="12" t="str">
        <f t="shared" si="20"/>
        <v/>
      </c>
      <c r="J426" s="8"/>
    </row>
    <row r="427" spans="1:10" x14ac:dyDescent="0.2">
      <c r="A427" s="7" t="str">
        <f t="shared" si="18"/>
        <v/>
      </c>
      <c r="B427" s="9"/>
      <c r="C427" s="8"/>
      <c r="D427" s="10" t="str">
        <f ca="1">IFERROR(_xludf.XLOOKUP(C427,STUDENTS!$A$5:$A$204,STUDENTS!$C$5:$C$204,""),"")</f>
        <v/>
      </c>
      <c r="E427" s="10" t="str">
        <f ca="1">IFERROR(_xludf.XLOOKUP(C427,STUDENTS!$A$5:$A$204,STUDENTS!$L$5:$L$204,""),"")</f>
        <v/>
      </c>
      <c r="F427" s="10" t="str">
        <f t="shared" si="19"/>
        <v/>
      </c>
      <c r="G427" s="8"/>
      <c r="H427" s="11" t="str">
        <f>IF(B427="","",IF(OR(F427="Saturday",F427="Sunday"),SETTINGS!$B$11,IF(G427="Vacation",SETTINGS!$B$13,0)))</f>
        <v/>
      </c>
      <c r="I427" s="12" t="str">
        <f t="shared" si="20"/>
        <v/>
      </c>
      <c r="J427" s="8"/>
    </row>
    <row r="428" spans="1:10" x14ac:dyDescent="0.2">
      <c r="A428" s="7" t="str">
        <f t="shared" si="18"/>
        <v/>
      </c>
      <c r="B428" s="9"/>
      <c r="C428" s="8"/>
      <c r="D428" s="10" t="str">
        <f ca="1">IFERROR(_xludf.XLOOKUP(C428,STUDENTS!$A$5:$A$204,STUDENTS!$C$5:$C$204,""),"")</f>
        <v/>
      </c>
      <c r="E428" s="10" t="str">
        <f ca="1">IFERROR(_xludf.XLOOKUP(C428,STUDENTS!$A$5:$A$204,STUDENTS!$L$5:$L$204,""),"")</f>
        <v/>
      </c>
      <c r="F428" s="10" t="str">
        <f t="shared" si="19"/>
        <v/>
      </c>
      <c r="G428" s="8"/>
      <c r="H428" s="11" t="str">
        <f>IF(B428="","",IF(OR(F428="Saturday",F428="Sunday"),SETTINGS!$B$11,IF(G428="Vacation",SETTINGS!$B$13,0)))</f>
        <v/>
      </c>
      <c r="I428" s="12" t="str">
        <f t="shared" si="20"/>
        <v/>
      </c>
      <c r="J428" s="8"/>
    </row>
    <row r="429" spans="1:10" x14ac:dyDescent="0.2">
      <c r="A429" s="7" t="str">
        <f t="shared" si="18"/>
        <v/>
      </c>
      <c r="B429" s="9"/>
      <c r="C429" s="8"/>
      <c r="D429" s="10" t="str">
        <f ca="1">IFERROR(_xludf.XLOOKUP(C429,STUDENTS!$A$5:$A$204,STUDENTS!$C$5:$C$204,""),"")</f>
        <v/>
      </c>
      <c r="E429" s="10" t="str">
        <f ca="1">IFERROR(_xludf.XLOOKUP(C429,STUDENTS!$A$5:$A$204,STUDENTS!$L$5:$L$204,""),"")</f>
        <v/>
      </c>
      <c r="F429" s="10" t="str">
        <f t="shared" si="19"/>
        <v/>
      </c>
      <c r="G429" s="8"/>
      <c r="H429" s="11" t="str">
        <f>IF(B429="","",IF(OR(F429="Saturday",F429="Sunday"),SETTINGS!$B$11,IF(G429="Vacation",SETTINGS!$B$13,0)))</f>
        <v/>
      </c>
      <c r="I429" s="12" t="str">
        <f t="shared" si="20"/>
        <v/>
      </c>
      <c r="J429" s="8"/>
    </row>
    <row r="430" spans="1:10" x14ac:dyDescent="0.2">
      <c r="A430" s="7" t="str">
        <f t="shared" si="18"/>
        <v/>
      </c>
      <c r="B430" s="9"/>
      <c r="C430" s="8"/>
      <c r="D430" s="10" t="str">
        <f ca="1">IFERROR(_xludf.XLOOKUP(C430,STUDENTS!$A$5:$A$204,STUDENTS!$C$5:$C$204,""),"")</f>
        <v/>
      </c>
      <c r="E430" s="10" t="str">
        <f ca="1">IFERROR(_xludf.XLOOKUP(C430,STUDENTS!$A$5:$A$204,STUDENTS!$L$5:$L$204,""),"")</f>
        <v/>
      </c>
      <c r="F430" s="10" t="str">
        <f t="shared" si="19"/>
        <v/>
      </c>
      <c r="G430" s="8"/>
      <c r="H430" s="11" t="str">
        <f>IF(B430="","",IF(OR(F430="Saturday",F430="Sunday"),SETTINGS!$B$11,IF(G430="Vacation",SETTINGS!$B$13,0)))</f>
        <v/>
      </c>
      <c r="I430" s="12" t="str">
        <f t="shared" si="20"/>
        <v/>
      </c>
      <c r="J430" s="8"/>
    </row>
    <row r="431" spans="1:10" x14ac:dyDescent="0.2">
      <c r="A431" s="7" t="str">
        <f t="shared" si="18"/>
        <v/>
      </c>
      <c r="B431" s="9"/>
      <c r="C431" s="8"/>
      <c r="D431" s="10" t="str">
        <f ca="1">IFERROR(_xludf.XLOOKUP(C431,STUDENTS!$A$5:$A$204,STUDENTS!$C$5:$C$204,""),"")</f>
        <v/>
      </c>
      <c r="E431" s="10" t="str">
        <f ca="1">IFERROR(_xludf.XLOOKUP(C431,STUDENTS!$A$5:$A$204,STUDENTS!$L$5:$L$204,""),"")</f>
        <v/>
      </c>
      <c r="F431" s="10" t="str">
        <f t="shared" si="19"/>
        <v/>
      </c>
      <c r="G431" s="8"/>
      <c r="H431" s="11" t="str">
        <f>IF(B431="","",IF(OR(F431="Saturday",F431="Sunday"),SETTINGS!$B$11,IF(G431="Vacation",SETTINGS!$B$13,0)))</f>
        <v/>
      </c>
      <c r="I431" s="12" t="str">
        <f t="shared" si="20"/>
        <v/>
      </c>
      <c r="J431" s="8"/>
    </row>
    <row r="432" spans="1:10" x14ac:dyDescent="0.2">
      <c r="A432" s="7" t="str">
        <f t="shared" si="18"/>
        <v/>
      </c>
      <c r="B432" s="9"/>
      <c r="C432" s="8"/>
      <c r="D432" s="10" t="str">
        <f ca="1">IFERROR(_xludf.XLOOKUP(C432,STUDENTS!$A$5:$A$204,STUDENTS!$C$5:$C$204,""),"")</f>
        <v/>
      </c>
      <c r="E432" s="10" t="str">
        <f ca="1">IFERROR(_xludf.XLOOKUP(C432,STUDENTS!$A$5:$A$204,STUDENTS!$L$5:$L$204,""),"")</f>
        <v/>
      </c>
      <c r="F432" s="10" t="str">
        <f t="shared" si="19"/>
        <v/>
      </c>
      <c r="G432" s="8"/>
      <c r="H432" s="11" t="str">
        <f>IF(B432="","",IF(OR(F432="Saturday",F432="Sunday"),SETTINGS!$B$11,IF(G432="Vacation",SETTINGS!$B$13,0)))</f>
        <v/>
      </c>
      <c r="I432" s="12" t="str">
        <f t="shared" si="20"/>
        <v/>
      </c>
      <c r="J432" s="8"/>
    </row>
    <row r="433" spans="1:10" x14ac:dyDescent="0.2">
      <c r="A433" s="7" t="str">
        <f t="shared" si="18"/>
        <v/>
      </c>
      <c r="B433" s="9"/>
      <c r="C433" s="8"/>
      <c r="D433" s="10" t="str">
        <f ca="1">IFERROR(_xludf.XLOOKUP(C433,STUDENTS!$A$5:$A$204,STUDENTS!$C$5:$C$204,""),"")</f>
        <v/>
      </c>
      <c r="E433" s="10" t="str">
        <f ca="1">IFERROR(_xludf.XLOOKUP(C433,STUDENTS!$A$5:$A$204,STUDENTS!$L$5:$L$204,""),"")</f>
        <v/>
      </c>
      <c r="F433" s="10" t="str">
        <f t="shared" si="19"/>
        <v/>
      </c>
      <c r="G433" s="8"/>
      <c r="H433" s="11" t="str">
        <f>IF(B433="","",IF(OR(F433="Saturday",F433="Sunday"),SETTINGS!$B$11,IF(G433="Vacation",SETTINGS!$B$13,0)))</f>
        <v/>
      </c>
      <c r="I433" s="12" t="str">
        <f t="shared" si="20"/>
        <v/>
      </c>
      <c r="J433" s="8"/>
    </row>
    <row r="434" spans="1:10" x14ac:dyDescent="0.2">
      <c r="A434" s="7" t="str">
        <f t="shared" si="18"/>
        <v/>
      </c>
      <c r="B434" s="9"/>
      <c r="C434" s="8"/>
      <c r="D434" s="10" t="str">
        <f ca="1">IFERROR(_xludf.XLOOKUP(C434,STUDENTS!$A$5:$A$204,STUDENTS!$C$5:$C$204,""),"")</f>
        <v/>
      </c>
      <c r="E434" s="10" t="str">
        <f ca="1">IFERROR(_xludf.XLOOKUP(C434,STUDENTS!$A$5:$A$204,STUDENTS!$L$5:$L$204,""),"")</f>
        <v/>
      </c>
      <c r="F434" s="10" t="str">
        <f t="shared" si="19"/>
        <v/>
      </c>
      <c r="G434" s="8"/>
      <c r="H434" s="11" t="str">
        <f>IF(B434="","",IF(OR(F434="Saturday",F434="Sunday"),SETTINGS!$B$11,IF(G434="Vacation",SETTINGS!$B$13,0)))</f>
        <v/>
      </c>
      <c r="I434" s="12" t="str">
        <f t="shared" si="20"/>
        <v/>
      </c>
      <c r="J434" s="8"/>
    </row>
    <row r="435" spans="1:10" x14ac:dyDescent="0.2">
      <c r="A435" s="7" t="str">
        <f t="shared" si="18"/>
        <v/>
      </c>
      <c r="B435" s="9"/>
      <c r="C435" s="8"/>
      <c r="D435" s="10" t="str">
        <f ca="1">IFERROR(_xludf.XLOOKUP(C435,STUDENTS!$A$5:$A$204,STUDENTS!$C$5:$C$204,""),"")</f>
        <v/>
      </c>
      <c r="E435" s="10" t="str">
        <f ca="1">IFERROR(_xludf.XLOOKUP(C435,STUDENTS!$A$5:$A$204,STUDENTS!$L$5:$L$204,""),"")</f>
        <v/>
      </c>
      <c r="F435" s="10" t="str">
        <f t="shared" si="19"/>
        <v/>
      </c>
      <c r="G435" s="8"/>
      <c r="H435" s="11" t="str">
        <f>IF(B435="","",IF(OR(F435="Saturday",F435="Sunday"),SETTINGS!$B$11,IF(G435="Vacation",SETTINGS!$B$13,0)))</f>
        <v/>
      </c>
      <c r="I435" s="12" t="str">
        <f t="shared" si="20"/>
        <v/>
      </c>
      <c r="J435" s="8"/>
    </row>
    <row r="436" spans="1:10" x14ac:dyDescent="0.2">
      <c r="A436" s="7" t="str">
        <f t="shared" si="18"/>
        <v/>
      </c>
      <c r="B436" s="9"/>
      <c r="C436" s="8"/>
      <c r="D436" s="10" t="str">
        <f ca="1">IFERROR(_xludf.XLOOKUP(C436,STUDENTS!$A$5:$A$204,STUDENTS!$C$5:$C$204,""),"")</f>
        <v/>
      </c>
      <c r="E436" s="10" t="str">
        <f ca="1">IFERROR(_xludf.XLOOKUP(C436,STUDENTS!$A$5:$A$204,STUDENTS!$L$5:$L$204,""),"")</f>
        <v/>
      </c>
      <c r="F436" s="10" t="str">
        <f t="shared" si="19"/>
        <v/>
      </c>
      <c r="G436" s="8"/>
      <c r="H436" s="11" t="str">
        <f>IF(B436="","",IF(OR(F436="Saturday",F436="Sunday"),SETTINGS!$B$11,IF(G436="Vacation",SETTINGS!$B$13,0)))</f>
        <v/>
      </c>
      <c r="I436" s="12" t="str">
        <f t="shared" si="20"/>
        <v/>
      </c>
      <c r="J436" s="8"/>
    </row>
    <row r="437" spans="1:10" x14ac:dyDescent="0.2">
      <c r="A437" s="7" t="str">
        <f t="shared" si="18"/>
        <v/>
      </c>
      <c r="B437" s="9"/>
      <c r="C437" s="8"/>
      <c r="D437" s="10" t="str">
        <f ca="1">IFERROR(_xludf.XLOOKUP(C437,STUDENTS!$A$5:$A$204,STUDENTS!$C$5:$C$204,""),"")</f>
        <v/>
      </c>
      <c r="E437" s="10" t="str">
        <f ca="1">IFERROR(_xludf.XLOOKUP(C437,STUDENTS!$A$5:$A$204,STUDENTS!$L$5:$L$204,""),"")</f>
        <v/>
      </c>
      <c r="F437" s="10" t="str">
        <f t="shared" si="19"/>
        <v/>
      </c>
      <c r="G437" s="8"/>
      <c r="H437" s="11" t="str">
        <f>IF(B437="","",IF(OR(F437="Saturday",F437="Sunday"),SETTINGS!$B$11,IF(G437="Vacation",SETTINGS!$B$13,0)))</f>
        <v/>
      </c>
      <c r="I437" s="12" t="str">
        <f t="shared" si="20"/>
        <v/>
      </c>
      <c r="J437" s="8"/>
    </row>
    <row r="438" spans="1:10" x14ac:dyDescent="0.2">
      <c r="A438" s="7" t="str">
        <f t="shared" si="18"/>
        <v/>
      </c>
      <c r="B438" s="9"/>
      <c r="C438" s="8"/>
      <c r="D438" s="10" t="str">
        <f ca="1">IFERROR(_xludf.XLOOKUP(C438,STUDENTS!$A$5:$A$204,STUDENTS!$C$5:$C$204,""),"")</f>
        <v/>
      </c>
      <c r="E438" s="10" t="str">
        <f ca="1">IFERROR(_xludf.XLOOKUP(C438,STUDENTS!$A$5:$A$204,STUDENTS!$L$5:$L$204,""),"")</f>
        <v/>
      </c>
      <c r="F438" s="10" t="str">
        <f t="shared" si="19"/>
        <v/>
      </c>
      <c r="G438" s="8"/>
      <c r="H438" s="11" t="str">
        <f>IF(B438="","",IF(OR(F438="Saturday",F438="Sunday"),SETTINGS!$B$11,IF(G438="Vacation",SETTINGS!$B$13,0)))</f>
        <v/>
      </c>
      <c r="I438" s="12" t="str">
        <f t="shared" si="20"/>
        <v/>
      </c>
      <c r="J438" s="8"/>
    </row>
    <row r="439" spans="1:10" x14ac:dyDescent="0.2">
      <c r="A439" s="7" t="str">
        <f t="shared" si="18"/>
        <v/>
      </c>
      <c r="B439" s="9"/>
      <c r="C439" s="8"/>
      <c r="D439" s="10" t="str">
        <f ca="1">IFERROR(_xludf.XLOOKUP(C439,STUDENTS!$A$5:$A$204,STUDENTS!$C$5:$C$204,""),"")</f>
        <v/>
      </c>
      <c r="E439" s="10" t="str">
        <f ca="1">IFERROR(_xludf.XLOOKUP(C439,STUDENTS!$A$5:$A$204,STUDENTS!$L$5:$L$204,""),"")</f>
        <v/>
      </c>
      <c r="F439" s="10" t="str">
        <f t="shared" si="19"/>
        <v/>
      </c>
      <c r="G439" s="8"/>
      <c r="H439" s="11" t="str">
        <f>IF(B439="","",IF(OR(F439="Saturday",F439="Sunday"),SETTINGS!$B$11,IF(G439="Vacation",SETTINGS!$B$13,0)))</f>
        <v/>
      </c>
      <c r="I439" s="12" t="str">
        <f t="shared" si="20"/>
        <v/>
      </c>
      <c r="J439" s="8"/>
    </row>
    <row r="440" spans="1:10" x14ac:dyDescent="0.2">
      <c r="A440" s="7" t="str">
        <f t="shared" si="18"/>
        <v/>
      </c>
      <c r="B440" s="9"/>
      <c r="C440" s="8"/>
      <c r="D440" s="10" t="str">
        <f ca="1">IFERROR(_xludf.XLOOKUP(C440,STUDENTS!$A$5:$A$204,STUDENTS!$C$5:$C$204,""),"")</f>
        <v/>
      </c>
      <c r="E440" s="10" t="str">
        <f ca="1">IFERROR(_xludf.XLOOKUP(C440,STUDENTS!$A$5:$A$204,STUDENTS!$L$5:$L$204,""),"")</f>
        <v/>
      </c>
      <c r="F440" s="10" t="str">
        <f t="shared" si="19"/>
        <v/>
      </c>
      <c r="G440" s="8"/>
      <c r="H440" s="11" t="str">
        <f>IF(B440="","",IF(OR(F440="Saturday",F440="Sunday"),SETTINGS!$B$11,IF(G440="Vacation",SETTINGS!$B$13,0)))</f>
        <v/>
      </c>
      <c r="I440" s="12" t="str">
        <f t="shared" si="20"/>
        <v/>
      </c>
      <c r="J440" s="8"/>
    </row>
    <row r="441" spans="1:10" x14ac:dyDescent="0.2">
      <c r="A441" s="7" t="str">
        <f t="shared" si="18"/>
        <v/>
      </c>
      <c r="B441" s="9"/>
      <c r="C441" s="8"/>
      <c r="D441" s="10" t="str">
        <f ca="1">IFERROR(_xludf.XLOOKUP(C441,STUDENTS!$A$5:$A$204,STUDENTS!$C$5:$C$204,""),"")</f>
        <v/>
      </c>
      <c r="E441" s="10" t="str">
        <f ca="1">IFERROR(_xludf.XLOOKUP(C441,STUDENTS!$A$5:$A$204,STUDENTS!$L$5:$L$204,""),"")</f>
        <v/>
      </c>
      <c r="F441" s="10" t="str">
        <f t="shared" si="19"/>
        <v/>
      </c>
      <c r="G441" s="8"/>
      <c r="H441" s="11" t="str">
        <f>IF(B441="","",IF(OR(F441="Saturday",F441="Sunday"),SETTINGS!$B$11,IF(G441="Vacation",SETTINGS!$B$13,0)))</f>
        <v/>
      </c>
      <c r="I441" s="12" t="str">
        <f t="shared" si="20"/>
        <v/>
      </c>
      <c r="J441" s="8"/>
    </row>
    <row r="442" spans="1:10" x14ac:dyDescent="0.2">
      <c r="A442" s="7" t="str">
        <f t="shared" si="18"/>
        <v/>
      </c>
      <c r="B442" s="9"/>
      <c r="C442" s="8"/>
      <c r="D442" s="10" t="str">
        <f ca="1">IFERROR(_xludf.XLOOKUP(C442,STUDENTS!$A$5:$A$204,STUDENTS!$C$5:$C$204,""),"")</f>
        <v/>
      </c>
      <c r="E442" s="10" t="str">
        <f ca="1">IFERROR(_xludf.XLOOKUP(C442,STUDENTS!$A$5:$A$204,STUDENTS!$L$5:$L$204,""),"")</f>
        <v/>
      </c>
      <c r="F442" s="10" t="str">
        <f t="shared" si="19"/>
        <v/>
      </c>
      <c r="G442" s="8"/>
      <c r="H442" s="11" t="str">
        <f>IF(B442="","",IF(OR(F442="Saturday",F442="Sunday"),SETTINGS!$B$11,IF(G442="Vacation",SETTINGS!$B$13,0)))</f>
        <v/>
      </c>
      <c r="I442" s="12" t="str">
        <f t="shared" si="20"/>
        <v/>
      </c>
      <c r="J442" s="8"/>
    </row>
    <row r="443" spans="1:10" x14ac:dyDescent="0.2">
      <c r="A443" s="7" t="str">
        <f t="shared" si="18"/>
        <v/>
      </c>
      <c r="B443" s="9"/>
      <c r="C443" s="8"/>
      <c r="D443" s="10" t="str">
        <f ca="1">IFERROR(_xludf.XLOOKUP(C443,STUDENTS!$A$5:$A$204,STUDENTS!$C$5:$C$204,""),"")</f>
        <v/>
      </c>
      <c r="E443" s="10" t="str">
        <f ca="1">IFERROR(_xludf.XLOOKUP(C443,STUDENTS!$A$5:$A$204,STUDENTS!$L$5:$L$204,""),"")</f>
        <v/>
      </c>
      <c r="F443" s="10" t="str">
        <f t="shared" si="19"/>
        <v/>
      </c>
      <c r="G443" s="8"/>
      <c r="H443" s="11" t="str">
        <f>IF(B443="","",IF(OR(F443="Saturday",F443="Sunday"),SETTINGS!$B$11,IF(G443="Vacation",SETTINGS!$B$13,0)))</f>
        <v/>
      </c>
      <c r="I443" s="12" t="str">
        <f t="shared" si="20"/>
        <v/>
      </c>
      <c r="J443" s="8"/>
    </row>
    <row r="444" spans="1:10" x14ac:dyDescent="0.2">
      <c r="A444" s="7" t="str">
        <f t="shared" si="18"/>
        <v/>
      </c>
      <c r="B444" s="9"/>
      <c r="C444" s="8"/>
      <c r="D444" s="10" t="str">
        <f ca="1">IFERROR(_xludf.XLOOKUP(C444,STUDENTS!$A$5:$A$204,STUDENTS!$C$5:$C$204,""),"")</f>
        <v/>
      </c>
      <c r="E444" s="10" t="str">
        <f ca="1">IFERROR(_xludf.XLOOKUP(C444,STUDENTS!$A$5:$A$204,STUDENTS!$L$5:$L$204,""),"")</f>
        <v/>
      </c>
      <c r="F444" s="10" t="str">
        <f t="shared" si="19"/>
        <v/>
      </c>
      <c r="G444" s="8"/>
      <c r="H444" s="11" t="str">
        <f>IF(B444="","",IF(OR(F444="Saturday",F444="Sunday"),SETTINGS!$B$11,IF(G444="Vacation",SETTINGS!$B$13,0)))</f>
        <v/>
      </c>
      <c r="I444" s="12" t="str">
        <f t="shared" si="20"/>
        <v/>
      </c>
      <c r="J444" s="8"/>
    </row>
    <row r="445" spans="1:10" x14ac:dyDescent="0.2">
      <c r="A445" s="7" t="str">
        <f t="shared" si="18"/>
        <v/>
      </c>
      <c r="B445" s="9"/>
      <c r="C445" s="8"/>
      <c r="D445" s="10" t="str">
        <f ca="1">IFERROR(_xludf.XLOOKUP(C445,STUDENTS!$A$5:$A$204,STUDENTS!$C$5:$C$204,""),"")</f>
        <v/>
      </c>
      <c r="E445" s="10" t="str">
        <f ca="1">IFERROR(_xludf.XLOOKUP(C445,STUDENTS!$A$5:$A$204,STUDENTS!$L$5:$L$204,""),"")</f>
        <v/>
      </c>
      <c r="F445" s="10" t="str">
        <f t="shared" si="19"/>
        <v/>
      </c>
      <c r="G445" s="8"/>
      <c r="H445" s="11" t="str">
        <f>IF(B445="","",IF(OR(F445="Saturday",F445="Sunday"),SETTINGS!$B$11,IF(G445="Vacation",SETTINGS!$B$13,0)))</f>
        <v/>
      </c>
      <c r="I445" s="12" t="str">
        <f t="shared" si="20"/>
        <v/>
      </c>
      <c r="J445" s="8"/>
    </row>
    <row r="446" spans="1:10" x14ac:dyDescent="0.2">
      <c r="A446" s="7" t="str">
        <f t="shared" si="18"/>
        <v/>
      </c>
      <c r="B446" s="9"/>
      <c r="C446" s="8"/>
      <c r="D446" s="10" t="str">
        <f ca="1">IFERROR(_xludf.XLOOKUP(C446,STUDENTS!$A$5:$A$204,STUDENTS!$C$5:$C$204,""),"")</f>
        <v/>
      </c>
      <c r="E446" s="10" t="str">
        <f ca="1">IFERROR(_xludf.XLOOKUP(C446,STUDENTS!$A$5:$A$204,STUDENTS!$L$5:$L$204,""),"")</f>
        <v/>
      </c>
      <c r="F446" s="10" t="str">
        <f t="shared" si="19"/>
        <v/>
      </c>
      <c r="G446" s="8"/>
      <c r="H446" s="11" t="str">
        <f>IF(B446="","",IF(OR(F446="Saturday",F446="Sunday"),SETTINGS!$B$11,IF(G446="Vacation",SETTINGS!$B$13,0)))</f>
        <v/>
      </c>
      <c r="I446" s="12" t="str">
        <f t="shared" si="20"/>
        <v/>
      </c>
      <c r="J446" s="8"/>
    </row>
    <row r="447" spans="1:10" x14ac:dyDescent="0.2">
      <c r="A447" s="7" t="str">
        <f t="shared" si="18"/>
        <v/>
      </c>
      <c r="B447" s="9"/>
      <c r="C447" s="8"/>
      <c r="D447" s="10" t="str">
        <f ca="1">IFERROR(_xludf.XLOOKUP(C447,STUDENTS!$A$5:$A$204,STUDENTS!$C$5:$C$204,""),"")</f>
        <v/>
      </c>
      <c r="E447" s="10" t="str">
        <f ca="1">IFERROR(_xludf.XLOOKUP(C447,STUDENTS!$A$5:$A$204,STUDENTS!$L$5:$L$204,""),"")</f>
        <v/>
      </c>
      <c r="F447" s="10" t="str">
        <f t="shared" si="19"/>
        <v/>
      </c>
      <c r="G447" s="8"/>
      <c r="H447" s="11" t="str">
        <f>IF(B447="","",IF(OR(F447="Saturday",F447="Sunday"),SETTINGS!$B$11,IF(G447="Vacation",SETTINGS!$B$13,0)))</f>
        <v/>
      </c>
      <c r="I447" s="12" t="str">
        <f t="shared" si="20"/>
        <v/>
      </c>
      <c r="J447" s="8"/>
    </row>
    <row r="448" spans="1:10" x14ac:dyDescent="0.2">
      <c r="A448" s="7" t="str">
        <f t="shared" si="18"/>
        <v/>
      </c>
      <c r="B448" s="9"/>
      <c r="C448" s="8"/>
      <c r="D448" s="10" t="str">
        <f ca="1">IFERROR(_xludf.XLOOKUP(C448,STUDENTS!$A$5:$A$204,STUDENTS!$C$5:$C$204,""),"")</f>
        <v/>
      </c>
      <c r="E448" s="10" t="str">
        <f ca="1">IFERROR(_xludf.XLOOKUP(C448,STUDENTS!$A$5:$A$204,STUDENTS!$L$5:$L$204,""),"")</f>
        <v/>
      </c>
      <c r="F448" s="10" t="str">
        <f t="shared" si="19"/>
        <v/>
      </c>
      <c r="G448" s="8"/>
      <c r="H448" s="11" t="str">
        <f>IF(B448="","",IF(OR(F448="Saturday",F448="Sunday"),SETTINGS!$B$11,IF(G448="Vacation",SETTINGS!$B$13,0)))</f>
        <v/>
      </c>
      <c r="I448" s="12" t="str">
        <f t="shared" si="20"/>
        <v/>
      </c>
      <c r="J448" s="8"/>
    </row>
    <row r="449" spans="1:10" x14ac:dyDescent="0.2">
      <c r="A449" s="7" t="str">
        <f t="shared" si="18"/>
        <v/>
      </c>
      <c r="B449" s="9"/>
      <c r="C449" s="8"/>
      <c r="D449" s="10" t="str">
        <f ca="1">IFERROR(_xludf.XLOOKUP(C449,STUDENTS!$A$5:$A$204,STUDENTS!$C$5:$C$204,""),"")</f>
        <v/>
      </c>
      <c r="E449" s="10" t="str">
        <f ca="1">IFERROR(_xludf.XLOOKUP(C449,STUDENTS!$A$5:$A$204,STUDENTS!$L$5:$L$204,""),"")</f>
        <v/>
      </c>
      <c r="F449" s="10" t="str">
        <f t="shared" si="19"/>
        <v/>
      </c>
      <c r="G449" s="8"/>
      <c r="H449" s="11" t="str">
        <f>IF(B449="","",IF(OR(F449="Saturday",F449="Sunday"),SETTINGS!$B$11,IF(G449="Vacation",SETTINGS!$B$13,0)))</f>
        <v/>
      </c>
      <c r="I449" s="12" t="str">
        <f t="shared" si="20"/>
        <v/>
      </c>
      <c r="J449" s="8"/>
    </row>
    <row r="450" spans="1:10" x14ac:dyDescent="0.2">
      <c r="A450" s="7" t="str">
        <f t="shared" si="18"/>
        <v/>
      </c>
      <c r="B450" s="9"/>
      <c r="C450" s="8"/>
      <c r="D450" s="10" t="str">
        <f ca="1">IFERROR(_xludf.XLOOKUP(C450,STUDENTS!$A$5:$A$204,STUDENTS!$C$5:$C$204,""),"")</f>
        <v/>
      </c>
      <c r="E450" s="10" t="str">
        <f ca="1">IFERROR(_xludf.XLOOKUP(C450,STUDENTS!$A$5:$A$204,STUDENTS!$L$5:$L$204,""),"")</f>
        <v/>
      </c>
      <c r="F450" s="10" t="str">
        <f t="shared" si="19"/>
        <v/>
      </c>
      <c r="G450" s="8"/>
      <c r="H450" s="11" t="str">
        <f>IF(B450="","",IF(OR(F450="Saturday",F450="Sunday"),SETTINGS!$B$11,IF(G450="Vacation",SETTINGS!$B$13,0)))</f>
        <v/>
      </c>
      <c r="I450" s="12" t="str">
        <f t="shared" si="20"/>
        <v/>
      </c>
      <c r="J450" s="8"/>
    </row>
    <row r="451" spans="1:10" x14ac:dyDescent="0.2">
      <c r="A451" s="7" t="str">
        <f t="shared" si="18"/>
        <v/>
      </c>
      <c r="B451" s="9"/>
      <c r="C451" s="8"/>
      <c r="D451" s="10" t="str">
        <f ca="1">IFERROR(_xludf.XLOOKUP(C451,STUDENTS!$A$5:$A$204,STUDENTS!$C$5:$C$204,""),"")</f>
        <v/>
      </c>
      <c r="E451" s="10" t="str">
        <f ca="1">IFERROR(_xludf.XLOOKUP(C451,STUDENTS!$A$5:$A$204,STUDENTS!$L$5:$L$204,""),"")</f>
        <v/>
      </c>
      <c r="F451" s="10" t="str">
        <f t="shared" si="19"/>
        <v/>
      </c>
      <c r="G451" s="8"/>
      <c r="H451" s="11" t="str">
        <f>IF(B451="","",IF(OR(F451="Saturday",F451="Sunday"),SETTINGS!$B$11,IF(G451="Vacation",SETTINGS!$B$13,0)))</f>
        <v/>
      </c>
      <c r="I451" s="12" t="str">
        <f t="shared" si="20"/>
        <v/>
      </c>
      <c r="J451" s="8"/>
    </row>
    <row r="452" spans="1:10" x14ac:dyDescent="0.2">
      <c r="A452" s="7" t="str">
        <f t="shared" si="18"/>
        <v/>
      </c>
      <c r="B452" s="9"/>
      <c r="C452" s="8"/>
      <c r="D452" s="10" t="str">
        <f ca="1">IFERROR(_xludf.XLOOKUP(C452,STUDENTS!$A$5:$A$204,STUDENTS!$C$5:$C$204,""),"")</f>
        <v/>
      </c>
      <c r="E452" s="10" t="str">
        <f ca="1">IFERROR(_xludf.XLOOKUP(C452,STUDENTS!$A$5:$A$204,STUDENTS!$L$5:$L$204,""),"")</f>
        <v/>
      </c>
      <c r="F452" s="10" t="str">
        <f t="shared" si="19"/>
        <v/>
      </c>
      <c r="G452" s="8"/>
      <c r="H452" s="11" t="str">
        <f>IF(B452="","",IF(OR(F452="Saturday",F452="Sunday"),SETTINGS!$B$11,IF(G452="Vacation",SETTINGS!$B$13,0)))</f>
        <v/>
      </c>
      <c r="I452" s="12" t="str">
        <f t="shared" si="20"/>
        <v/>
      </c>
      <c r="J452" s="8"/>
    </row>
    <row r="453" spans="1:10" x14ac:dyDescent="0.2">
      <c r="A453" s="7" t="str">
        <f t="shared" ref="A453:A516" si="21">IF(C453="","","F-"&amp;TEXT(ROW()-4,"00000"))</f>
        <v/>
      </c>
      <c r="B453" s="9"/>
      <c r="C453" s="8"/>
      <c r="D453" s="10" t="str">
        <f ca="1">IFERROR(_xludf.XLOOKUP(C453,STUDENTS!$A$5:$A$204,STUDENTS!$C$5:$C$204,""),"")</f>
        <v/>
      </c>
      <c r="E453" s="10" t="str">
        <f ca="1">IFERROR(_xludf.XLOOKUP(C453,STUDENTS!$A$5:$A$204,STUDENTS!$L$5:$L$204,""),"")</f>
        <v/>
      </c>
      <c r="F453" s="10" t="str">
        <f t="shared" ref="F453:F516" si="22">IF(B453="","",TEXT(B453,"dddd"))</f>
        <v/>
      </c>
      <c r="G453" s="8"/>
      <c r="H453" s="11" t="str">
        <f>IF(B453="","",IF(OR(F453="Saturday",F453="Sunday"),SETTINGS!$B$11,IF(G453="Vacation",SETTINGS!$B$13,0)))</f>
        <v/>
      </c>
      <c r="I453" s="12" t="str">
        <f t="shared" ref="I453:I516" si="23">IF(H453="","",H453)</f>
        <v/>
      </c>
      <c r="J453" s="8"/>
    </row>
    <row r="454" spans="1:10" x14ac:dyDescent="0.2">
      <c r="A454" s="7" t="str">
        <f t="shared" si="21"/>
        <v/>
      </c>
      <c r="B454" s="9"/>
      <c r="C454" s="8"/>
      <c r="D454" s="10" t="str">
        <f ca="1">IFERROR(_xludf.XLOOKUP(C454,STUDENTS!$A$5:$A$204,STUDENTS!$C$5:$C$204,""),"")</f>
        <v/>
      </c>
      <c r="E454" s="10" t="str">
        <f ca="1">IFERROR(_xludf.XLOOKUP(C454,STUDENTS!$A$5:$A$204,STUDENTS!$L$5:$L$204,""),"")</f>
        <v/>
      </c>
      <c r="F454" s="10" t="str">
        <f t="shared" si="22"/>
        <v/>
      </c>
      <c r="G454" s="8"/>
      <c r="H454" s="11" t="str">
        <f>IF(B454="","",IF(OR(F454="Saturday",F454="Sunday"),SETTINGS!$B$11,IF(G454="Vacation",SETTINGS!$B$13,0)))</f>
        <v/>
      </c>
      <c r="I454" s="12" t="str">
        <f t="shared" si="23"/>
        <v/>
      </c>
      <c r="J454" s="8"/>
    </row>
    <row r="455" spans="1:10" x14ac:dyDescent="0.2">
      <c r="A455" s="7" t="str">
        <f t="shared" si="21"/>
        <v/>
      </c>
      <c r="B455" s="9"/>
      <c r="C455" s="8"/>
      <c r="D455" s="10" t="str">
        <f ca="1">IFERROR(_xludf.XLOOKUP(C455,STUDENTS!$A$5:$A$204,STUDENTS!$C$5:$C$204,""),"")</f>
        <v/>
      </c>
      <c r="E455" s="10" t="str">
        <f ca="1">IFERROR(_xludf.XLOOKUP(C455,STUDENTS!$A$5:$A$204,STUDENTS!$L$5:$L$204,""),"")</f>
        <v/>
      </c>
      <c r="F455" s="10" t="str">
        <f t="shared" si="22"/>
        <v/>
      </c>
      <c r="G455" s="8"/>
      <c r="H455" s="11" t="str">
        <f>IF(B455="","",IF(OR(F455="Saturday",F455="Sunday"),SETTINGS!$B$11,IF(G455="Vacation",SETTINGS!$B$13,0)))</f>
        <v/>
      </c>
      <c r="I455" s="12" t="str">
        <f t="shared" si="23"/>
        <v/>
      </c>
      <c r="J455" s="8"/>
    </row>
    <row r="456" spans="1:10" x14ac:dyDescent="0.2">
      <c r="A456" s="7" t="str">
        <f t="shared" si="21"/>
        <v/>
      </c>
      <c r="B456" s="9"/>
      <c r="C456" s="8"/>
      <c r="D456" s="10" t="str">
        <f ca="1">IFERROR(_xludf.XLOOKUP(C456,STUDENTS!$A$5:$A$204,STUDENTS!$C$5:$C$204,""),"")</f>
        <v/>
      </c>
      <c r="E456" s="10" t="str">
        <f ca="1">IFERROR(_xludf.XLOOKUP(C456,STUDENTS!$A$5:$A$204,STUDENTS!$L$5:$L$204,""),"")</f>
        <v/>
      </c>
      <c r="F456" s="10" t="str">
        <f t="shared" si="22"/>
        <v/>
      </c>
      <c r="G456" s="8"/>
      <c r="H456" s="11" t="str">
        <f>IF(B456="","",IF(OR(F456="Saturday",F456="Sunday"),SETTINGS!$B$11,IF(G456="Vacation",SETTINGS!$B$13,0)))</f>
        <v/>
      </c>
      <c r="I456" s="12" t="str">
        <f t="shared" si="23"/>
        <v/>
      </c>
      <c r="J456" s="8"/>
    </row>
    <row r="457" spans="1:10" x14ac:dyDescent="0.2">
      <c r="A457" s="7" t="str">
        <f t="shared" si="21"/>
        <v/>
      </c>
      <c r="B457" s="9"/>
      <c r="C457" s="8"/>
      <c r="D457" s="10" t="str">
        <f ca="1">IFERROR(_xludf.XLOOKUP(C457,STUDENTS!$A$5:$A$204,STUDENTS!$C$5:$C$204,""),"")</f>
        <v/>
      </c>
      <c r="E457" s="10" t="str">
        <f ca="1">IFERROR(_xludf.XLOOKUP(C457,STUDENTS!$A$5:$A$204,STUDENTS!$L$5:$L$204,""),"")</f>
        <v/>
      </c>
      <c r="F457" s="10" t="str">
        <f t="shared" si="22"/>
        <v/>
      </c>
      <c r="G457" s="8"/>
      <c r="H457" s="11" t="str">
        <f>IF(B457="","",IF(OR(F457="Saturday",F457="Sunday"),SETTINGS!$B$11,IF(G457="Vacation",SETTINGS!$B$13,0)))</f>
        <v/>
      </c>
      <c r="I457" s="12" t="str">
        <f t="shared" si="23"/>
        <v/>
      </c>
      <c r="J457" s="8"/>
    </row>
    <row r="458" spans="1:10" x14ac:dyDescent="0.2">
      <c r="A458" s="7" t="str">
        <f t="shared" si="21"/>
        <v/>
      </c>
      <c r="B458" s="9"/>
      <c r="C458" s="8"/>
      <c r="D458" s="10" t="str">
        <f ca="1">IFERROR(_xludf.XLOOKUP(C458,STUDENTS!$A$5:$A$204,STUDENTS!$C$5:$C$204,""),"")</f>
        <v/>
      </c>
      <c r="E458" s="10" t="str">
        <f ca="1">IFERROR(_xludf.XLOOKUP(C458,STUDENTS!$A$5:$A$204,STUDENTS!$L$5:$L$204,""),"")</f>
        <v/>
      </c>
      <c r="F458" s="10" t="str">
        <f t="shared" si="22"/>
        <v/>
      </c>
      <c r="G458" s="8"/>
      <c r="H458" s="11" t="str">
        <f>IF(B458="","",IF(OR(F458="Saturday",F458="Sunday"),SETTINGS!$B$11,IF(G458="Vacation",SETTINGS!$B$13,0)))</f>
        <v/>
      </c>
      <c r="I458" s="12" t="str">
        <f t="shared" si="23"/>
        <v/>
      </c>
      <c r="J458" s="8"/>
    </row>
    <row r="459" spans="1:10" x14ac:dyDescent="0.2">
      <c r="A459" s="7" t="str">
        <f t="shared" si="21"/>
        <v/>
      </c>
      <c r="B459" s="9"/>
      <c r="C459" s="8"/>
      <c r="D459" s="10" t="str">
        <f ca="1">IFERROR(_xludf.XLOOKUP(C459,STUDENTS!$A$5:$A$204,STUDENTS!$C$5:$C$204,""),"")</f>
        <v/>
      </c>
      <c r="E459" s="10" t="str">
        <f ca="1">IFERROR(_xludf.XLOOKUP(C459,STUDENTS!$A$5:$A$204,STUDENTS!$L$5:$L$204,""),"")</f>
        <v/>
      </c>
      <c r="F459" s="10" t="str">
        <f t="shared" si="22"/>
        <v/>
      </c>
      <c r="G459" s="8"/>
      <c r="H459" s="11" t="str">
        <f>IF(B459="","",IF(OR(F459="Saturday",F459="Sunday"),SETTINGS!$B$11,IF(G459="Vacation",SETTINGS!$B$13,0)))</f>
        <v/>
      </c>
      <c r="I459" s="12" t="str">
        <f t="shared" si="23"/>
        <v/>
      </c>
      <c r="J459" s="8"/>
    </row>
    <row r="460" spans="1:10" x14ac:dyDescent="0.2">
      <c r="A460" s="7" t="str">
        <f t="shared" si="21"/>
        <v/>
      </c>
      <c r="B460" s="9"/>
      <c r="C460" s="8"/>
      <c r="D460" s="10" t="str">
        <f ca="1">IFERROR(_xludf.XLOOKUP(C460,STUDENTS!$A$5:$A$204,STUDENTS!$C$5:$C$204,""),"")</f>
        <v/>
      </c>
      <c r="E460" s="10" t="str">
        <f ca="1">IFERROR(_xludf.XLOOKUP(C460,STUDENTS!$A$5:$A$204,STUDENTS!$L$5:$L$204,""),"")</f>
        <v/>
      </c>
      <c r="F460" s="10" t="str">
        <f t="shared" si="22"/>
        <v/>
      </c>
      <c r="G460" s="8"/>
      <c r="H460" s="11" t="str">
        <f>IF(B460="","",IF(OR(F460="Saturday",F460="Sunday"),SETTINGS!$B$11,IF(G460="Vacation",SETTINGS!$B$13,0)))</f>
        <v/>
      </c>
      <c r="I460" s="12" t="str">
        <f t="shared" si="23"/>
        <v/>
      </c>
      <c r="J460" s="8"/>
    </row>
    <row r="461" spans="1:10" x14ac:dyDescent="0.2">
      <c r="A461" s="7" t="str">
        <f t="shared" si="21"/>
        <v/>
      </c>
      <c r="B461" s="9"/>
      <c r="C461" s="8"/>
      <c r="D461" s="10" t="str">
        <f ca="1">IFERROR(_xludf.XLOOKUP(C461,STUDENTS!$A$5:$A$204,STUDENTS!$C$5:$C$204,""),"")</f>
        <v/>
      </c>
      <c r="E461" s="10" t="str">
        <f ca="1">IFERROR(_xludf.XLOOKUP(C461,STUDENTS!$A$5:$A$204,STUDENTS!$L$5:$L$204,""),"")</f>
        <v/>
      </c>
      <c r="F461" s="10" t="str">
        <f t="shared" si="22"/>
        <v/>
      </c>
      <c r="G461" s="8"/>
      <c r="H461" s="11" t="str">
        <f>IF(B461="","",IF(OR(F461="Saturday",F461="Sunday"),SETTINGS!$B$11,IF(G461="Vacation",SETTINGS!$B$13,0)))</f>
        <v/>
      </c>
      <c r="I461" s="12" t="str">
        <f t="shared" si="23"/>
        <v/>
      </c>
      <c r="J461" s="8"/>
    </row>
    <row r="462" spans="1:10" x14ac:dyDescent="0.2">
      <c r="A462" s="7" t="str">
        <f t="shared" si="21"/>
        <v/>
      </c>
      <c r="B462" s="9"/>
      <c r="C462" s="8"/>
      <c r="D462" s="10" t="str">
        <f ca="1">IFERROR(_xludf.XLOOKUP(C462,STUDENTS!$A$5:$A$204,STUDENTS!$C$5:$C$204,""),"")</f>
        <v/>
      </c>
      <c r="E462" s="10" t="str">
        <f ca="1">IFERROR(_xludf.XLOOKUP(C462,STUDENTS!$A$5:$A$204,STUDENTS!$L$5:$L$204,""),"")</f>
        <v/>
      </c>
      <c r="F462" s="10" t="str">
        <f t="shared" si="22"/>
        <v/>
      </c>
      <c r="G462" s="8"/>
      <c r="H462" s="11" t="str">
        <f>IF(B462="","",IF(OR(F462="Saturday",F462="Sunday"),SETTINGS!$B$11,IF(G462="Vacation",SETTINGS!$B$13,0)))</f>
        <v/>
      </c>
      <c r="I462" s="12" t="str">
        <f t="shared" si="23"/>
        <v/>
      </c>
      <c r="J462" s="8"/>
    </row>
    <row r="463" spans="1:10" x14ac:dyDescent="0.2">
      <c r="A463" s="7" t="str">
        <f t="shared" si="21"/>
        <v/>
      </c>
      <c r="B463" s="9"/>
      <c r="C463" s="8"/>
      <c r="D463" s="10" t="str">
        <f ca="1">IFERROR(_xludf.XLOOKUP(C463,STUDENTS!$A$5:$A$204,STUDENTS!$C$5:$C$204,""),"")</f>
        <v/>
      </c>
      <c r="E463" s="10" t="str">
        <f ca="1">IFERROR(_xludf.XLOOKUP(C463,STUDENTS!$A$5:$A$204,STUDENTS!$L$5:$L$204,""),"")</f>
        <v/>
      </c>
      <c r="F463" s="10" t="str">
        <f t="shared" si="22"/>
        <v/>
      </c>
      <c r="G463" s="8"/>
      <c r="H463" s="11" t="str">
        <f>IF(B463="","",IF(OR(F463="Saturday",F463="Sunday"),SETTINGS!$B$11,IF(G463="Vacation",SETTINGS!$B$13,0)))</f>
        <v/>
      </c>
      <c r="I463" s="12" t="str">
        <f t="shared" si="23"/>
        <v/>
      </c>
      <c r="J463" s="8"/>
    </row>
    <row r="464" spans="1:10" x14ac:dyDescent="0.2">
      <c r="A464" s="7" t="str">
        <f t="shared" si="21"/>
        <v/>
      </c>
      <c r="B464" s="9"/>
      <c r="C464" s="8"/>
      <c r="D464" s="10" t="str">
        <f ca="1">IFERROR(_xludf.XLOOKUP(C464,STUDENTS!$A$5:$A$204,STUDENTS!$C$5:$C$204,""),"")</f>
        <v/>
      </c>
      <c r="E464" s="10" t="str">
        <f ca="1">IFERROR(_xludf.XLOOKUP(C464,STUDENTS!$A$5:$A$204,STUDENTS!$L$5:$L$204,""),"")</f>
        <v/>
      </c>
      <c r="F464" s="10" t="str">
        <f t="shared" si="22"/>
        <v/>
      </c>
      <c r="G464" s="8"/>
      <c r="H464" s="11" t="str">
        <f>IF(B464="","",IF(OR(F464="Saturday",F464="Sunday"),SETTINGS!$B$11,IF(G464="Vacation",SETTINGS!$B$13,0)))</f>
        <v/>
      </c>
      <c r="I464" s="12" t="str">
        <f t="shared" si="23"/>
        <v/>
      </c>
      <c r="J464" s="8"/>
    </row>
    <row r="465" spans="1:10" x14ac:dyDescent="0.2">
      <c r="A465" s="7" t="str">
        <f t="shared" si="21"/>
        <v/>
      </c>
      <c r="B465" s="9"/>
      <c r="C465" s="8"/>
      <c r="D465" s="10" t="str">
        <f ca="1">IFERROR(_xludf.XLOOKUP(C465,STUDENTS!$A$5:$A$204,STUDENTS!$C$5:$C$204,""),"")</f>
        <v/>
      </c>
      <c r="E465" s="10" t="str">
        <f ca="1">IFERROR(_xludf.XLOOKUP(C465,STUDENTS!$A$5:$A$204,STUDENTS!$L$5:$L$204,""),"")</f>
        <v/>
      </c>
      <c r="F465" s="10" t="str">
        <f t="shared" si="22"/>
        <v/>
      </c>
      <c r="G465" s="8"/>
      <c r="H465" s="11" t="str">
        <f>IF(B465="","",IF(OR(F465="Saturday",F465="Sunday"),SETTINGS!$B$11,IF(G465="Vacation",SETTINGS!$B$13,0)))</f>
        <v/>
      </c>
      <c r="I465" s="12" t="str">
        <f t="shared" si="23"/>
        <v/>
      </c>
      <c r="J465" s="8"/>
    </row>
    <row r="466" spans="1:10" x14ac:dyDescent="0.2">
      <c r="A466" s="7" t="str">
        <f t="shared" si="21"/>
        <v/>
      </c>
      <c r="B466" s="9"/>
      <c r="C466" s="8"/>
      <c r="D466" s="10" t="str">
        <f ca="1">IFERROR(_xludf.XLOOKUP(C466,STUDENTS!$A$5:$A$204,STUDENTS!$C$5:$C$204,""),"")</f>
        <v/>
      </c>
      <c r="E466" s="10" t="str">
        <f ca="1">IFERROR(_xludf.XLOOKUP(C466,STUDENTS!$A$5:$A$204,STUDENTS!$L$5:$L$204,""),"")</f>
        <v/>
      </c>
      <c r="F466" s="10" t="str">
        <f t="shared" si="22"/>
        <v/>
      </c>
      <c r="G466" s="8"/>
      <c r="H466" s="11" t="str">
        <f>IF(B466="","",IF(OR(F466="Saturday",F466="Sunday"),SETTINGS!$B$11,IF(G466="Vacation",SETTINGS!$B$13,0)))</f>
        <v/>
      </c>
      <c r="I466" s="12" t="str">
        <f t="shared" si="23"/>
        <v/>
      </c>
      <c r="J466" s="8"/>
    </row>
    <row r="467" spans="1:10" x14ac:dyDescent="0.2">
      <c r="A467" s="7" t="str">
        <f t="shared" si="21"/>
        <v/>
      </c>
      <c r="B467" s="9"/>
      <c r="C467" s="8"/>
      <c r="D467" s="10" t="str">
        <f ca="1">IFERROR(_xludf.XLOOKUP(C467,STUDENTS!$A$5:$A$204,STUDENTS!$C$5:$C$204,""),"")</f>
        <v/>
      </c>
      <c r="E467" s="10" t="str">
        <f ca="1">IFERROR(_xludf.XLOOKUP(C467,STUDENTS!$A$5:$A$204,STUDENTS!$L$5:$L$204,""),"")</f>
        <v/>
      </c>
      <c r="F467" s="10" t="str">
        <f t="shared" si="22"/>
        <v/>
      </c>
      <c r="G467" s="8"/>
      <c r="H467" s="11" t="str">
        <f>IF(B467="","",IF(OR(F467="Saturday",F467="Sunday"),SETTINGS!$B$11,IF(G467="Vacation",SETTINGS!$B$13,0)))</f>
        <v/>
      </c>
      <c r="I467" s="12" t="str">
        <f t="shared" si="23"/>
        <v/>
      </c>
      <c r="J467" s="8"/>
    </row>
    <row r="468" spans="1:10" x14ac:dyDescent="0.2">
      <c r="A468" s="7" t="str">
        <f t="shared" si="21"/>
        <v/>
      </c>
      <c r="B468" s="9"/>
      <c r="C468" s="8"/>
      <c r="D468" s="10" t="str">
        <f ca="1">IFERROR(_xludf.XLOOKUP(C468,STUDENTS!$A$5:$A$204,STUDENTS!$C$5:$C$204,""),"")</f>
        <v/>
      </c>
      <c r="E468" s="10" t="str">
        <f ca="1">IFERROR(_xludf.XLOOKUP(C468,STUDENTS!$A$5:$A$204,STUDENTS!$L$5:$L$204,""),"")</f>
        <v/>
      </c>
      <c r="F468" s="10" t="str">
        <f t="shared" si="22"/>
        <v/>
      </c>
      <c r="G468" s="8"/>
      <c r="H468" s="11" t="str">
        <f>IF(B468="","",IF(OR(F468="Saturday",F468="Sunday"),SETTINGS!$B$11,IF(G468="Vacation",SETTINGS!$B$13,0)))</f>
        <v/>
      </c>
      <c r="I468" s="12" t="str">
        <f t="shared" si="23"/>
        <v/>
      </c>
      <c r="J468" s="8"/>
    </row>
    <row r="469" spans="1:10" x14ac:dyDescent="0.2">
      <c r="A469" s="7" t="str">
        <f t="shared" si="21"/>
        <v/>
      </c>
      <c r="B469" s="9"/>
      <c r="C469" s="8"/>
      <c r="D469" s="10" t="str">
        <f ca="1">IFERROR(_xludf.XLOOKUP(C469,STUDENTS!$A$5:$A$204,STUDENTS!$C$5:$C$204,""),"")</f>
        <v/>
      </c>
      <c r="E469" s="10" t="str">
        <f ca="1">IFERROR(_xludf.XLOOKUP(C469,STUDENTS!$A$5:$A$204,STUDENTS!$L$5:$L$204,""),"")</f>
        <v/>
      </c>
      <c r="F469" s="10" t="str">
        <f t="shared" si="22"/>
        <v/>
      </c>
      <c r="G469" s="8"/>
      <c r="H469" s="11" t="str">
        <f>IF(B469="","",IF(OR(F469="Saturday",F469="Sunday"),SETTINGS!$B$11,IF(G469="Vacation",SETTINGS!$B$13,0)))</f>
        <v/>
      </c>
      <c r="I469" s="12" t="str">
        <f t="shared" si="23"/>
        <v/>
      </c>
      <c r="J469" s="8"/>
    </row>
    <row r="470" spans="1:10" x14ac:dyDescent="0.2">
      <c r="A470" s="7" t="str">
        <f t="shared" si="21"/>
        <v/>
      </c>
      <c r="B470" s="9"/>
      <c r="C470" s="8"/>
      <c r="D470" s="10" t="str">
        <f ca="1">IFERROR(_xludf.XLOOKUP(C470,STUDENTS!$A$5:$A$204,STUDENTS!$C$5:$C$204,""),"")</f>
        <v/>
      </c>
      <c r="E470" s="10" t="str">
        <f ca="1">IFERROR(_xludf.XLOOKUP(C470,STUDENTS!$A$5:$A$204,STUDENTS!$L$5:$L$204,""),"")</f>
        <v/>
      </c>
      <c r="F470" s="10" t="str">
        <f t="shared" si="22"/>
        <v/>
      </c>
      <c r="G470" s="8"/>
      <c r="H470" s="11" t="str">
        <f>IF(B470="","",IF(OR(F470="Saturday",F470="Sunday"),SETTINGS!$B$11,IF(G470="Vacation",SETTINGS!$B$13,0)))</f>
        <v/>
      </c>
      <c r="I470" s="12" t="str">
        <f t="shared" si="23"/>
        <v/>
      </c>
      <c r="J470" s="8"/>
    </row>
    <row r="471" spans="1:10" x14ac:dyDescent="0.2">
      <c r="A471" s="7" t="str">
        <f t="shared" si="21"/>
        <v/>
      </c>
      <c r="B471" s="9"/>
      <c r="C471" s="8"/>
      <c r="D471" s="10" t="str">
        <f ca="1">IFERROR(_xludf.XLOOKUP(C471,STUDENTS!$A$5:$A$204,STUDENTS!$C$5:$C$204,""),"")</f>
        <v/>
      </c>
      <c r="E471" s="10" t="str">
        <f ca="1">IFERROR(_xludf.XLOOKUP(C471,STUDENTS!$A$5:$A$204,STUDENTS!$L$5:$L$204,""),"")</f>
        <v/>
      </c>
      <c r="F471" s="10" t="str">
        <f t="shared" si="22"/>
        <v/>
      </c>
      <c r="G471" s="8"/>
      <c r="H471" s="11" t="str">
        <f>IF(B471="","",IF(OR(F471="Saturday",F471="Sunday"),SETTINGS!$B$11,IF(G471="Vacation",SETTINGS!$B$13,0)))</f>
        <v/>
      </c>
      <c r="I471" s="12" t="str">
        <f t="shared" si="23"/>
        <v/>
      </c>
      <c r="J471" s="8"/>
    </row>
    <row r="472" spans="1:10" x14ac:dyDescent="0.2">
      <c r="A472" s="7" t="str">
        <f t="shared" si="21"/>
        <v/>
      </c>
      <c r="B472" s="9"/>
      <c r="C472" s="8"/>
      <c r="D472" s="10" t="str">
        <f ca="1">IFERROR(_xludf.XLOOKUP(C472,STUDENTS!$A$5:$A$204,STUDENTS!$C$5:$C$204,""),"")</f>
        <v/>
      </c>
      <c r="E472" s="10" t="str">
        <f ca="1">IFERROR(_xludf.XLOOKUP(C472,STUDENTS!$A$5:$A$204,STUDENTS!$L$5:$L$204,""),"")</f>
        <v/>
      </c>
      <c r="F472" s="10" t="str">
        <f t="shared" si="22"/>
        <v/>
      </c>
      <c r="G472" s="8"/>
      <c r="H472" s="11" t="str">
        <f>IF(B472="","",IF(OR(F472="Saturday",F472="Sunday"),SETTINGS!$B$11,IF(G472="Vacation",SETTINGS!$B$13,0)))</f>
        <v/>
      </c>
      <c r="I472" s="12" t="str">
        <f t="shared" si="23"/>
        <v/>
      </c>
      <c r="J472" s="8"/>
    </row>
    <row r="473" spans="1:10" x14ac:dyDescent="0.2">
      <c r="A473" s="7" t="str">
        <f t="shared" si="21"/>
        <v/>
      </c>
      <c r="B473" s="9"/>
      <c r="C473" s="8"/>
      <c r="D473" s="10" t="str">
        <f ca="1">IFERROR(_xludf.XLOOKUP(C473,STUDENTS!$A$5:$A$204,STUDENTS!$C$5:$C$204,""),"")</f>
        <v/>
      </c>
      <c r="E473" s="10" t="str">
        <f ca="1">IFERROR(_xludf.XLOOKUP(C473,STUDENTS!$A$5:$A$204,STUDENTS!$L$5:$L$204,""),"")</f>
        <v/>
      </c>
      <c r="F473" s="10" t="str">
        <f t="shared" si="22"/>
        <v/>
      </c>
      <c r="G473" s="8"/>
      <c r="H473" s="11" t="str">
        <f>IF(B473="","",IF(OR(F473="Saturday",F473="Sunday"),SETTINGS!$B$11,IF(G473="Vacation",SETTINGS!$B$13,0)))</f>
        <v/>
      </c>
      <c r="I473" s="12" t="str">
        <f t="shared" si="23"/>
        <v/>
      </c>
      <c r="J473" s="8"/>
    </row>
    <row r="474" spans="1:10" x14ac:dyDescent="0.2">
      <c r="A474" s="7" t="str">
        <f t="shared" si="21"/>
        <v/>
      </c>
      <c r="B474" s="9"/>
      <c r="C474" s="8"/>
      <c r="D474" s="10" t="str">
        <f ca="1">IFERROR(_xludf.XLOOKUP(C474,STUDENTS!$A$5:$A$204,STUDENTS!$C$5:$C$204,""),"")</f>
        <v/>
      </c>
      <c r="E474" s="10" t="str">
        <f ca="1">IFERROR(_xludf.XLOOKUP(C474,STUDENTS!$A$5:$A$204,STUDENTS!$L$5:$L$204,""),"")</f>
        <v/>
      </c>
      <c r="F474" s="10" t="str">
        <f t="shared" si="22"/>
        <v/>
      </c>
      <c r="G474" s="8"/>
      <c r="H474" s="11" t="str">
        <f>IF(B474="","",IF(OR(F474="Saturday",F474="Sunday"),SETTINGS!$B$11,IF(G474="Vacation",SETTINGS!$B$13,0)))</f>
        <v/>
      </c>
      <c r="I474" s="12" t="str">
        <f t="shared" si="23"/>
        <v/>
      </c>
      <c r="J474" s="8"/>
    </row>
    <row r="475" spans="1:10" x14ac:dyDescent="0.2">
      <c r="A475" s="7" t="str">
        <f t="shared" si="21"/>
        <v/>
      </c>
      <c r="B475" s="9"/>
      <c r="C475" s="8"/>
      <c r="D475" s="10" t="str">
        <f ca="1">IFERROR(_xludf.XLOOKUP(C475,STUDENTS!$A$5:$A$204,STUDENTS!$C$5:$C$204,""),"")</f>
        <v/>
      </c>
      <c r="E475" s="10" t="str">
        <f ca="1">IFERROR(_xludf.XLOOKUP(C475,STUDENTS!$A$5:$A$204,STUDENTS!$L$5:$L$204,""),"")</f>
        <v/>
      </c>
      <c r="F475" s="10" t="str">
        <f t="shared" si="22"/>
        <v/>
      </c>
      <c r="G475" s="8"/>
      <c r="H475" s="11" t="str">
        <f>IF(B475="","",IF(OR(F475="Saturday",F475="Sunday"),SETTINGS!$B$11,IF(G475="Vacation",SETTINGS!$B$13,0)))</f>
        <v/>
      </c>
      <c r="I475" s="12" t="str">
        <f t="shared" si="23"/>
        <v/>
      </c>
      <c r="J475" s="8"/>
    </row>
    <row r="476" spans="1:10" x14ac:dyDescent="0.2">
      <c r="A476" s="7" t="str">
        <f t="shared" si="21"/>
        <v/>
      </c>
      <c r="B476" s="9"/>
      <c r="C476" s="8"/>
      <c r="D476" s="10" t="str">
        <f ca="1">IFERROR(_xludf.XLOOKUP(C476,STUDENTS!$A$5:$A$204,STUDENTS!$C$5:$C$204,""),"")</f>
        <v/>
      </c>
      <c r="E476" s="10" t="str">
        <f ca="1">IFERROR(_xludf.XLOOKUP(C476,STUDENTS!$A$5:$A$204,STUDENTS!$L$5:$L$204,""),"")</f>
        <v/>
      </c>
      <c r="F476" s="10" t="str">
        <f t="shared" si="22"/>
        <v/>
      </c>
      <c r="G476" s="8"/>
      <c r="H476" s="11" t="str">
        <f>IF(B476="","",IF(OR(F476="Saturday",F476="Sunday"),SETTINGS!$B$11,IF(G476="Vacation",SETTINGS!$B$13,0)))</f>
        <v/>
      </c>
      <c r="I476" s="12" t="str">
        <f t="shared" si="23"/>
        <v/>
      </c>
      <c r="J476" s="8"/>
    </row>
    <row r="477" spans="1:10" x14ac:dyDescent="0.2">
      <c r="A477" s="7" t="str">
        <f t="shared" si="21"/>
        <v/>
      </c>
      <c r="B477" s="9"/>
      <c r="C477" s="8"/>
      <c r="D477" s="10" t="str">
        <f ca="1">IFERROR(_xludf.XLOOKUP(C477,STUDENTS!$A$5:$A$204,STUDENTS!$C$5:$C$204,""),"")</f>
        <v/>
      </c>
      <c r="E477" s="10" t="str">
        <f ca="1">IFERROR(_xludf.XLOOKUP(C477,STUDENTS!$A$5:$A$204,STUDENTS!$L$5:$L$204,""),"")</f>
        <v/>
      </c>
      <c r="F477" s="10" t="str">
        <f t="shared" si="22"/>
        <v/>
      </c>
      <c r="G477" s="8"/>
      <c r="H477" s="11" t="str">
        <f>IF(B477="","",IF(OR(F477="Saturday",F477="Sunday"),SETTINGS!$B$11,IF(G477="Vacation",SETTINGS!$B$13,0)))</f>
        <v/>
      </c>
      <c r="I477" s="12" t="str">
        <f t="shared" si="23"/>
        <v/>
      </c>
      <c r="J477" s="8"/>
    </row>
    <row r="478" spans="1:10" x14ac:dyDescent="0.2">
      <c r="A478" s="7" t="str">
        <f t="shared" si="21"/>
        <v/>
      </c>
      <c r="B478" s="9"/>
      <c r="C478" s="8"/>
      <c r="D478" s="10" t="str">
        <f ca="1">IFERROR(_xludf.XLOOKUP(C478,STUDENTS!$A$5:$A$204,STUDENTS!$C$5:$C$204,""),"")</f>
        <v/>
      </c>
      <c r="E478" s="10" t="str">
        <f ca="1">IFERROR(_xludf.XLOOKUP(C478,STUDENTS!$A$5:$A$204,STUDENTS!$L$5:$L$204,""),"")</f>
        <v/>
      </c>
      <c r="F478" s="10" t="str">
        <f t="shared" si="22"/>
        <v/>
      </c>
      <c r="G478" s="8"/>
      <c r="H478" s="11" t="str">
        <f>IF(B478="","",IF(OR(F478="Saturday",F478="Sunday"),SETTINGS!$B$11,IF(G478="Vacation",SETTINGS!$B$13,0)))</f>
        <v/>
      </c>
      <c r="I478" s="12" t="str">
        <f t="shared" si="23"/>
        <v/>
      </c>
      <c r="J478" s="8"/>
    </row>
    <row r="479" spans="1:10" x14ac:dyDescent="0.2">
      <c r="A479" s="7" t="str">
        <f t="shared" si="21"/>
        <v/>
      </c>
      <c r="B479" s="9"/>
      <c r="C479" s="8"/>
      <c r="D479" s="10" t="str">
        <f ca="1">IFERROR(_xludf.XLOOKUP(C479,STUDENTS!$A$5:$A$204,STUDENTS!$C$5:$C$204,""),"")</f>
        <v/>
      </c>
      <c r="E479" s="10" t="str">
        <f ca="1">IFERROR(_xludf.XLOOKUP(C479,STUDENTS!$A$5:$A$204,STUDENTS!$L$5:$L$204,""),"")</f>
        <v/>
      </c>
      <c r="F479" s="10" t="str">
        <f t="shared" si="22"/>
        <v/>
      </c>
      <c r="G479" s="8"/>
      <c r="H479" s="11" t="str">
        <f>IF(B479="","",IF(OR(F479="Saturday",F479="Sunday"),SETTINGS!$B$11,IF(G479="Vacation",SETTINGS!$B$13,0)))</f>
        <v/>
      </c>
      <c r="I479" s="12" t="str">
        <f t="shared" si="23"/>
        <v/>
      </c>
      <c r="J479" s="8"/>
    </row>
    <row r="480" spans="1:10" x14ac:dyDescent="0.2">
      <c r="A480" s="7" t="str">
        <f t="shared" si="21"/>
        <v/>
      </c>
      <c r="B480" s="9"/>
      <c r="C480" s="8"/>
      <c r="D480" s="10" t="str">
        <f ca="1">IFERROR(_xludf.XLOOKUP(C480,STUDENTS!$A$5:$A$204,STUDENTS!$C$5:$C$204,""),"")</f>
        <v/>
      </c>
      <c r="E480" s="10" t="str">
        <f ca="1">IFERROR(_xludf.XLOOKUP(C480,STUDENTS!$A$5:$A$204,STUDENTS!$L$5:$L$204,""),"")</f>
        <v/>
      </c>
      <c r="F480" s="10" t="str">
        <f t="shared" si="22"/>
        <v/>
      </c>
      <c r="G480" s="8"/>
      <c r="H480" s="11" t="str">
        <f>IF(B480="","",IF(OR(F480="Saturday",F480="Sunday"),SETTINGS!$B$11,IF(G480="Vacation",SETTINGS!$B$13,0)))</f>
        <v/>
      </c>
      <c r="I480" s="12" t="str">
        <f t="shared" si="23"/>
        <v/>
      </c>
      <c r="J480" s="8"/>
    </row>
    <row r="481" spans="1:10" x14ac:dyDescent="0.2">
      <c r="A481" s="7" t="str">
        <f t="shared" si="21"/>
        <v/>
      </c>
      <c r="B481" s="9"/>
      <c r="C481" s="8"/>
      <c r="D481" s="10" t="str">
        <f ca="1">IFERROR(_xludf.XLOOKUP(C481,STUDENTS!$A$5:$A$204,STUDENTS!$C$5:$C$204,""),"")</f>
        <v/>
      </c>
      <c r="E481" s="10" t="str">
        <f ca="1">IFERROR(_xludf.XLOOKUP(C481,STUDENTS!$A$5:$A$204,STUDENTS!$L$5:$L$204,""),"")</f>
        <v/>
      </c>
      <c r="F481" s="10" t="str">
        <f t="shared" si="22"/>
        <v/>
      </c>
      <c r="G481" s="8"/>
      <c r="H481" s="11" t="str">
        <f>IF(B481="","",IF(OR(F481="Saturday",F481="Sunday"),SETTINGS!$B$11,IF(G481="Vacation",SETTINGS!$B$13,0)))</f>
        <v/>
      </c>
      <c r="I481" s="12" t="str">
        <f t="shared" si="23"/>
        <v/>
      </c>
      <c r="J481" s="8"/>
    </row>
    <row r="482" spans="1:10" x14ac:dyDescent="0.2">
      <c r="A482" s="7" t="str">
        <f t="shared" si="21"/>
        <v/>
      </c>
      <c r="B482" s="9"/>
      <c r="C482" s="8"/>
      <c r="D482" s="10" t="str">
        <f ca="1">IFERROR(_xludf.XLOOKUP(C482,STUDENTS!$A$5:$A$204,STUDENTS!$C$5:$C$204,""),"")</f>
        <v/>
      </c>
      <c r="E482" s="10" t="str">
        <f ca="1">IFERROR(_xludf.XLOOKUP(C482,STUDENTS!$A$5:$A$204,STUDENTS!$L$5:$L$204,""),"")</f>
        <v/>
      </c>
      <c r="F482" s="10" t="str">
        <f t="shared" si="22"/>
        <v/>
      </c>
      <c r="G482" s="8"/>
      <c r="H482" s="11" t="str">
        <f>IF(B482="","",IF(OR(F482="Saturday",F482="Sunday"),SETTINGS!$B$11,IF(G482="Vacation",SETTINGS!$B$13,0)))</f>
        <v/>
      </c>
      <c r="I482" s="12" t="str">
        <f t="shared" si="23"/>
        <v/>
      </c>
      <c r="J482" s="8"/>
    </row>
    <row r="483" spans="1:10" x14ac:dyDescent="0.2">
      <c r="A483" s="7" t="str">
        <f t="shared" si="21"/>
        <v/>
      </c>
      <c r="B483" s="9"/>
      <c r="C483" s="8"/>
      <c r="D483" s="10" t="str">
        <f ca="1">IFERROR(_xludf.XLOOKUP(C483,STUDENTS!$A$5:$A$204,STUDENTS!$C$5:$C$204,""),"")</f>
        <v/>
      </c>
      <c r="E483" s="10" t="str">
        <f ca="1">IFERROR(_xludf.XLOOKUP(C483,STUDENTS!$A$5:$A$204,STUDENTS!$L$5:$L$204,""),"")</f>
        <v/>
      </c>
      <c r="F483" s="10" t="str">
        <f t="shared" si="22"/>
        <v/>
      </c>
      <c r="G483" s="8"/>
      <c r="H483" s="11" t="str">
        <f>IF(B483="","",IF(OR(F483="Saturday",F483="Sunday"),SETTINGS!$B$11,IF(G483="Vacation",SETTINGS!$B$13,0)))</f>
        <v/>
      </c>
      <c r="I483" s="12" t="str">
        <f t="shared" si="23"/>
        <v/>
      </c>
      <c r="J483" s="8"/>
    </row>
    <row r="484" spans="1:10" x14ac:dyDescent="0.2">
      <c r="A484" s="7" t="str">
        <f t="shared" si="21"/>
        <v/>
      </c>
      <c r="B484" s="9"/>
      <c r="C484" s="8"/>
      <c r="D484" s="10" t="str">
        <f ca="1">IFERROR(_xludf.XLOOKUP(C484,STUDENTS!$A$5:$A$204,STUDENTS!$C$5:$C$204,""),"")</f>
        <v/>
      </c>
      <c r="E484" s="10" t="str">
        <f ca="1">IFERROR(_xludf.XLOOKUP(C484,STUDENTS!$A$5:$A$204,STUDENTS!$L$5:$L$204,""),"")</f>
        <v/>
      </c>
      <c r="F484" s="10" t="str">
        <f t="shared" si="22"/>
        <v/>
      </c>
      <c r="G484" s="8"/>
      <c r="H484" s="11" t="str">
        <f>IF(B484="","",IF(OR(F484="Saturday",F484="Sunday"),SETTINGS!$B$11,IF(G484="Vacation",SETTINGS!$B$13,0)))</f>
        <v/>
      </c>
      <c r="I484" s="12" t="str">
        <f t="shared" si="23"/>
        <v/>
      </c>
      <c r="J484" s="8"/>
    </row>
    <row r="485" spans="1:10" x14ac:dyDescent="0.2">
      <c r="A485" s="7" t="str">
        <f t="shared" si="21"/>
        <v/>
      </c>
      <c r="B485" s="9"/>
      <c r="C485" s="8"/>
      <c r="D485" s="10" t="str">
        <f ca="1">IFERROR(_xludf.XLOOKUP(C485,STUDENTS!$A$5:$A$204,STUDENTS!$C$5:$C$204,""),"")</f>
        <v/>
      </c>
      <c r="E485" s="10" t="str">
        <f ca="1">IFERROR(_xludf.XLOOKUP(C485,STUDENTS!$A$5:$A$204,STUDENTS!$L$5:$L$204,""),"")</f>
        <v/>
      </c>
      <c r="F485" s="10" t="str">
        <f t="shared" si="22"/>
        <v/>
      </c>
      <c r="G485" s="8"/>
      <c r="H485" s="11" t="str">
        <f>IF(B485="","",IF(OR(F485="Saturday",F485="Sunday"),SETTINGS!$B$11,IF(G485="Vacation",SETTINGS!$B$13,0)))</f>
        <v/>
      </c>
      <c r="I485" s="12" t="str">
        <f t="shared" si="23"/>
        <v/>
      </c>
      <c r="J485" s="8"/>
    </row>
    <row r="486" spans="1:10" x14ac:dyDescent="0.2">
      <c r="A486" s="7" t="str">
        <f t="shared" si="21"/>
        <v/>
      </c>
      <c r="B486" s="9"/>
      <c r="C486" s="8"/>
      <c r="D486" s="10" t="str">
        <f ca="1">IFERROR(_xludf.XLOOKUP(C486,STUDENTS!$A$5:$A$204,STUDENTS!$C$5:$C$204,""),"")</f>
        <v/>
      </c>
      <c r="E486" s="10" t="str">
        <f ca="1">IFERROR(_xludf.XLOOKUP(C486,STUDENTS!$A$5:$A$204,STUDENTS!$L$5:$L$204,""),"")</f>
        <v/>
      </c>
      <c r="F486" s="10" t="str">
        <f t="shared" si="22"/>
        <v/>
      </c>
      <c r="G486" s="8"/>
      <c r="H486" s="11" t="str">
        <f>IF(B486="","",IF(OR(F486="Saturday",F486="Sunday"),SETTINGS!$B$11,IF(G486="Vacation",SETTINGS!$B$13,0)))</f>
        <v/>
      </c>
      <c r="I486" s="12" t="str">
        <f t="shared" si="23"/>
        <v/>
      </c>
      <c r="J486" s="8"/>
    </row>
    <row r="487" spans="1:10" x14ac:dyDescent="0.2">
      <c r="A487" s="7" t="str">
        <f t="shared" si="21"/>
        <v/>
      </c>
      <c r="B487" s="9"/>
      <c r="C487" s="8"/>
      <c r="D487" s="10" t="str">
        <f ca="1">IFERROR(_xludf.XLOOKUP(C487,STUDENTS!$A$5:$A$204,STUDENTS!$C$5:$C$204,""),"")</f>
        <v/>
      </c>
      <c r="E487" s="10" t="str">
        <f ca="1">IFERROR(_xludf.XLOOKUP(C487,STUDENTS!$A$5:$A$204,STUDENTS!$L$5:$L$204,""),"")</f>
        <v/>
      </c>
      <c r="F487" s="10" t="str">
        <f t="shared" si="22"/>
        <v/>
      </c>
      <c r="G487" s="8"/>
      <c r="H487" s="11" t="str">
        <f>IF(B487="","",IF(OR(F487="Saturday",F487="Sunday"),SETTINGS!$B$11,IF(G487="Vacation",SETTINGS!$B$13,0)))</f>
        <v/>
      </c>
      <c r="I487" s="12" t="str">
        <f t="shared" si="23"/>
        <v/>
      </c>
      <c r="J487" s="8"/>
    </row>
    <row r="488" spans="1:10" x14ac:dyDescent="0.2">
      <c r="A488" s="7" t="str">
        <f t="shared" si="21"/>
        <v/>
      </c>
      <c r="B488" s="9"/>
      <c r="C488" s="8"/>
      <c r="D488" s="10" t="str">
        <f ca="1">IFERROR(_xludf.XLOOKUP(C488,STUDENTS!$A$5:$A$204,STUDENTS!$C$5:$C$204,""),"")</f>
        <v/>
      </c>
      <c r="E488" s="10" t="str">
        <f ca="1">IFERROR(_xludf.XLOOKUP(C488,STUDENTS!$A$5:$A$204,STUDENTS!$L$5:$L$204,""),"")</f>
        <v/>
      </c>
      <c r="F488" s="10" t="str">
        <f t="shared" si="22"/>
        <v/>
      </c>
      <c r="G488" s="8"/>
      <c r="H488" s="11" t="str">
        <f>IF(B488="","",IF(OR(F488="Saturday",F488="Sunday"),SETTINGS!$B$11,IF(G488="Vacation",SETTINGS!$B$13,0)))</f>
        <v/>
      </c>
      <c r="I488" s="12" t="str">
        <f t="shared" si="23"/>
        <v/>
      </c>
      <c r="J488" s="8"/>
    </row>
    <row r="489" spans="1:10" x14ac:dyDescent="0.2">
      <c r="A489" s="7" t="str">
        <f t="shared" si="21"/>
        <v/>
      </c>
      <c r="B489" s="9"/>
      <c r="C489" s="8"/>
      <c r="D489" s="10" t="str">
        <f ca="1">IFERROR(_xludf.XLOOKUP(C489,STUDENTS!$A$5:$A$204,STUDENTS!$C$5:$C$204,""),"")</f>
        <v/>
      </c>
      <c r="E489" s="10" t="str">
        <f ca="1">IFERROR(_xludf.XLOOKUP(C489,STUDENTS!$A$5:$A$204,STUDENTS!$L$5:$L$204,""),"")</f>
        <v/>
      </c>
      <c r="F489" s="10" t="str">
        <f t="shared" si="22"/>
        <v/>
      </c>
      <c r="G489" s="8"/>
      <c r="H489" s="11" t="str">
        <f>IF(B489="","",IF(OR(F489="Saturday",F489="Sunday"),SETTINGS!$B$11,IF(G489="Vacation",SETTINGS!$B$13,0)))</f>
        <v/>
      </c>
      <c r="I489" s="12" t="str">
        <f t="shared" si="23"/>
        <v/>
      </c>
      <c r="J489" s="8"/>
    </row>
    <row r="490" spans="1:10" x14ac:dyDescent="0.2">
      <c r="A490" s="7" t="str">
        <f t="shared" si="21"/>
        <v/>
      </c>
      <c r="B490" s="9"/>
      <c r="C490" s="8"/>
      <c r="D490" s="10" t="str">
        <f ca="1">IFERROR(_xludf.XLOOKUP(C490,STUDENTS!$A$5:$A$204,STUDENTS!$C$5:$C$204,""),"")</f>
        <v/>
      </c>
      <c r="E490" s="10" t="str">
        <f ca="1">IFERROR(_xludf.XLOOKUP(C490,STUDENTS!$A$5:$A$204,STUDENTS!$L$5:$L$204,""),"")</f>
        <v/>
      </c>
      <c r="F490" s="10" t="str">
        <f t="shared" si="22"/>
        <v/>
      </c>
      <c r="G490" s="8"/>
      <c r="H490" s="11" t="str">
        <f>IF(B490="","",IF(OR(F490="Saturday",F490="Sunday"),SETTINGS!$B$11,IF(G490="Vacation",SETTINGS!$B$13,0)))</f>
        <v/>
      </c>
      <c r="I490" s="12" t="str">
        <f t="shared" si="23"/>
        <v/>
      </c>
      <c r="J490" s="8"/>
    </row>
    <row r="491" spans="1:10" x14ac:dyDescent="0.2">
      <c r="A491" s="7" t="str">
        <f t="shared" si="21"/>
        <v/>
      </c>
      <c r="B491" s="9"/>
      <c r="C491" s="8"/>
      <c r="D491" s="10" t="str">
        <f ca="1">IFERROR(_xludf.XLOOKUP(C491,STUDENTS!$A$5:$A$204,STUDENTS!$C$5:$C$204,""),"")</f>
        <v/>
      </c>
      <c r="E491" s="10" t="str">
        <f ca="1">IFERROR(_xludf.XLOOKUP(C491,STUDENTS!$A$5:$A$204,STUDENTS!$L$5:$L$204,""),"")</f>
        <v/>
      </c>
      <c r="F491" s="10" t="str">
        <f t="shared" si="22"/>
        <v/>
      </c>
      <c r="G491" s="8"/>
      <c r="H491" s="11" t="str">
        <f>IF(B491="","",IF(OR(F491="Saturday",F491="Sunday"),SETTINGS!$B$11,IF(G491="Vacation",SETTINGS!$B$13,0)))</f>
        <v/>
      </c>
      <c r="I491" s="12" t="str">
        <f t="shared" si="23"/>
        <v/>
      </c>
      <c r="J491" s="8"/>
    </row>
    <row r="492" spans="1:10" x14ac:dyDescent="0.2">
      <c r="A492" s="7" t="str">
        <f t="shared" si="21"/>
        <v/>
      </c>
      <c r="B492" s="9"/>
      <c r="C492" s="8"/>
      <c r="D492" s="10" t="str">
        <f ca="1">IFERROR(_xludf.XLOOKUP(C492,STUDENTS!$A$5:$A$204,STUDENTS!$C$5:$C$204,""),"")</f>
        <v/>
      </c>
      <c r="E492" s="10" t="str">
        <f ca="1">IFERROR(_xludf.XLOOKUP(C492,STUDENTS!$A$5:$A$204,STUDENTS!$L$5:$L$204,""),"")</f>
        <v/>
      </c>
      <c r="F492" s="10" t="str">
        <f t="shared" si="22"/>
        <v/>
      </c>
      <c r="G492" s="8"/>
      <c r="H492" s="11" t="str">
        <f>IF(B492="","",IF(OR(F492="Saturday",F492="Sunday"),SETTINGS!$B$11,IF(G492="Vacation",SETTINGS!$B$13,0)))</f>
        <v/>
      </c>
      <c r="I492" s="12" t="str">
        <f t="shared" si="23"/>
        <v/>
      </c>
      <c r="J492" s="8"/>
    </row>
    <row r="493" spans="1:10" x14ac:dyDescent="0.2">
      <c r="A493" s="7" t="str">
        <f t="shared" si="21"/>
        <v/>
      </c>
      <c r="B493" s="9"/>
      <c r="C493" s="8"/>
      <c r="D493" s="10" t="str">
        <f ca="1">IFERROR(_xludf.XLOOKUP(C493,STUDENTS!$A$5:$A$204,STUDENTS!$C$5:$C$204,""),"")</f>
        <v/>
      </c>
      <c r="E493" s="10" t="str">
        <f ca="1">IFERROR(_xludf.XLOOKUP(C493,STUDENTS!$A$5:$A$204,STUDENTS!$L$5:$L$204,""),"")</f>
        <v/>
      </c>
      <c r="F493" s="10" t="str">
        <f t="shared" si="22"/>
        <v/>
      </c>
      <c r="G493" s="8"/>
      <c r="H493" s="11" t="str">
        <f>IF(B493="","",IF(OR(F493="Saturday",F493="Sunday"),SETTINGS!$B$11,IF(G493="Vacation",SETTINGS!$B$13,0)))</f>
        <v/>
      </c>
      <c r="I493" s="12" t="str">
        <f t="shared" si="23"/>
        <v/>
      </c>
      <c r="J493" s="8"/>
    </row>
    <row r="494" spans="1:10" x14ac:dyDescent="0.2">
      <c r="A494" s="7" t="str">
        <f t="shared" si="21"/>
        <v/>
      </c>
      <c r="B494" s="9"/>
      <c r="C494" s="8"/>
      <c r="D494" s="10" t="str">
        <f ca="1">IFERROR(_xludf.XLOOKUP(C494,STUDENTS!$A$5:$A$204,STUDENTS!$C$5:$C$204,""),"")</f>
        <v/>
      </c>
      <c r="E494" s="10" t="str">
        <f ca="1">IFERROR(_xludf.XLOOKUP(C494,STUDENTS!$A$5:$A$204,STUDENTS!$L$5:$L$204,""),"")</f>
        <v/>
      </c>
      <c r="F494" s="10" t="str">
        <f t="shared" si="22"/>
        <v/>
      </c>
      <c r="G494" s="8"/>
      <c r="H494" s="11" t="str">
        <f>IF(B494="","",IF(OR(F494="Saturday",F494="Sunday"),SETTINGS!$B$11,IF(G494="Vacation",SETTINGS!$B$13,0)))</f>
        <v/>
      </c>
      <c r="I494" s="12" t="str">
        <f t="shared" si="23"/>
        <v/>
      </c>
      <c r="J494" s="8"/>
    </row>
    <row r="495" spans="1:10" x14ac:dyDescent="0.2">
      <c r="A495" s="7" t="str">
        <f t="shared" si="21"/>
        <v/>
      </c>
      <c r="B495" s="9"/>
      <c r="C495" s="8"/>
      <c r="D495" s="10" t="str">
        <f ca="1">IFERROR(_xludf.XLOOKUP(C495,STUDENTS!$A$5:$A$204,STUDENTS!$C$5:$C$204,""),"")</f>
        <v/>
      </c>
      <c r="E495" s="10" t="str">
        <f ca="1">IFERROR(_xludf.XLOOKUP(C495,STUDENTS!$A$5:$A$204,STUDENTS!$L$5:$L$204,""),"")</f>
        <v/>
      </c>
      <c r="F495" s="10" t="str">
        <f t="shared" si="22"/>
        <v/>
      </c>
      <c r="G495" s="8"/>
      <c r="H495" s="11" t="str">
        <f>IF(B495="","",IF(OR(F495="Saturday",F495="Sunday"),SETTINGS!$B$11,IF(G495="Vacation",SETTINGS!$B$13,0)))</f>
        <v/>
      </c>
      <c r="I495" s="12" t="str">
        <f t="shared" si="23"/>
        <v/>
      </c>
      <c r="J495" s="8"/>
    </row>
    <row r="496" spans="1:10" x14ac:dyDescent="0.2">
      <c r="A496" s="7" t="str">
        <f t="shared" si="21"/>
        <v/>
      </c>
      <c r="B496" s="9"/>
      <c r="C496" s="8"/>
      <c r="D496" s="10" t="str">
        <f ca="1">IFERROR(_xludf.XLOOKUP(C496,STUDENTS!$A$5:$A$204,STUDENTS!$C$5:$C$204,""),"")</f>
        <v/>
      </c>
      <c r="E496" s="10" t="str">
        <f ca="1">IFERROR(_xludf.XLOOKUP(C496,STUDENTS!$A$5:$A$204,STUDENTS!$L$5:$L$204,""),"")</f>
        <v/>
      </c>
      <c r="F496" s="10" t="str">
        <f t="shared" si="22"/>
        <v/>
      </c>
      <c r="G496" s="8"/>
      <c r="H496" s="11" t="str">
        <f>IF(B496="","",IF(OR(F496="Saturday",F496="Sunday"),SETTINGS!$B$11,IF(G496="Vacation",SETTINGS!$B$13,0)))</f>
        <v/>
      </c>
      <c r="I496" s="12" t="str">
        <f t="shared" si="23"/>
        <v/>
      </c>
      <c r="J496" s="8"/>
    </row>
    <row r="497" spans="1:10" x14ac:dyDescent="0.2">
      <c r="A497" s="7" t="str">
        <f t="shared" si="21"/>
        <v/>
      </c>
      <c r="B497" s="9"/>
      <c r="C497" s="8"/>
      <c r="D497" s="10" t="str">
        <f ca="1">IFERROR(_xludf.XLOOKUP(C497,STUDENTS!$A$5:$A$204,STUDENTS!$C$5:$C$204,""),"")</f>
        <v/>
      </c>
      <c r="E497" s="10" t="str">
        <f ca="1">IFERROR(_xludf.XLOOKUP(C497,STUDENTS!$A$5:$A$204,STUDENTS!$L$5:$L$204,""),"")</f>
        <v/>
      </c>
      <c r="F497" s="10" t="str">
        <f t="shared" si="22"/>
        <v/>
      </c>
      <c r="G497" s="8"/>
      <c r="H497" s="11" t="str">
        <f>IF(B497="","",IF(OR(F497="Saturday",F497="Sunday"),SETTINGS!$B$11,IF(G497="Vacation",SETTINGS!$B$13,0)))</f>
        <v/>
      </c>
      <c r="I497" s="12" t="str">
        <f t="shared" si="23"/>
        <v/>
      </c>
      <c r="J497" s="8"/>
    </row>
    <row r="498" spans="1:10" x14ac:dyDescent="0.2">
      <c r="A498" s="7" t="str">
        <f t="shared" si="21"/>
        <v/>
      </c>
      <c r="B498" s="9"/>
      <c r="C498" s="8"/>
      <c r="D498" s="10" t="str">
        <f ca="1">IFERROR(_xludf.XLOOKUP(C498,STUDENTS!$A$5:$A$204,STUDENTS!$C$5:$C$204,""),"")</f>
        <v/>
      </c>
      <c r="E498" s="10" t="str">
        <f ca="1">IFERROR(_xludf.XLOOKUP(C498,STUDENTS!$A$5:$A$204,STUDENTS!$L$5:$L$204,""),"")</f>
        <v/>
      </c>
      <c r="F498" s="10" t="str">
        <f t="shared" si="22"/>
        <v/>
      </c>
      <c r="G498" s="8"/>
      <c r="H498" s="11" t="str">
        <f>IF(B498="","",IF(OR(F498="Saturday",F498="Sunday"),SETTINGS!$B$11,IF(G498="Vacation",SETTINGS!$B$13,0)))</f>
        <v/>
      </c>
      <c r="I498" s="12" t="str">
        <f t="shared" si="23"/>
        <v/>
      </c>
      <c r="J498" s="8"/>
    </row>
    <row r="499" spans="1:10" x14ac:dyDescent="0.2">
      <c r="A499" s="7" t="str">
        <f t="shared" si="21"/>
        <v/>
      </c>
      <c r="B499" s="9"/>
      <c r="C499" s="8"/>
      <c r="D499" s="10" t="str">
        <f ca="1">IFERROR(_xludf.XLOOKUP(C499,STUDENTS!$A$5:$A$204,STUDENTS!$C$5:$C$204,""),"")</f>
        <v/>
      </c>
      <c r="E499" s="10" t="str">
        <f ca="1">IFERROR(_xludf.XLOOKUP(C499,STUDENTS!$A$5:$A$204,STUDENTS!$L$5:$L$204,""),"")</f>
        <v/>
      </c>
      <c r="F499" s="10" t="str">
        <f t="shared" si="22"/>
        <v/>
      </c>
      <c r="G499" s="8"/>
      <c r="H499" s="11" t="str">
        <f>IF(B499="","",IF(OR(F499="Saturday",F499="Sunday"),SETTINGS!$B$11,IF(G499="Vacation",SETTINGS!$B$13,0)))</f>
        <v/>
      </c>
      <c r="I499" s="12" t="str">
        <f t="shared" si="23"/>
        <v/>
      </c>
      <c r="J499" s="8"/>
    </row>
    <row r="500" spans="1:10" x14ac:dyDescent="0.2">
      <c r="A500" s="7" t="str">
        <f t="shared" si="21"/>
        <v/>
      </c>
      <c r="B500" s="9"/>
      <c r="C500" s="8"/>
      <c r="D500" s="10" t="str">
        <f ca="1">IFERROR(_xludf.XLOOKUP(C500,STUDENTS!$A$5:$A$204,STUDENTS!$C$5:$C$204,""),"")</f>
        <v/>
      </c>
      <c r="E500" s="10" t="str">
        <f ca="1">IFERROR(_xludf.XLOOKUP(C500,STUDENTS!$A$5:$A$204,STUDENTS!$L$5:$L$204,""),"")</f>
        <v/>
      </c>
      <c r="F500" s="10" t="str">
        <f t="shared" si="22"/>
        <v/>
      </c>
      <c r="G500" s="8"/>
      <c r="H500" s="11" t="str">
        <f>IF(B500="","",IF(OR(F500="Saturday",F500="Sunday"),SETTINGS!$B$11,IF(G500="Vacation",SETTINGS!$B$13,0)))</f>
        <v/>
      </c>
      <c r="I500" s="12" t="str">
        <f t="shared" si="23"/>
        <v/>
      </c>
      <c r="J500" s="8"/>
    </row>
    <row r="501" spans="1:10" x14ac:dyDescent="0.2">
      <c r="A501" s="7" t="str">
        <f t="shared" si="21"/>
        <v/>
      </c>
      <c r="B501" s="9"/>
      <c r="C501" s="8"/>
      <c r="D501" s="10" t="str">
        <f ca="1">IFERROR(_xludf.XLOOKUP(C501,STUDENTS!$A$5:$A$204,STUDENTS!$C$5:$C$204,""),"")</f>
        <v/>
      </c>
      <c r="E501" s="10" t="str">
        <f ca="1">IFERROR(_xludf.XLOOKUP(C501,STUDENTS!$A$5:$A$204,STUDENTS!$L$5:$L$204,""),"")</f>
        <v/>
      </c>
      <c r="F501" s="10" t="str">
        <f t="shared" si="22"/>
        <v/>
      </c>
      <c r="G501" s="8"/>
      <c r="H501" s="11" t="str">
        <f>IF(B501="","",IF(OR(F501="Saturday",F501="Sunday"),SETTINGS!$B$11,IF(G501="Vacation",SETTINGS!$B$13,0)))</f>
        <v/>
      </c>
      <c r="I501" s="12" t="str">
        <f t="shared" si="23"/>
        <v/>
      </c>
      <c r="J501" s="8"/>
    </row>
    <row r="502" spans="1:10" x14ac:dyDescent="0.2">
      <c r="A502" s="7" t="str">
        <f t="shared" si="21"/>
        <v/>
      </c>
      <c r="B502" s="9"/>
      <c r="C502" s="8"/>
      <c r="D502" s="10" t="str">
        <f ca="1">IFERROR(_xludf.XLOOKUP(C502,STUDENTS!$A$5:$A$204,STUDENTS!$C$5:$C$204,""),"")</f>
        <v/>
      </c>
      <c r="E502" s="10" t="str">
        <f ca="1">IFERROR(_xludf.XLOOKUP(C502,STUDENTS!$A$5:$A$204,STUDENTS!$L$5:$L$204,""),"")</f>
        <v/>
      </c>
      <c r="F502" s="10" t="str">
        <f t="shared" si="22"/>
        <v/>
      </c>
      <c r="G502" s="8"/>
      <c r="H502" s="11" t="str">
        <f>IF(B502="","",IF(OR(F502="Saturday",F502="Sunday"),SETTINGS!$B$11,IF(G502="Vacation",SETTINGS!$B$13,0)))</f>
        <v/>
      </c>
      <c r="I502" s="12" t="str">
        <f t="shared" si="23"/>
        <v/>
      </c>
      <c r="J502" s="8"/>
    </row>
    <row r="503" spans="1:10" x14ac:dyDescent="0.2">
      <c r="A503" s="7" t="str">
        <f t="shared" si="21"/>
        <v/>
      </c>
      <c r="B503" s="9"/>
      <c r="C503" s="8"/>
      <c r="D503" s="10" t="str">
        <f ca="1">IFERROR(_xludf.XLOOKUP(C503,STUDENTS!$A$5:$A$204,STUDENTS!$C$5:$C$204,""),"")</f>
        <v/>
      </c>
      <c r="E503" s="10" t="str">
        <f ca="1">IFERROR(_xludf.XLOOKUP(C503,STUDENTS!$A$5:$A$204,STUDENTS!$L$5:$L$204,""),"")</f>
        <v/>
      </c>
      <c r="F503" s="10" t="str">
        <f t="shared" si="22"/>
        <v/>
      </c>
      <c r="G503" s="8"/>
      <c r="H503" s="11" t="str">
        <f>IF(B503="","",IF(OR(F503="Saturday",F503="Sunday"),SETTINGS!$B$11,IF(G503="Vacation",SETTINGS!$B$13,0)))</f>
        <v/>
      </c>
      <c r="I503" s="12" t="str">
        <f t="shared" si="23"/>
        <v/>
      </c>
      <c r="J503" s="8"/>
    </row>
    <row r="504" spans="1:10" x14ac:dyDescent="0.2">
      <c r="A504" s="7" t="str">
        <f t="shared" si="21"/>
        <v/>
      </c>
      <c r="B504" s="9"/>
      <c r="C504" s="8"/>
      <c r="D504" s="10" t="str">
        <f ca="1">IFERROR(_xludf.XLOOKUP(C504,STUDENTS!$A$5:$A$204,STUDENTS!$C$5:$C$204,""),"")</f>
        <v/>
      </c>
      <c r="E504" s="10" t="str">
        <f ca="1">IFERROR(_xludf.XLOOKUP(C504,STUDENTS!$A$5:$A$204,STUDENTS!$L$5:$L$204,""),"")</f>
        <v/>
      </c>
      <c r="F504" s="10" t="str">
        <f t="shared" si="22"/>
        <v/>
      </c>
      <c r="G504" s="8"/>
      <c r="H504" s="11" t="str">
        <f>IF(B504="","",IF(OR(F504="Saturday",F504="Sunday"),SETTINGS!$B$11,IF(G504="Vacation",SETTINGS!$B$13,0)))</f>
        <v/>
      </c>
      <c r="I504" s="12" t="str">
        <f t="shared" si="23"/>
        <v/>
      </c>
      <c r="J504" s="8"/>
    </row>
    <row r="505" spans="1:10" x14ac:dyDescent="0.2">
      <c r="A505" s="7" t="str">
        <f t="shared" si="21"/>
        <v/>
      </c>
      <c r="B505" s="9"/>
      <c r="C505" s="8"/>
      <c r="D505" s="10" t="str">
        <f ca="1">IFERROR(_xludf.XLOOKUP(C505,STUDENTS!$A$5:$A$204,STUDENTS!$C$5:$C$204,""),"")</f>
        <v/>
      </c>
      <c r="E505" s="10" t="str">
        <f ca="1">IFERROR(_xludf.XLOOKUP(C505,STUDENTS!$A$5:$A$204,STUDENTS!$L$5:$L$204,""),"")</f>
        <v/>
      </c>
      <c r="F505" s="10" t="str">
        <f t="shared" si="22"/>
        <v/>
      </c>
      <c r="G505" s="8"/>
      <c r="H505" s="11" t="str">
        <f>IF(B505="","",IF(OR(F505="Saturday",F505="Sunday"),SETTINGS!$B$11,IF(G505="Vacation",SETTINGS!$B$13,0)))</f>
        <v/>
      </c>
      <c r="I505" s="12" t="str">
        <f t="shared" si="23"/>
        <v/>
      </c>
      <c r="J505" s="8"/>
    </row>
    <row r="506" spans="1:10" x14ac:dyDescent="0.2">
      <c r="A506" s="7" t="str">
        <f t="shared" si="21"/>
        <v/>
      </c>
      <c r="B506" s="9"/>
      <c r="C506" s="8"/>
      <c r="D506" s="10" t="str">
        <f ca="1">IFERROR(_xludf.XLOOKUP(C506,STUDENTS!$A$5:$A$204,STUDENTS!$C$5:$C$204,""),"")</f>
        <v/>
      </c>
      <c r="E506" s="10" t="str">
        <f ca="1">IFERROR(_xludf.XLOOKUP(C506,STUDENTS!$A$5:$A$204,STUDENTS!$L$5:$L$204,""),"")</f>
        <v/>
      </c>
      <c r="F506" s="10" t="str">
        <f t="shared" si="22"/>
        <v/>
      </c>
      <c r="G506" s="8"/>
      <c r="H506" s="11" t="str">
        <f>IF(B506="","",IF(OR(F506="Saturday",F506="Sunday"),SETTINGS!$B$11,IF(G506="Vacation",SETTINGS!$B$13,0)))</f>
        <v/>
      </c>
      <c r="I506" s="12" t="str">
        <f t="shared" si="23"/>
        <v/>
      </c>
      <c r="J506" s="8"/>
    </row>
    <row r="507" spans="1:10" x14ac:dyDescent="0.2">
      <c r="A507" s="7" t="str">
        <f t="shared" si="21"/>
        <v/>
      </c>
      <c r="B507" s="9"/>
      <c r="C507" s="8"/>
      <c r="D507" s="10" t="str">
        <f ca="1">IFERROR(_xludf.XLOOKUP(C507,STUDENTS!$A$5:$A$204,STUDENTS!$C$5:$C$204,""),"")</f>
        <v/>
      </c>
      <c r="E507" s="10" t="str">
        <f ca="1">IFERROR(_xludf.XLOOKUP(C507,STUDENTS!$A$5:$A$204,STUDENTS!$L$5:$L$204,""),"")</f>
        <v/>
      </c>
      <c r="F507" s="10" t="str">
        <f t="shared" si="22"/>
        <v/>
      </c>
      <c r="G507" s="8"/>
      <c r="H507" s="11" t="str">
        <f>IF(B507="","",IF(OR(F507="Saturday",F507="Sunday"),SETTINGS!$B$11,IF(G507="Vacation",SETTINGS!$B$13,0)))</f>
        <v/>
      </c>
      <c r="I507" s="12" t="str">
        <f t="shared" si="23"/>
        <v/>
      </c>
      <c r="J507" s="8"/>
    </row>
    <row r="508" spans="1:10" x14ac:dyDescent="0.2">
      <c r="A508" s="7" t="str">
        <f t="shared" si="21"/>
        <v/>
      </c>
      <c r="B508" s="9"/>
      <c r="C508" s="8"/>
      <c r="D508" s="10" t="str">
        <f ca="1">IFERROR(_xludf.XLOOKUP(C508,STUDENTS!$A$5:$A$204,STUDENTS!$C$5:$C$204,""),"")</f>
        <v/>
      </c>
      <c r="E508" s="10" t="str">
        <f ca="1">IFERROR(_xludf.XLOOKUP(C508,STUDENTS!$A$5:$A$204,STUDENTS!$L$5:$L$204,""),"")</f>
        <v/>
      </c>
      <c r="F508" s="10" t="str">
        <f t="shared" si="22"/>
        <v/>
      </c>
      <c r="G508" s="8"/>
      <c r="H508" s="11" t="str">
        <f>IF(B508="","",IF(OR(F508="Saturday",F508="Sunday"),SETTINGS!$B$11,IF(G508="Vacation",SETTINGS!$B$13,0)))</f>
        <v/>
      </c>
      <c r="I508" s="12" t="str">
        <f t="shared" si="23"/>
        <v/>
      </c>
      <c r="J508" s="8"/>
    </row>
    <row r="509" spans="1:10" x14ac:dyDescent="0.2">
      <c r="A509" s="7" t="str">
        <f t="shared" si="21"/>
        <v/>
      </c>
      <c r="B509" s="9"/>
      <c r="C509" s="8"/>
      <c r="D509" s="10" t="str">
        <f ca="1">IFERROR(_xludf.XLOOKUP(C509,STUDENTS!$A$5:$A$204,STUDENTS!$C$5:$C$204,""),"")</f>
        <v/>
      </c>
      <c r="E509" s="10" t="str">
        <f ca="1">IFERROR(_xludf.XLOOKUP(C509,STUDENTS!$A$5:$A$204,STUDENTS!$L$5:$L$204,""),"")</f>
        <v/>
      </c>
      <c r="F509" s="10" t="str">
        <f t="shared" si="22"/>
        <v/>
      </c>
      <c r="G509" s="8"/>
      <c r="H509" s="11" t="str">
        <f>IF(B509="","",IF(OR(F509="Saturday",F509="Sunday"),SETTINGS!$B$11,IF(G509="Vacation",SETTINGS!$B$13,0)))</f>
        <v/>
      </c>
      <c r="I509" s="12" t="str">
        <f t="shared" si="23"/>
        <v/>
      </c>
      <c r="J509" s="8"/>
    </row>
    <row r="510" spans="1:10" x14ac:dyDescent="0.2">
      <c r="A510" s="7" t="str">
        <f t="shared" si="21"/>
        <v/>
      </c>
      <c r="B510" s="9"/>
      <c r="C510" s="8"/>
      <c r="D510" s="10" t="str">
        <f ca="1">IFERROR(_xludf.XLOOKUP(C510,STUDENTS!$A$5:$A$204,STUDENTS!$C$5:$C$204,""),"")</f>
        <v/>
      </c>
      <c r="E510" s="10" t="str">
        <f ca="1">IFERROR(_xludf.XLOOKUP(C510,STUDENTS!$A$5:$A$204,STUDENTS!$L$5:$L$204,""),"")</f>
        <v/>
      </c>
      <c r="F510" s="10" t="str">
        <f t="shared" si="22"/>
        <v/>
      </c>
      <c r="G510" s="8"/>
      <c r="H510" s="11" t="str">
        <f>IF(B510="","",IF(OR(F510="Saturday",F510="Sunday"),SETTINGS!$B$11,IF(G510="Vacation",SETTINGS!$B$13,0)))</f>
        <v/>
      </c>
      <c r="I510" s="12" t="str">
        <f t="shared" si="23"/>
        <v/>
      </c>
      <c r="J510" s="8"/>
    </row>
    <row r="511" spans="1:10" x14ac:dyDescent="0.2">
      <c r="A511" s="7" t="str">
        <f t="shared" si="21"/>
        <v/>
      </c>
      <c r="B511" s="9"/>
      <c r="C511" s="8"/>
      <c r="D511" s="10" t="str">
        <f ca="1">IFERROR(_xludf.XLOOKUP(C511,STUDENTS!$A$5:$A$204,STUDENTS!$C$5:$C$204,""),"")</f>
        <v/>
      </c>
      <c r="E511" s="10" t="str">
        <f ca="1">IFERROR(_xludf.XLOOKUP(C511,STUDENTS!$A$5:$A$204,STUDENTS!$L$5:$L$204,""),"")</f>
        <v/>
      </c>
      <c r="F511" s="10" t="str">
        <f t="shared" si="22"/>
        <v/>
      </c>
      <c r="G511" s="8"/>
      <c r="H511" s="11" t="str">
        <f>IF(B511="","",IF(OR(F511="Saturday",F511="Sunday"),SETTINGS!$B$11,IF(G511="Vacation",SETTINGS!$B$13,0)))</f>
        <v/>
      </c>
      <c r="I511" s="12" t="str">
        <f t="shared" si="23"/>
        <v/>
      </c>
      <c r="J511" s="8"/>
    </row>
    <row r="512" spans="1:10" x14ac:dyDescent="0.2">
      <c r="A512" s="7" t="str">
        <f t="shared" si="21"/>
        <v/>
      </c>
      <c r="B512" s="9"/>
      <c r="C512" s="8"/>
      <c r="D512" s="10" t="str">
        <f ca="1">IFERROR(_xludf.XLOOKUP(C512,STUDENTS!$A$5:$A$204,STUDENTS!$C$5:$C$204,""),"")</f>
        <v/>
      </c>
      <c r="E512" s="10" t="str">
        <f ca="1">IFERROR(_xludf.XLOOKUP(C512,STUDENTS!$A$5:$A$204,STUDENTS!$L$5:$L$204,""),"")</f>
        <v/>
      </c>
      <c r="F512" s="10" t="str">
        <f t="shared" si="22"/>
        <v/>
      </c>
      <c r="G512" s="8"/>
      <c r="H512" s="11" t="str">
        <f>IF(B512="","",IF(OR(F512="Saturday",F512="Sunday"),SETTINGS!$B$11,IF(G512="Vacation",SETTINGS!$B$13,0)))</f>
        <v/>
      </c>
      <c r="I512" s="12" t="str">
        <f t="shared" si="23"/>
        <v/>
      </c>
      <c r="J512" s="8"/>
    </row>
    <row r="513" spans="1:10" x14ac:dyDescent="0.2">
      <c r="A513" s="7" t="str">
        <f t="shared" si="21"/>
        <v/>
      </c>
      <c r="B513" s="9"/>
      <c r="C513" s="8"/>
      <c r="D513" s="10" t="str">
        <f ca="1">IFERROR(_xludf.XLOOKUP(C513,STUDENTS!$A$5:$A$204,STUDENTS!$C$5:$C$204,""),"")</f>
        <v/>
      </c>
      <c r="E513" s="10" t="str">
        <f ca="1">IFERROR(_xludf.XLOOKUP(C513,STUDENTS!$A$5:$A$204,STUDENTS!$L$5:$L$204,""),"")</f>
        <v/>
      </c>
      <c r="F513" s="10" t="str">
        <f t="shared" si="22"/>
        <v/>
      </c>
      <c r="G513" s="8"/>
      <c r="H513" s="11" t="str">
        <f>IF(B513="","",IF(OR(F513="Saturday",F513="Sunday"),SETTINGS!$B$11,IF(G513="Vacation",SETTINGS!$B$13,0)))</f>
        <v/>
      </c>
      <c r="I513" s="12" t="str">
        <f t="shared" si="23"/>
        <v/>
      </c>
      <c r="J513" s="8"/>
    </row>
    <row r="514" spans="1:10" x14ac:dyDescent="0.2">
      <c r="A514" s="7" t="str">
        <f t="shared" si="21"/>
        <v/>
      </c>
      <c r="B514" s="9"/>
      <c r="C514" s="8"/>
      <c r="D514" s="10" t="str">
        <f ca="1">IFERROR(_xludf.XLOOKUP(C514,STUDENTS!$A$5:$A$204,STUDENTS!$C$5:$C$204,""),"")</f>
        <v/>
      </c>
      <c r="E514" s="10" t="str">
        <f ca="1">IFERROR(_xludf.XLOOKUP(C514,STUDENTS!$A$5:$A$204,STUDENTS!$L$5:$L$204,""),"")</f>
        <v/>
      </c>
      <c r="F514" s="10" t="str">
        <f t="shared" si="22"/>
        <v/>
      </c>
      <c r="G514" s="8"/>
      <c r="H514" s="11" t="str">
        <f>IF(B514="","",IF(OR(F514="Saturday",F514="Sunday"),SETTINGS!$B$11,IF(G514="Vacation",SETTINGS!$B$13,0)))</f>
        <v/>
      </c>
      <c r="I514" s="12" t="str">
        <f t="shared" si="23"/>
        <v/>
      </c>
      <c r="J514" s="8"/>
    </row>
    <row r="515" spans="1:10" x14ac:dyDescent="0.2">
      <c r="A515" s="7" t="str">
        <f t="shared" si="21"/>
        <v/>
      </c>
      <c r="B515" s="9"/>
      <c r="C515" s="8"/>
      <c r="D515" s="10" t="str">
        <f ca="1">IFERROR(_xludf.XLOOKUP(C515,STUDENTS!$A$5:$A$204,STUDENTS!$C$5:$C$204,""),"")</f>
        <v/>
      </c>
      <c r="E515" s="10" t="str">
        <f ca="1">IFERROR(_xludf.XLOOKUP(C515,STUDENTS!$A$5:$A$204,STUDENTS!$L$5:$L$204,""),"")</f>
        <v/>
      </c>
      <c r="F515" s="10" t="str">
        <f t="shared" si="22"/>
        <v/>
      </c>
      <c r="G515" s="8"/>
      <c r="H515" s="11" t="str">
        <f>IF(B515="","",IF(OR(F515="Saturday",F515="Sunday"),SETTINGS!$B$11,IF(G515="Vacation",SETTINGS!$B$13,0)))</f>
        <v/>
      </c>
      <c r="I515" s="12" t="str">
        <f t="shared" si="23"/>
        <v/>
      </c>
      <c r="J515" s="8"/>
    </row>
    <row r="516" spans="1:10" x14ac:dyDescent="0.2">
      <c r="A516" s="7" t="str">
        <f t="shared" si="21"/>
        <v/>
      </c>
      <c r="B516" s="9"/>
      <c r="C516" s="8"/>
      <c r="D516" s="10" t="str">
        <f ca="1">IFERROR(_xludf.XLOOKUP(C516,STUDENTS!$A$5:$A$204,STUDENTS!$C$5:$C$204,""),"")</f>
        <v/>
      </c>
      <c r="E516" s="10" t="str">
        <f ca="1">IFERROR(_xludf.XLOOKUP(C516,STUDENTS!$A$5:$A$204,STUDENTS!$L$5:$L$204,""),"")</f>
        <v/>
      </c>
      <c r="F516" s="10" t="str">
        <f t="shared" si="22"/>
        <v/>
      </c>
      <c r="G516" s="8"/>
      <c r="H516" s="11" t="str">
        <f>IF(B516="","",IF(OR(F516="Saturday",F516="Sunday"),SETTINGS!$B$11,IF(G516="Vacation",SETTINGS!$B$13,0)))</f>
        <v/>
      </c>
      <c r="I516" s="12" t="str">
        <f t="shared" si="23"/>
        <v/>
      </c>
      <c r="J516" s="8"/>
    </row>
    <row r="517" spans="1:10" x14ac:dyDescent="0.2">
      <c r="A517" s="7" t="str">
        <f t="shared" ref="A517:A580" si="24">IF(C517="","","F-"&amp;TEXT(ROW()-4,"00000"))</f>
        <v/>
      </c>
      <c r="B517" s="9"/>
      <c r="C517" s="8"/>
      <c r="D517" s="10" t="str">
        <f ca="1">IFERROR(_xludf.XLOOKUP(C517,STUDENTS!$A$5:$A$204,STUDENTS!$C$5:$C$204,""),"")</f>
        <v/>
      </c>
      <c r="E517" s="10" t="str">
        <f ca="1">IFERROR(_xludf.XLOOKUP(C517,STUDENTS!$A$5:$A$204,STUDENTS!$L$5:$L$204,""),"")</f>
        <v/>
      </c>
      <c r="F517" s="10" t="str">
        <f t="shared" ref="F517:F580" si="25">IF(B517="","",TEXT(B517,"dddd"))</f>
        <v/>
      </c>
      <c r="G517" s="8"/>
      <c r="H517" s="11" t="str">
        <f>IF(B517="","",IF(OR(F517="Saturday",F517="Sunday"),SETTINGS!$B$11,IF(G517="Vacation",SETTINGS!$B$13,0)))</f>
        <v/>
      </c>
      <c r="I517" s="12" t="str">
        <f t="shared" ref="I517:I580" si="26">IF(H517="","",H517)</f>
        <v/>
      </c>
      <c r="J517" s="8"/>
    </row>
    <row r="518" spans="1:10" x14ac:dyDescent="0.2">
      <c r="A518" s="7" t="str">
        <f t="shared" si="24"/>
        <v/>
      </c>
      <c r="B518" s="9"/>
      <c r="C518" s="8"/>
      <c r="D518" s="10" t="str">
        <f ca="1">IFERROR(_xludf.XLOOKUP(C518,STUDENTS!$A$5:$A$204,STUDENTS!$C$5:$C$204,""),"")</f>
        <v/>
      </c>
      <c r="E518" s="10" t="str">
        <f ca="1">IFERROR(_xludf.XLOOKUP(C518,STUDENTS!$A$5:$A$204,STUDENTS!$L$5:$L$204,""),"")</f>
        <v/>
      </c>
      <c r="F518" s="10" t="str">
        <f t="shared" si="25"/>
        <v/>
      </c>
      <c r="G518" s="8"/>
      <c r="H518" s="11" t="str">
        <f>IF(B518="","",IF(OR(F518="Saturday",F518="Sunday"),SETTINGS!$B$11,IF(G518="Vacation",SETTINGS!$B$13,0)))</f>
        <v/>
      </c>
      <c r="I518" s="12" t="str">
        <f t="shared" si="26"/>
        <v/>
      </c>
      <c r="J518" s="8"/>
    </row>
    <row r="519" spans="1:10" x14ac:dyDescent="0.2">
      <c r="A519" s="7" t="str">
        <f t="shared" si="24"/>
        <v/>
      </c>
      <c r="B519" s="9"/>
      <c r="C519" s="8"/>
      <c r="D519" s="10" t="str">
        <f ca="1">IFERROR(_xludf.XLOOKUP(C519,STUDENTS!$A$5:$A$204,STUDENTS!$C$5:$C$204,""),"")</f>
        <v/>
      </c>
      <c r="E519" s="10" t="str">
        <f ca="1">IFERROR(_xludf.XLOOKUP(C519,STUDENTS!$A$5:$A$204,STUDENTS!$L$5:$L$204,""),"")</f>
        <v/>
      </c>
      <c r="F519" s="10" t="str">
        <f t="shared" si="25"/>
        <v/>
      </c>
      <c r="G519" s="8"/>
      <c r="H519" s="11" t="str">
        <f>IF(B519="","",IF(OR(F519="Saturday",F519="Sunday"),SETTINGS!$B$11,IF(G519="Vacation",SETTINGS!$B$13,0)))</f>
        <v/>
      </c>
      <c r="I519" s="12" t="str">
        <f t="shared" si="26"/>
        <v/>
      </c>
      <c r="J519" s="8"/>
    </row>
    <row r="520" spans="1:10" x14ac:dyDescent="0.2">
      <c r="A520" s="7" t="str">
        <f t="shared" si="24"/>
        <v/>
      </c>
      <c r="B520" s="9"/>
      <c r="C520" s="8"/>
      <c r="D520" s="10" t="str">
        <f ca="1">IFERROR(_xludf.XLOOKUP(C520,STUDENTS!$A$5:$A$204,STUDENTS!$C$5:$C$204,""),"")</f>
        <v/>
      </c>
      <c r="E520" s="10" t="str">
        <f ca="1">IFERROR(_xludf.XLOOKUP(C520,STUDENTS!$A$5:$A$204,STUDENTS!$L$5:$L$204,""),"")</f>
        <v/>
      </c>
      <c r="F520" s="10" t="str">
        <f t="shared" si="25"/>
        <v/>
      </c>
      <c r="G520" s="8"/>
      <c r="H520" s="11" t="str">
        <f>IF(B520="","",IF(OR(F520="Saturday",F520="Sunday"),SETTINGS!$B$11,IF(G520="Vacation",SETTINGS!$B$13,0)))</f>
        <v/>
      </c>
      <c r="I520" s="12" t="str">
        <f t="shared" si="26"/>
        <v/>
      </c>
      <c r="J520" s="8"/>
    </row>
    <row r="521" spans="1:10" x14ac:dyDescent="0.2">
      <c r="A521" s="7" t="str">
        <f t="shared" si="24"/>
        <v/>
      </c>
      <c r="B521" s="9"/>
      <c r="C521" s="8"/>
      <c r="D521" s="10" t="str">
        <f ca="1">IFERROR(_xludf.XLOOKUP(C521,STUDENTS!$A$5:$A$204,STUDENTS!$C$5:$C$204,""),"")</f>
        <v/>
      </c>
      <c r="E521" s="10" t="str">
        <f ca="1">IFERROR(_xludf.XLOOKUP(C521,STUDENTS!$A$5:$A$204,STUDENTS!$L$5:$L$204,""),"")</f>
        <v/>
      </c>
      <c r="F521" s="10" t="str">
        <f t="shared" si="25"/>
        <v/>
      </c>
      <c r="G521" s="8"/>
      <c r="H521" s="11" t="str">
        <f>IF(B521="","",IF(OR(F521="Saturday",F521="Sunday"),SETTINGS!$B$11,IF(G521="Vacation",SETTINGS!$B$13,0)))</f>
        <v/>
      </c>
      <c r="I521" s="12" t="str">
        <f t="shared" si="26"/>
        <v/>
      </c>
      <c r="J521" s="8"/>
    </row>
    <row r="522" spans="1:10" x14ac:dyDescent="0.2">
      <c r="A522" s="7" t="str">
        <f t="shared" si="24"/>
        <v/>
      </c>
      <c r="B522" s="9"/>
      <c r="C522" s="8"/>
      <c r="D522" s="10" t="str">
        <f ca="1">IFERROR(_xludf.XLOOKUP(C522,STUDENTS!$A$5:$A$204,STUDENTS!$C$5:$C$204,""),"")</f>
        <v/>
      </c>
      <c r="E522" s="10" t="str">
        <f ca="1">IFERROR(_xludf.XLOOKUP(C522,STUDENTS!$A$5:$A$204,STUDENTS!$L$5:$L$204,""),"")</f>
        <v/>
      </c>
      <c r="F522" s="10" t="str">
        <f t="shared" si="25"/>
        <v/>
      </c>
      <c r="G522" s="8"/>
      <c r="H522" s="11" t="str">
        <f>IF(B522="","",IF(OR(F522="Saturday",F522="Sunday"),SETTINGS!$B$11,IF(G522="Vacation",SETTINGS!$B$13,0)))</f>
        <v/>
      </c>
      <c r="I522" s="12" t="str">
        <f t="shared" si="26"/>
        <v/>
      </c>
      <c r="J522" s="8"/>
    </row>
    <row r="523" spans="1:10" x14ac:dyDescent="0.2">
      <c r="A523" s="7" t="str">
        <f t="shared" si="24"/>
        <v/>
      </c>
      <c r="B523" s="9"/>
      <c r="C523" s="8"/>
      <c r="D523" s="10" t="str">
        <f ca="1">IFERROR(_xludf.XLOOKUP(C523,STUDENTS!$A$5:$A$204,STUDENTS!$C$5:$C$204,""),"")</f>
        <v/>
      </c>
      <c r="E523" s="10" t="str">
        <f ca="1">IFERROR(_xludf.XLOOKUP(C523,STUDENTS!$A$5:$A$204,STUDENTS!$L$5:$L$204,""),"")</f>
        <v/>
      </c>
      <c r="F523" s="10" t="str">
        <f t="shared" si="25"/>
        <v/>
      </c>
      <c r="G523" s="8"/>
      <c r="H523" s="11" t="str">
        <f>IF(B523="","",IF(OR(F523="Saturday",F523="Sunday"),SETTINGS!$B$11,IF(G523="Vacation",SETTINGS!$B$13,0)))</f>
        <v/>
      </c>
      <c r="I523" s="12" t="str">
        <f t="shared" si="26"/>
        <v/>
      </c>
      <c r="J523" s="8"/>
    </row>
    <row r="524" spans="1:10" x14ac:dyDescent="0.2">
      <c r="A524" s="7" t="str">
        <f t="shared" si="24"/>
        <v/>
      </c>
      <c r="B524" s="9"/>
      <c r="C524" s="8"/>
      <c r="D524" s="10" t="str">
        <f ca="1">IFERROR(_xludf.XLOOKUP(C524,STUDENTS!$A$5:$A$204,STUDENTS!$C$5:$C$204,""),"")</f>
        <v/>
      </c>
      <c r="E524" s="10" t="str">
        <f ca="1">IFERROR(_xludf.XLOOKUP(C524,STUDENTS!$A$5:$A$204,STUDENTS!$L$5:$L$204,""),"")</f>
        <v/>
      </c>
      <c r="F524" s="10" t="str">
        <f t="shared" si="25"/>
        <v/>
      </c>
      <c r="G524" s="8"/>
      <c r="H524" s="11" t="str">
        <f>IF(B524="","",IF(OR(F524="Saturday",F524="Sunday"),SETTINGS!$B$11,IF(G524="Vacation",SETTINGS!$B$13,0)))</f>
        <v/>
      </c>
      <c r="I524" s="12" t="str">
        <f t="shared" si="26"/>
        <v/>
      </c>
      <c r="J524" s="8"/>
    </row>
    <row r="525" spans="1:10" x14ac:dyDescent="0.2">
      <c r="A525" s="7" t="str">
        <f t="shared" si="24"/>
        <v/>
      </c>
      <c r="B525" s="9"/>
      <c r="C525" s="8"/>
      <c r="D525" s="10" t="str">
        <f ca="1">IFERROR(_xludf.XLOOKUP(C525,STUDENTS!$A$5:$A$204,STUDENTS!$C$5:$C$204,""),"")</f>
        <v/>
      </c>
      <c r="E525" s="10" t="str">
        <f ca="1">IFERROR(_xludf.XLOOKUP(C525,STUDENTS!$A$5:$A$204,STUDENTS!$L$5:$L$204,""),"")</f>
        <v/>
      </c>
      <c r="F525" s="10" t="str">
        <f t="shared" si="25"/>
        <v/>
      </c>
      <c r="G525" s="8"/>
      <c r="H525" s="11" t="str">
        <f>IF(B525="","",IF(OR(F525="Saturday",F525="Sunday"),SETTINGS!$B$11,IF(G525="Vacation",SETTINGS!$B$13,0)))</f>
        <v/>
      </c>
      <c r="I525" s="12" t="str">
        <f t="shared" si="26"/>
        <v/>
      </c>
      <c r="J525" s="8"/>
    </row>
    <row r="526" spans="1:10" x14ac:dyDescent="0.2">
      <c r="A526" s="7" t="str">
        <f t="shared" si="24"/>
        <v/>
      </c>
      <c r="B526" s="9"/>
      <c r="C526" s="8"/>
      <c r="D526" s="10" t="str">
        <f ca="1">IFERROR(_xludf.XLOOKUP(C526,STUDENTS!$A$5:$A$204,STUDENTS!$C$5:$C$204,""),"")</f>
        <v/>
      </c>
      <c r="E526" s="10" t="str">
        <f ca="1">IFERROR(_xludf.XLOOKUP(C526,STUDENTS!$A$5:$A$204,STUDENTS!$L$5:$L$204,""),"")</f>
        <v/>
      </c>
      <c r="F526" s="10" t="str">
        <f t="shared" si="25"/>
        <v/>
      </c>
      <c r="G526" s="8"/>
      <c r="H526" s="11" t="str">
        <f>IF(B526="","",IF(OR(F526="Saturday",F526="Sunday"),SETTINGS!$B$11,IF(G526="Vacation",SETTINGS!$B$13,0)))</f>
        <v/>
      </c>
      <c r="I526" s="12" t="str">
        <f t="shared" si="26"/>
        <v/>
      </c>
      <c r="J526" s="8"/>
    </row>
    <row r="527" spans="1:10" x14ac:dyDescent="0.2">
      <c r="A527" s="7" t="str">
        <f t="shared" si="24"/>
        <v/>
      </c>
      <c r="B527" s="9"/>
      <c r="C527" s="8"/>
      <c r="D527" s="10" t="str">
        <f ca="1">IFERROR(_xludf.XLOOKUP(C527,STUDENTS!$A$5:$A$204,STUDENTS!$C$5:$C$204,""),"")</f>
        <v/>
      </c>
      <c r="E527" s="10" t="str">
        <f ca="1">IFERROR(_xludf.XLOOKUP(C527,STUDENTS!$A$5:$A$204,STUDENTS!$L$5:$L$204,""),"")</f>
        <v/>
      </c>
      <c r="F527" s="10" t="str">
        <f t="shared" si="25"/>
        <v/>
      </c>
      <c r="G527" s="8"/>
      <c r="H527" s="11" t="str">
        <f>IF(B527="","",IF(OR(F527="Saturday",F527="Sunday"),SETTINGS!$B$11,IF(G527="Vacation",SETTINGS!$B$13,0)))</f>
        <v/>
      </c>
      <c r="I527" s="12" t="str">
        <f t="shared" si="26"/>
        <v/>
      </c>
      <c r="J527" s="8"/>
    </row>
    <row r="528" spans="1:10" x14ac:dyDescent="0.2">
      <c r="A528" s="7" t="str">
        <f t="shared" si="24"/>
        <v/>
      </c>
      <c r="B528" s="9"/>
      <c r="C528" s="8"/>
      <c r="D528" s="10" t="str">
        <f ca="1">IFERROR(_xludf.XLOOKUP(C528,STUDENTS!$A$5:$A$204,STUDENTS!$C$5:$C$204,""),"")</f>
        <v/>
      </c>
      <c r="E528" s="10" t="str">
        <f ca="1">IFERROR(_xludf.XLOOKUP(C528,STUDENTS!$A$5:$A$204,STUDENTS!$L$5:$L$204,""),"")</f>
        <v/>
      </c>
      <c r="F528" s="10" t="str">
        <f t="shared" si="25"/>
        <v/>
      </c>
      <c r="G528" s="8"/>
      <c r="H528" s="11" t="str">
        <f>IF(B528="","",IF(OR(F528="Saturday",F528="Sunday"),SETTINGS!$B$11,IF(G528="Vacation",SETTINGS!$B$13,0)))</f>
        <v/>
      </c>
      <c r="I528" s="12" t="str">
        <f t="shared" si="26"/>
        <v/>
      </c>
      <c r="J528" s="8"/>
    </row>
    <row r="529" spans="1:10" x14ac:dyDescent="0.2">
      <c r="A529" s="7" t="str">
        <f t="shared" si="24"/>
        <v/>
      </c>
      <c r="B529" s="9"/>
      <c r="C529" s="8"/>
      <c r="D529" s="10" t="str">
        <f ca="1">IFERROR(_xludf.XLOOKUP(C529,STUDENTS!$A$5:$A$204,STUDENTS!$C$5:$C$204,""),"")</f>
        <v/>
      </c>
      <c r="E529" s="10" t="str">
        <f ca="1">IFERROR(_xludf.XLOOKUP(C529,STUDENTS!$A$5:$A$204,STUDENTS!$L$5:$L$204,""),"")</f>
        <v/>
      </c>
      <c r="F529" s="10" t="str">
        <f t="shared" si="25"/>
        <v/>
      </c>
      <c r="G529" s="8"/>
      <c r="H529" s="11" t="str">
        <f>IF(B529="","",IF(OR(F529="Saturday",F529="Sunday"),SETTINGS!$B$11,IF(G529="Vacation",SETTINGS!$B$13,0)))</f>
        <v/>
      </c>
      <c r="I529" s="12" t="str">
        <f t="shared" si="26"/>
        <v/>
      </c>
      <c r="J529" s="8"/>
    </row>
    <row r="530" spans="1:10" x14ac:dyDescent="0.2">
      <c r="A530" s="7" t="str">
        <f t="shared" si="24"/>
        <v/>
      </c>
      <c r="B530" s="9"/>
      <c r="C530" s="8"/>
      <c r="D530" s="10" t="str">
        <f ca="1">IFERROR(_xludf.XLOOKUP(C530,STUDENTS!$A$5:$A$204,STUDENTS!$C$5:$C$204,""),"")</f>
        <v/>
      </c>
      <c r="E530" s="10" t="str">
        <f ca="1">IFERROR(_xludf.XLOOKUP(C530,STUDENTS!$A$5:$A$204,STUDENTS!$L$5:$L$204,""),"")</f>
        <v/>
      </c>
      <c r="F530" s="10" t="str">
        <f t="shared" si="25"/>
        <v/>
      </c>
      <c r="G530" s="8"/>
      <c r="H530" s="11" t="str">
        <f>IF(B530="","",IF(OR(F530="Saturday",F530="Sunday"),SETTINGS!$B$11,IF(G530="Vacation",SETTINGS!$B$13,0)))</f>
        <v/>
      </c>
      <c r="I530" s="12" t="str">
        <f t="shared" si="26"/>
        <v/>
      </c>
      <c r="J530" s="8"/>
    </row>
    <row r="531" spans="1:10" x14ac:dyDescent="0.2">
      <c r="A531" s="7" t="str">
        <f t="shared" si="24"/>
        <v/>
      </c>
      <c r="B531" s="9"/>
      <c r="C531" s="8"/>
      <c r="D531" s="10" t="str">
        <f ca="1">IFERROR(_xludf.XLOOKUP(C531,STUDENTS!$A$5:$A$204,STUDENTS!$C$5:$C$204,""),"")</f>
        <v/>
      </c>
      <c r="E531" s="10" t="str">
        <f ca="1">IFERROR(_xludf.XLOOKUP(C531,STUDENTS!$A$5:$A$204,STUDENTS!$L$5:$L$204,""),"")</f>
        <v/>
      </c>
      <c r="F531" s="10" t="str">
        <f t="shared" si="25"/>
        <v/>
      </c>
      <c r="G531" s="8"/>
      <c r="H531" s="11" t="str">
        <f>IF(B531="","",IF(OR(F531="Saturday",F531="Sunday"),SETTINGS!$B$11,IF(G531="Vacation",SETTINGS!$B$13,0)))</f>
        <v/>
      </c>
      <c r="I531" s="12" t="str">
        <f t="shared" si="26"/>
        <v/>
      </c>
      <c r="J531" s="8"/>
    </row>
    <row r="532" spans="1:10" x14ac:dyDescent="0.2">
      <c r="A532" s="7" t="str">
        <f t="shared" si="24"/>
        <v/>
      </c>
      <c r="B532" s="9"/>
      <c r="C532" s="8"/>
      <c r="D532" s="10" t="str">
        <f ca="1">IFERROR(_xludf.XLOOKUP(C532,STUDENTS!$A$5:$A$204,STUDENTS!$C$5:$C$204,""),"")</f>
        <v/>
      </c>
      <c r="E532" s="10" t="str">
        <f ca="1">IFERROR(_xludf.XLOOKUP(C532,STUDENTS!$A$5:$A$204,STUDENTS!$L$5:$L$204,""),"")</f>
        <v/>
      </c>
      <c r="F532" s="10" t="str">
        <f t="shared" si="25"/>
        <v/>
      </c>
      <c r="G532" s="8"/>
      <c r="H532" s="11" t="str">
        <f>IF(B532="","",IF(OR(F532="Saturday",F532="Sunday"),SETTINGS!$B$11,IF(G532="Vacation",SETTINGS!$B$13,0)))</f>
        <v/>
      </c>
      <c r="I532" s="12" t="str">
        <f t="shared" si="26"/>
        <v/>
      </c>
      <c r="J532" s="8"/>
    </row>
    <row r="533" spans="1:10" x14ac:dyDescent="0.2">
      <c r="A533" s="7" t="str">
        <f t="shared" si="24"/>
        <v/>
      </c>
      <c r="B533" s="9"/>
      <c r="C533" s="8"/>
      <c r="D533" s="10" t="str">
        <f ca="1">IFERROR(_xludf.XLOOKUP(C533,STUDENTS!$A$5:$A$204,STUDENTS!$C$5:$C$204,""),"")</f>
        <v/>
      </c>
      <c r="E533" s="10" t="str">
        <f ca="1">IFERROR(_xludf.XLOOKUP(C533,STUDENTS!$A$5:$A$204,STUDENTS!$L$5:$L$204,""),"")</f>
        <v/>
      </c>
      <c r="F533" s="10" t="str">
        <f t="shared" si="25"/>
        <v/>
      </c>
      <c r="G533" s="8"/>
      <c r="H533" s="11" t="str">
        <f>IF(B533="","",IF(OR(F533="Saturday",F533="Sunday"),SETTINGS!$B$11,IF(G533="Vacation",SETTINGS!$B$13,0)))</f>
        <v/>
      </c>
      <c r="I533" s="12" t="str">
        <f t="shared" si="26"/>
        <v/>
      </c>
      <c r="J533" s="8"/>
    </row>
    <row r="534" spans="1:10" x14ac:dyDescent="0.2">
      <c r="A534" s="7" t="str">
        <f t="shared" si="24"/>
        <v/>
      </c>
      <c r="B534" s="9"/>
      <c r="C534" s="8"/>
      <c r="D534" s="10" t="str">
        <f ca="1">IFERROR(_xludf.XLOOKUP(C534,STUDENTS!$A$5:$A$204,STUDENTS!$C$5:$C$204,""),"")</f>
        <v/>
      </c>
      <c r="E534" s="10" t="str">
        <f ca="1">IFERROR(_xludf.XLOOKUP(C534,STUDENTS!$A$5:$A$204,STUDENTS!$L$5:$L$204,""),"")</f>
        <v/>
      </c>
      <c r="F534" s="10" t="str">
        <f t="shared" si="25"/>
        <v/>
      </c>
      <c r="G534" s="8"/>
      <c r="H534" s="11" t="str">
        <f>IF(B534="","",IF(OR(F534="Saturday",F534="Sunday"),SETTINGS!$B$11,IF(G534="Vacation",SETTINGS!$B$13,0)))</f>
        <v/>
      </c>
      <c r="I534" s="12" t="str">
        <f t="shared" si="26"/>
        <v/>
      </c>
      <c r="J534" s="8"/>
    </row>
    <row r="535" spans="1:10" x14ac:dyDescent="0.2">
      <c r="A535" s="7" t="str">
        <f t="shared" si="24"/>
        <v/>
      </c>
      <c r="B535" s="9"/>
      <c r="C535" s="8"/>
      <c r="D535" s="10" t="str">
        <f ca="1">IFERROR(_xludf.XLOOKUP(C535,STUDENTS!$A$5:$A$204,STUDENTS!$C$5:$C$204,""),"")</f>
        <v/>
      </c>
      <c r="E535" s="10" t="str">
        <f ca="1">IFERROR(_xludf.XLOOKUP(C535,STUDENTS!$A$5:$A$204,STUDENTS!$L$5:$L$204,""),"")</f>
        <v/>
      </c>
      <c r="F535" s="10" t="str">
        <f t="shared" si="25"/>
        <v/>
      </c>
      <c r="G535" s="8"/>
      <c r="H535" s="11" t="str">
        <f>IF(B535="","",IF(OR(F535="Saturday",F535="Sunday"),SETTINGS!$B$11,IF(G535="Vacation",SETTINGS!$B$13,0)))</f>
        <v/>
      </c>
      <c r="I535" s="12" t="str">
        <f t="shared" si="26"/>
        <v/>
      </c>
      <c r="J535" s="8"/>
    </row>
    <row r="536" spans="1:10" x14ac:dyDescent="0.2">
      <c r="A536" s="7" t="str">
        <f t="shared" si="24"/>
        <v/>
      </c>
      <c r="B536" s="9"/>
      <c r="C536" s="8"/>
      <c r="D536" s="10" t="str">
        <f ca="1">IFERROR(_xludf.XLOOKUP(C536,STUDENTS!$A$5:$A$204,STUDENTS!$C$5:$C$204,""),"")</f>
        <v/>
      </c>
      <c r="E536" s="10" t="str">
        <f ca="1">IFERROR(_xludf.XLOOKUP(C536,STUDENTS!$A$5:$A$204,STUDENTS!$L$5:$L$204,""),"")</f>
        <v/>
      </c>
      <c r="F536" s="10" t="str">
        <f t="shared" si="25"/>
        <v/>
      </c>
      <c r="G536" s="8"/>
      <c r="H536" s="11" t="str">
        <f>IF(B536="","",IF(OR(F536="Saturday",F536="Sunday"),SETTINGS!$B$11,IF(G536="Vacation",SETTINGS!$B$13,0)))</f>
        <v/>
      </c>
      <c r="I536" s="12" t="str">
        <f t="shared" si="26"/>
        <v/>
      </c>
      <c r="J536" s="8"/>
    </row>
    <row r="537" spans="1:10" x14ac:dyDescent="0.2">
      <c r="A537" s="7" t="str">
        <f t="shared" si="24"/>
        <v/>
      </c>
      <c r="B537" s="9"/>
      <c r="C537" s="8"/>
      <c r="D537" s="10" t="str">
        <f ca="1">IFERROR(_xludf.XLOOKUP(C537,STUDENTS!$A$5:$A$204,STUDENTS!$C$5:$C$204,""),"")</f>
        <v/>
      </c>
      <c r="E537" s="10" t="str">
        <f ca="1">IFERROR(_xludf.XLOOKUP(C537,STUDENTS!$A$5:$A$204,STUDENTS!$L$5:$L$204,""),"")</f>
        <v/>
      </c>
      <c r="F537" s="10" t="str">
        <f t="shared" si="25"/>
        <v/>
      </c>
      <c r="G537" s="8"/>
      <c r="H537" s="11" t="str">
        <f>IF(B537="","",IF(OR(F537="Saturday",F537="Sunday"),SETTINGS!$B$11,IF(G537="Vacation",SETTINGS!$B$13,0)))</f>
        <v/>
      </c>
      <c r="I537" s="12" t="str">
        <f t="shared" si="26"/>
        <v/>
      </c>
      <c r="J537" s="8"/>
    </row>
    <row r="538" spans="1:10" x14ac:dyDescent="0.2">
      <c r="A538" s="7" t="str">
        <f t="shared" si="24"/>
        <v/>
      </c>
      <c r="B538" s="9"/>
      <c r="C538" s="8"/>
      <c r="D538" s="10" t="str">
        <f ca="1">IFERROR(_xludf.XLOOKUP(C538,STUDENTS!$A$5:$A$204,STUDENTS!$C$5:$C$204,""),"")</f>
        <v/>
      </c>
      <c r="E538" s="10" t="str">
        <f ca="1">IFERROR(_xludf.XLOOKUP(C538,STUDENTS!$A$5:$A$204,STUDENTS!$L$5:$L$204,""),"")</f>
        <v/>
      </c>
      <c r="F538" s="10" t="str">
        <f t="shared" si="25"/>
        <v/>
      </c>
      <c r="G538" s="8"/>
      <c r="H538" s="11" t="str">
        <f>IF(B538="","",IF(OR(F538="Saturday",F538="Sunday"),SETTINGS!$B$11,IF(G538="Vacation",SETTINGS!$B$13,0)))</f>
        <v/>
      </c>
      <c r="I538" s="12" t="str">
        <f t="shared" si="26"/>
        <v/>
      </c>
      <c r="J538" s="8"/>
    </row>
    <row r="539" spans="1:10" x14ac:dyDescent="0.2">
      <c r="A539" s="7" t="str">
        <f t="shared" si="24"/>
        <v/>
      </c>
      <c r="B539" s="9"/>
      <c r="C539" s="8"/>
      <c r="D539" s="10" t="str">
        <f ca="1">IFERROR(_xludf.XLOOKUP(C539,STUDENTS!$A$5:$A$204,STUDENTS!$C$5:$C$204,""),"")</f>
        <v/>
      </c>
      <c r="E539" s="10" t="str">
        <f ca="1">IFERROR(_xludf.XLOOKUP(C539,STUDENTS!$A$5:$A$204,STUDENTS!$L$5:$L$204,""),"")</f>
        <v/>
      </c>
      <c r="F539" s="10" t="str">
        <f t="shared" si="25"/>
        <v/>
      </c>
      <c r="G539" s="8"/>
      <c r="H539" s="11" t="str">
        <f>IF(B539="","",IF(OR(F539="Saturday",F539="Sunday"),SETTINGS!$B$11,IF(G539="Vacation",SETTINGS!$B$13,0)))</f>
        <v/>
      </c>
      <c r="I539" s="12" t="str">
        <f t="shared" si="26"/>
        <v/>
      </c>
      <c r="J539" s="8"/>
    </row>
    <row r="540" spans="1:10" x14ac:dyDescent="0.2">
      <c r="A540" s="7" t="str">
        <f t="shared" si="24"/>
        <v/>
      </c>
      <c r="B540" s="9"/>
      <c r="C540" s="8"/>
      <c r="D540" s="10" t="str">
        <f ca="1">IFERROR(_xludf.XLOOKUP(C540,STUDENTS!$A$5:$A$204,STUDENTS!$C$5:$C$204,""),"")</f>
        <v/>
      </c>
      <c r="E540" s="10" t="str">
        <f ca="1">IFERROR(_xludf.XLOOKUP(C540,STUDENTS!$A$5:$A$204,STUDENTS!$L$5:$L$204,""),"")</f>
        <v/>
      </c>
      <c r="F540" s="10" t="str">
        <f t="shared" si="25"/>
        <v/>
      </c>
      <c r="G540" s="8"/>
      <c r="H540" s="11" t="str">
        <f>IF(B540="","",IF(OR(F540="Saturday",F540="Sunday"),SETTINGS!$B$11,IF(G540="Vacation",SETTINGS!$B$13,0)))</f>
        <v/>
      </c>
      <c r="I540" s="12" t="str">
        <f t="shared" si="26"/>
        <v/>
      </c>
      <c r="J540" s="8"/>
    </row>
    <row r="541" spans="1:10" x14ac:dyDescent="0.2">
      <c r="A541" s="7" t="str">
        <f t="shared" si="24"/>
        <v/>
      </c>
      <c r="B541" s="9"/>
      <c r="C541" s="8"/>
      <c r="D541" s="10" t="str">
        <f ca="1">IFERROR(_xludf.XLOOKUP(C541,STUDENTS!$A$5:$A$204,STUDENTS!$C$5:$C$204,""),"")</f>
        <v/>
      </c>
      <c r="E541" s="10" t="str">
        <f ca="1">IFERROR(_xludf.XLOOKUP(C541,STUDENTS!$A$5:$A$204,STUDENTS!$L$5:$L$204,""),"")</f>
        <v/>
      </c>
      <c r="F541" s="10" t="str">
        <f t="shared" si="25"/>
        <v/>
      </c>
      <c r="G541" s="8"/>
      <c r="H541" s="11" t="str">
        <f>IF(B541="","",IF(OR(F541="Saturday",F541="Sunday"),SETTINGS!$B$11,IF(G541="Vacation",SETTINGS!$B$13,0)))</f>
        <v/>
      </c>
      <c r="I541" s="12" t="str">
        <f t="shared" si="26"/>
        <v/>
      </c>
      <c r="J541" s="8"/>
    </row>
    <row r="542" spans="1:10" x14ac:dyDescent="0.2">
      <c r="A542" s="7" t="str">
        <f t="shared" si="24"/>
        <v/>
      </c>
      <c r="B542" s="9"/>
      <c r="C542" s="8"/>
      <c r="D542" s="10" t="str">
        <f ca="1">IFERROR(_xludf.XLOOKUP(C542,STUDENTS!$A$5:$A$204,STUDENTS!$C$5:$C$204,""),"")</f>
        <v/>
      </c>
      <c r="E542" s="10" t="str">
        <f ca="1">IFERROR(_xludf.XLOOKUP(C542,STUDENTS!$A$5:$A$204,STUDENTS!$L$5:$L$204,""),"")</f>
        <v/>
      </c>
      <c r="F542" s="10" t="str">
        <f t="shared" si="25"/>
        <v/>
      </c>
      <c r="G542" s="8"/>
      <c r="H542" s="11" t="str">
        <f>IF(B542="","",IF(OR(F542="Saturday",F542="Sunday"),SETTINGS!$B$11,IF(G542="Vacation",SETTINGS!$B$13,0)))</f>
        <v/>
      </c>
      <c r="I542" s="12" t="str">
        <f t="shared" si="26"/>
        <v/>
      </c>
      <c r="J542" s="8"/>
    </row>
    <row r="543" spans="1:10" x14ac:dyDescent="0.2">
      <c r="A543" s="7" t="str">
        <f t="shared" si="24"/>
        <v/>
      </c>
      <c r="B543" s="9"/>
      <c r="C543" s="8"/>
      <c r="D543" s="10" t="str">
        <f ca="1">IFERROR(_xludf.XLOOKUP(C543,STUDENTS!$A$5:$A$204,STUDENTS!$C$5:$C$204,""),"")</f>
        <v/>
      </c>
      <c r="E543" s="10" t="str">
        <f ca="1">IFERROR(_xludf.XLOOKUP(C543,STUDENTS!$A$5:$A$204,STUDENTS!$L$5:$L$204,""),"")</f>
        <v/>
      </c>
      <c r="F543" s="10" t="str">
        <f t="shared" si="25"/>
        <v/>
      </c>
      <c r="G543" s="8"/>
      <c r="H543" s="11" t="str">
        <f>IF(B543="","",IF(OR(F543="Saturday",F543="Sunday"),SETTINGS!$B$11,IF(G543="Vacation",SETTINGS!$B$13,0)))</f>
        <v/>
      </c>
      <c r="I543" s="12" t="str">
        <f t="shared" si="26"/>
        <v/>
      </c>
      <c r="J543" s="8"/>
    </row>
    <row r="544" spans="1:10" x14ac:dyDescent="0.2">
      <c r="A544" s="7" t="str">
        <f t="shared" si="24"/>
        <v/>
      </c>
      <c r="B544" s="9"/>
      <c r="C544" s="8"/>
      <c r="D544" s="10" t="str">
        <f ca="1">IFERROR(_xludf.XLOOKUP(C544,STUDENTS!$A$5:$A$204,STUDENTS!$C$5:$C$204,""),"")</f>
        <v/>
      </c>
      <c r="E544" s="10" t="str">
        <f ca="1">IFERROR(_xludf.XLOOKUP(C544,STUDENTS!$A$5:$A$204,STUDENTS!$L$5:$L$204,""),"")</f>
        <v/>
      </c>
      <c r="F544" s="10" t="str">
        <f t="shared" si="25"/>
        <v/>
      </c>
      <c r="G544" s="8"/>
      <c r="H544" s="11" t="str">
        <f>IF(B544="","",IF(OR(F544="Saturday",F544="Sunday"),SETTINGS!$B$11,IF(G544="Vacation",SETTINGS!$B$13,0)))</f>
        <v/>
      </c>
      <c r="I544" s="12" t="str">
        <f t="shared" si="26"/>
        <v/>
      </c>
      <c r="J544" s="8"/>
    </row>
    <row r="545" spans="1:10" x14ac:dyDescent="0.2">
      <c r="A545" s="7" t="str">
        <f t="shared" si="24"/>
        <v/>
      </c>
      <c r="B545" s="9"/>
      <c r="C545" s="8"/>
      <c r="D545" s="10" t="str">
        <f ca="1">IFERROR(_xludf.XLOOKUP(C545,STUDENTS!$A$5:$A$204,STUDENTS!$C$5:$C$204,""),"")</f>
        <v/>
      </c>
      <c r="E545" s="10" t="str">
        <f ca="1">IFERROR(_xludf.XLOOKUP(C545,STUDENTS!$A$5:$A$204,STUDENTS!$L$5:$L$204,""),"")</f>
        <v/>
      </c>
      <c r="F545" s="10" t="str">
        <f t="shared" si="25"/>
        <v/>
      </c>
      <c r="G545" s="8"/>
      <c r="H545" s="11" t="str">
        <f>IF(B545="","",IF(OR(F545="Saturday",F545="Sunday"),SETTINGS!$B$11,IF(G545="Vacation",SETTINGS!$B$13,0)))</f>
        <v/>
      </c>
      <c r="I545" s="12" t="str">
        <f t="shared" si="26"/>
        <v/>
      </c>
      <c r="J545" s="8"/>
    </row>
    <row r="546" spans="1:10" x14ac:dyDescent="0.2">
      <c r="A546" s="7" t="str">
        <f t="shared" si="24"/>
        <v/>
      </c>
      <c r="B546" s="9"/>
      <c r="C546" s="8"/>
      <c r="D546" s="10" t="str">
        <f ca="1">IFERROR(_xludf.XLOOKUP(C546,STUDENTS!$A$5:$A$204,STUDENTS!$C$5:$C$204,""),"")</f>
        <v/>
      </c>
      <c r="E546" s="10" t="str">
        <f ca="1">IFERROR(_xludf.XLOOKUP(C546,STUDENTS!$A$5:$A$204,STUDENTS!$L$5:$L$204,""),"")</f>
        <v/>
      </c>
      <c r="F546" s="10" t="str">
        <f t="shared" si="25"/>
        <v/>
      </c>
      <c r="G546" s="8"/>
      <c r="H546" s="11" t="str">
        <f>IF(B546="","",IF(OR(F546="Saturday",F546="Sunday"),SETTINGS!$B$11,IF(G546="Vacation",SETTINGS!$B$13,0)))</f>
        <v/>
      </c>
      <c r="I546" s="12" t="str">
        <f t="shared" si="26"/>
        <v/>
      </c>
      <c r="J546" s="8"/>
    </row>
    <row r="547" spans="1:10" x14ac:dyDescent="0.2">
      <c r="A547" s="7" t="str">
        <f t="shared" si="24"/>
        <v/>
      </c>
      <c r="B547" s="9"/>
      <c r="C547" s="8"/>
      <c r="D547" s="10" t="str">
        <f ca="1">IFERROR(_xludf.XLOOKUP(C547,STUDENTS!$A$5:$A$204,STUDENTS!$C$5:$C$204,""),"")</f>
        <v/>
      </c>
      <c r="E547" s="10" t="str">
        <f ca="1">IFERROR(_xludf.XLOOKUP(C547,STUDENTS!$A$5:$A$204,STUDENTS!$L$5:$L$204,""),"")</f>
        <v/>
      </c>
      <c r="F547" s="10" t="str">
        <f t="shared" si="25"/>
        <v/>
      </c>
      <c r="G547" s="8"/>
      <c r="H547" s="11" t="str">
        <f>IF(B547="","",IF(OR(F547="Saturday",F547="Sunday"),SETTINGS!$B$11,IF(G547="Vacation",SETTINGS!$B$13,0)))</f>
        <v/>
      </c>
      <c r="I547" s="12" t="str">
        <f t="shared" si="26"/>
        <v/>
      </c>
      <c r="J547" s="8"/>
    </row>
    <row r="548" spans="1:10" x14ac:dyDescent="0.2">
      <c r="A548" s="7" t="str">
        <f t="shared" si="24"/>
        <v/>
      </c>
      <c r="B548" s="9"/>
      <c r="C548" s="8"/>
      <c r="D548" s="10" t="str">
        <f ca="1">IFERROR(_xludf.XLOOKUP(C548,STUDENTS!$A$5:$A$204,STUDENTS!$C$5:$C$204,""),"")</f>
        <v/>
      </c>
      <c r="E548" s="10" t="str">
        <f ca="1">IFERROR(_xludf.XLOOKUP(C548,STUDENTS!$A$5:$A$204,STUDENTS!$L$5:$L$204,""),"")</f>
        <v/>
      </c>
      <c r="F548" s="10" t="str">
        <f t="shared" si="25"/>
        <v/>
      </c>
      <c r="G548" s="8"/>
      <c r="H548" s="11" t="str">
        <f>IF(B548="","",IF(OR(F548="Saturday",F548="Sunday"),SETTINGS!$B$11,IF(G548="Vacation",SETTINGS!$B$13,0)))</f>
        <v/>
      </c>
      <c r="I548" s="12" t="str">
        <f t="shared" si="26"/>
        <v/>
      </c>
      <c r="J548" s="8"/>
    </row>
    <row r="549" spans="1:10" x14ac:dyDescent="0.2">
      <c r="A549" s="7" t="str">
        <f t="shared" si="24"/>
        <v/>
      </c>
      <c r="B549" s="9"/>
      <c r="C549" s="8"/>
      <c r="D549" s="10" t="str">
        <f ca="1">IFERROR(_xludf.XLOOKUP(C549,STUDENTS!$A$5:$A$204,STUDENTS!$C$5:$C$204,""),"")</f>
        <v/>
      </c>
      <c r="E549" s="10" t="str">
        <f ca="1">IFERROR(_xludf.XLOOKUP(C549,STUDENTS!$A$5:$A$204,STUDENTS!$L$5:$L$204,""),"")</f>
        <v/>
      </c>
      <c r="F549" s="10" t="str">
        <f t="shared" si="25"/>
        <v/>
      </c>
      <c r="G549" s="8"/>
      <c r="H549" s="11" t="str">
        <f>IF(B549="","",IF(OR(F549="Saturday",F549="Sunday"),SETTINGS!$B$11,IF(G549="Vacation",SETTINGS!$B$13,0)))</f>
        <v/>
      </c>
      <c r="I549" s="12" t="str">
        <f t="shared" si="26"/>
        <v/>
      </c>
      <c r="J549" s="8"/>
    </row>
    <row r="550" spans="1:10" x14ac:dyDescent="0.2">
      <c r="A550" s="7" t="str">
        <f t="shared" si="24"/>
        <v/>
      </c>
      <c r="B550" s="9"/>
      <c r="C550" s="8"/>
      <c r="D550" s="10" t="str">
        <f ca="1">IFERROR(_xludf.XLOOKUP(C550,STUDENTS!$A$5:$A$204,STUDENTS!$C$5:$C$204,""),"")</f>
        <v/>
      </c>
      <c r="E550" s="10" t="str">
        <f ca="1">IFERROR(_xludf.XLOOKUP(C550,STUDENTS!$A$5:$A$204,STUDENTS!$L$5:$L$204,""),"")</f>
        <v/>
      </c>
      <c r="F550" s="10" t="str">
        <f t="shared" si="25"/>
        <v/>
      </c>
      <c r="G550" s="8"/>
      <c r="H550" s="11" t="str">
        <f>IF(B550="","",IF(OR(F550="Saturday",F550="Sunday"),SETTINGS!$B$11,IF(G550="Vacation",SETTINGS!$B$13,0)))</f>
        <v/>
      </c>
      <c r="I550" s="12" t="str">
        <f t="shared" si="26"/>
        <v/>
      </c>
      <c r="J550" s="8"/>
    </row>
    <row r="551" spans="1:10" x14ac:dyDescent="0.2">
      <c r="A551" s="7" t="str">
        <f t="shared" si="24"/>
        <v/>
      </c>
      <c r="B551" s="9"/>
      <c r="C551" s="8"/>
      <c r="D551" s="10" t="str">
        <f ca="1">IFERROR(_xludf.XLOOKUP(C551,STUDENTS!$A$5:$A$204,STUDENTS!$C$5:$C$204,""),"")</f>
        <v/>
      </c>
      <c r="E551" s="10" t="str">
        <f ca="1">IFERROR(_xludf.XLOOKUP(C551,STUDENTS!$A$5:$A$204,STUDENTS!$L$5:$L$204,""),"")</f>
        <v/>
      </c>
      <c r="F551" s="10" t="str">
        <f t="shared" si="25"/>
        <v/>
      </c>
      <c r="G551" s="8"/>
      <c r="H551" s="11" t="str">
        <f>IF(B551="","",IF(OR(F551="Saturday",F551="Sunday"),SETTINGS!$B$11,IF(G551="Vacation",SETTINGS!$B$13,0)))</f>
        <v/>
      </c>
      <c r="I551" s="12" t="str">
        <f t="shared" si="26"/>
        <v/>
      </c>
      <c r="J551" s="8"/>
    </row>
    <row r="552" spans="1:10" x14ac:dyDescent="0.2">
      <c r="A552" s="7" t="str">
        <f t="shared" si="24"/>
        <v/>
      </c>
      <c r="B552" s="9"/>
      <c r="C552" s="8"/>
      <c r="D552" s="10" t="str">
        <f ca="1">IFERROR(_xludf.XLOOKUP(C552,STUDENTS!$A$5:$A$204,STUDENTS!$C$5:$C$204,""),"")</f>
        <v/>
      </c>
      <c r="E552" s="10" t="str">
        <f ca="1">IFERROR(_xludf.XLOOKUP(C552,STUDENTS!$A$5:$A$204,STUDENTS!$L$5:$L$204,""),"")</f>
        <v/>
      </c>
      <c r="F552" s="10" t="str">
        <f t="shared" si="25"/>
        <v/>
      </c>
      <c r="G552" s="8"/>
      <c r="H552" s="11" t="str">
        <f>IF(B552="","",IF(OR(F552="Saturday",F552="Sunday"),SETTINGS!$B$11,IF(G552="Vacation",SETTINGS!$B$13,0)))</f>
        <v/>
      </c>
      <c r="I552" s="12" t="str">
        <f t="shared" si="26"/>
        <v/>
      </c>
      <c r="J552" s="8"/>
    </row>
    <row r="553" spans="1:10" x14ac:dyDescent="0.2">
      <c r="A553" s="7" t="str">
        <f t="shared" si="24"/>
        <v/>
      </c>
      <c r="B553" s="9"/>
      <c r="C553" s="8"/>
      <c r="D553" s="10" t="str">
        <f ca="1">IFERROR(_xludf.XLOOKUP(C553,STUDENTS!$A$5:$A$204,STUDENTS!$C$5:$C$204,""),"")</f>
        <v/>
      </c>
      <c r="E553" s="10" t="str">
        <f ca="1">IFERROR(_xludf.XLOOKUP(C553,STUDENTS!$A$5:$A$204,STUDENTS!$L$5:$L$204,""),"")</f>
        <v/>
      </c>
      <c r="F553" s="10" t="str">
        <f t="shared" si="25"/>
        <v/>
      </c>
      <c r="G553" s="8"/>
      <c r="H553" s="11" t="str">
        <f>IF(B553="","",IF(OR(F553="Saturday",F553="Sunday"),SETTINGS!$B$11,IF(G553="Vacation",SETTINGS!$B$13,0)))</f>
        <v/>
      </c>
      <c r="I553" s="12" t="str">
        <f t="shared" si="26"/>
        <v/>
      </c>
      <c r="J553" s="8"/>
    </row>
    <row r="554" spans="1:10" x14ac:dyDescent="0.2">
      <c r="A554" s="7" t="str">
        <f t="shared" si="24"/>
        <v/>
      </c>
      <c r="B554" s="9"/>
      <c r="C554" s="8"/>
      <c r="D554" s="10" t="str">
        <f ca="1">IFERROR(_xludf.XLOOKUP(C554,STUDENTS!$A$5:$A$204,STUDENTS!$C$5:$C$204,""),"")</f>
        <v/>
      </c>
      <c r="E554" s="10" t="str">
        <f ca="1">IFERROR(_xludf.XLOOKUP(C554,STUDENTS!$A$5:$A$204,STUDENTS!$L$5:$L$204,""),"")</f>
        <v/>
      </c>
      <c r="F554" s="10" t="str">
        <f t="shared" si="25"/>
        <v/>
      </c>
      <c r="G554" s="8"/>
      <c r="H554" s="11" t="str">
        <f>IF(B554="","",IF(OR(F554="Saturday",F554="Sunday"),SETTINGS!$B$11,IF(G554="Vacation",SETTINGS!$B$13,0)))</f>
        <v/>
      </c>
      <c r="I554" s="12" t="str">
        <f t="shared" si="26"/>
        <v/>
      </c>
      <c r="J554" s="8"/>
    </row>
    <row r="555" spans="1:10" x14ac:dyDescent="0.2">
      <c r="A555" s="7" t="str">
        <f t="shared" si="24"/>
        <v/>
      </c>
      <c r="B555" s="9"/>
      <c r="C555" s="8"/>
      <c r="D555" s="10" t="str">
        <f ca="1">IFERROR(_xludf.XLOOKUP(C555,STUDENTS!$A$5:$A$204,STUDENTS!$C$5:$C$204,""),"")</f>
        <v/>
      </c>
      <c r="E555" s="10" t="str">
        <f ca="1">IFERROR(_xludf.XLOOKUP(C555,STUDENTS!$A$5:$A$204,STUDENTS!$L$5:$L$204,""),"")</f>
        <v/>
      </c>
      <c r="F555" s="10" t="str">
        <f t="shared" si="25"/>
        <v/>
      </c>
      <c r="G555" s="8"/>
      <c r="H555" s="11" t="str">
        <f>IF(B555="","",IF(OR(F555="Saturday",F555="Sunday"),SETTINGS!$B$11,IF(G555="Vacation",SETTINGS!$B$13,0)))</f>
        <v/>
      </c>
      <c r="I555" s="12" t="str">
        <f t="shared" si="26"/>
        <v/>
      </c>
      <c r="J555" s="8"/>
    </row>
    <row r="556" spans="1:10" x14ac:dyDescent="0.2">
      <c r="A556" s="7" t="str">
        <f t="shared" si="24"/>
        <v/>
      </c>
      <c r="B556" s="9"/>
      <c r="C556" s="8"/>
      <c r="D556" s="10" t="str">
        <f ca="1">IFERROR(_xludf.XLOOKUP(C556,STUDENTS!$A$5:$A$204,STUDENTS!$C$5:$C$204,""),"")</f>
        <v/>
      </c>
      <c r="E556" s="10" t="str">
        <f ca="1">IFERROR(_xludf.XLOOKUP(C556,STUDENTS!$A$5:$A$204,STUDENTS!$L$5:$L$204,""),"")</f>
        <v/>
      </c>
      <c r="F556" s="10" t="str">
        <f t="shared" si="25"/>
        <v/>
      </c>
      <c r="G556" s="8"/>
      <c r="H556" s="11" t="str">
        <f>IF(B556="","",IF(OR(F556="Saturday",F556="Sunday"),SETTINGS!$B$11,IF(G556="Vacation",SETTINGS!$B$13,0)))</f>
        <v/>
      </c>
      <c r="I556" s="12" t="str">
        <f t="shared" si="26"/>
        <v/>
      </c>
      <c r="J556" s="8"/>
    </row>
    <row r="557" spans="1:10" x14ac:dyDescent="0.2">
      <c r="A557" s="7" t="str">
        <f t="shared" si="24"/>
        <v/>
      </c>
      <c r="B557" s="9"/>
      <c r="C557" s="8"/>
      <c r="D557" s="10" t="str">
        <f ca="1">IFERROR(_xludf.XLOOKUP(C557,STUDENTS!$A$5:$A$204,STUDENTS!$C$5:$C$204,""),"")</f>
        <v/>
      </c>
      <c r="E557" s="10" t="str">
        <f ca="1">IFERROR(_xludf.XLOOKUP(C557,STUDENTS!$A$5:$A$204,STUDENTS!$L$5:$L$204,""),"")</f>
        <v/>
      </c>
      <c r="F557" s="10" t="str">
        <f t="shared" si="25"/>
        <v/>
      </c>
      <c r="G557" s="8"/>
      <c r="H557" s="11" t="str">
        <f>IF(B557="","",IF(OR(F557="Saturday",F557="Sunday"),SETTINGS!$B$11,IF(G557="Vacation",SETTINGS!$B$13,0)))</f>
        <v/>
      </c>
      <c r="I557" s="12" t="str">
        <f t="shared" si="26"/>
        <v/>
      </c>
      <c r="J557" s="8"/>
    </row>
    <row r="558" spans="1:10" x14ac:dyDescent="0.2">
      <c r="A558" s="7" t="str">
        <f t="shared" si="24"/>
        <v/>
      </c>
      <c r="B558" s="9"/>
      <c r="C558" s="8"/>
      <c r="D558" s="10" t="str">
        <f ca="1">IFERROR(_xludf.XLOOKUP(C558,STUDENTS!$A$5:$A$204,STUDENTS!$C$5:$C$204,""),"")</f>
        <v/>
      </c>
      <c r="E558" s="10" t="str">
        <f ca="1">IFERROR(_xludf.XLOOKUP(C558,STUDENTS!$A$5:$A$204,STUDENTS!$L$5:$L$204,""),"")</f>
        <v/>
      </c>
      <c r="F558" s="10" t="str">
        <f t="shared" si="25"/>
        <v/>
      </c>
      <c r="G558" s="8"/>
      <c r="H558" s="11" t="str">
        <f>IF(B558="","",IF(OR(F558="Saturday",F558="Sunday"),SETTINGS!$B$11,IF(G558="Vacation",SETTINGS!$B$13,0)))</f>
        <v/>
      </c>
      <c r="I558" s="12" t="str">
        <f t="shared" si="26"/>
        <v/>
      </c>
      <c r="J558" s="8"/>
    </row>
    <row r="559" spans="1:10" x14ac:dyDescent="0.2">
      <c r="A559" s="7" t="str">
        <f t="shared" si="24"/>
        <v/>
      </c>
      <c r="B559" s="9"/>
      <c r="C559" s="8"/>
      <c r="D559" s="10" t="str">
        <f ca="1">IFERROR(_xludf.XLOOKUP(C559,STUDENTS!$A$5:$A$204,STUDENTS!$C$5:$C$204,""),"")</f>
        <v/>
      </c>
      <c r="E559" s="10" t="str">
        <f ca="1">IFERROR(_xludf.XLOOKUP(C559,STUDENTS!$A$5:$A$204,STUDENTS!$L$5:$L$204,""),"")</f>
        <v/>
      </c>
      <c r="F559" s="10" t="str">
        <f t="shared" si="25"/>
        <v/>
      </c>
      <c r="G559" s="8"/>
      <c r="H559" s="11" t="str">
        <f>IF(B559="","",IF(OR(F559="Saturday",F559="Sunday"),SETTINGS!$B$11,IF(G559="Vacation",SETTINGS!$B$13,0)))</f>
        <v/>
      </c>
      <c r="I559" s="12" t="str">
        <f t="shared" si="26"/>
        <v/>
      </c>
      <c r="J559" s="8"/>
    </row>
    <row r="560" spans="1:10" x14ac:dyDescent="0.2">
      <c r="A560" s="7" t="str">
        <f t="shared" si="24"/>
        <v/>
      </c>
      <c r="B560" s="9"/>
      <c r="C560" s="8"/>
      <c r="D560" s="10" t="str">
        <f ca="1">IFERROR(_xludf.XLOOKUP(C560,STUDENTS!$A$5:$A$204,STUDENTS!$C$5:$C$204,""),"")</f>
        <v/>
      </c>
      <c r="E560" s="10" t="str">
        <f ca="1">IFERROR(_xludf.XLOOKUP(C560,STUDENTS!$A$5:$A$204,STUDENTS!$L$5:$L$204,""),"")</f>
        <v/>
      </c>
      <c r="F560" s="10" t="str">
        <f t="shared" si="25"/>
        <v/>
      </c>
      <c r="G560" s="8"/>
      <c r="H560" s="11" t="str">
        <f>IF(B560="","",IF(OR(F560="Saturday",F560="Sunday"),SETTINGS!$B$11,IF(G560="Vacation",SETTINGS!$B$13,0)))</f>
        <v/>
      </c>
      <c r="I560" s="12" t="str">
        <f t="shared" si="26"/>
        <v/>
      </c>
      <c r="J560" s="8"/>
    </row>
    <row r="561" spans="1:10" x14ac:dyDescent="0.2">
      <c r="A561" s="7" t="str">
        <f t="shared" si="24"/>
        <v/>
      </c>
      <c r="B561" s="9"/>
      <c r="C561" s="8"/>
      <c r="D561" s="10" t="str">
        <f ca="1">IFERROR(_xludf.XLOOKUP(C561,STUDENTS!$A$5:$A$204,STUDENTS!$C$5:$C$204,""),"")</f>
        <v/>
      </c>
      <c r="E561" s="10" t="str">
        <f ca="1">IFERROR(_xludf.XLOOKUP(C561,STUDENTS!$A$5:$A$204,STUDENTS!$L$5:$L$204,""),"")</f>
        <v/>
      </c>
      <c r="F561" s="10" t="str">
        <f t="shared" si="25"/>
        <v/>
      </c>
      <c r="G561" s="8"/>
      <c r="H561" s="11" t="str">
        <f>IF(B561="","",IF(OR(F561="Saturday",F561="Sunday"),SETTINGS!$B$11,IF(G561="Vacation",SETTINGS!$B$13,0)))</f>
        <v/>
      </c>
      <c r="I561" s="12" t="str">
        <f t="shared" si="26"/>
        <v/>
      </c>
      <c r="J561" s="8"/>
    </row>
    <row r="562" spans="1:10" x14ac:dyDescent="0.2">
      <c r="A562" s="7" t="str">
        <f t="shared" si="24"/>
        <v/>
      </c>
      <c r="B562" s="9"/>
      <c r="C562" s="8"/>
      <c r="D562" s="10" t="str">
        <f ca="1">IFERROR(_xludf.XLOOKUP(C562,STUDENTS!$A$5:$A$204,STUDENTS!$C$5:$C$204,""),"")</f>
        <v/>
      </c>
      <c r="E562" s="10" t="str">
        <f ca="1">IFERROR(_xludf.XLOOKUP(C562,STUDENTS!$A$5:$A$204,STUDENTS!$L$5:$L$204,""),"")</f>
        <v/>
      </c>
      <c r="F562" s="10" t="str">
        <f t="shared" si="25"/>
        <v/>
      </c>
      <c r="G562" s="8"/>
      <c r="H562" s="11" t="str">
        <f>IF(B562="","",IF(OR(F562="Saturday",F562="Sunday"),SETTINGS!$B$11,IF(G562="Vacation",SETTINGS!$B$13,0)))</f>
        <v/>
      </c>
      <c r="I562" s="12" t="str">
        <f t="shared" si="26"/>
        <v/>
      </c>
      <c r="J562" s="8"/>
    </row>
    <row r="563" spans="1:10" x14ac:dyDescent="0.2">
      <c r="A563" s="7" t="str">
        <f t="shared" si="24"/>
        <v/>
      </c>
      <c r="B563" s="9"/>
      <c r="C563" s="8"/>
      <c r="D563" s="10" t="str">
        <f ca="1">IFERROR(_xludf.XLOOKUP(C563,STUDENTS!$A$5:$A$204,STUDENTS!$C$5:$C$204,""),"")</f>
        <v/>
      </c>
      <c r="E563" s="10" t="str">
        <f ca="1">IFERROR(_xludf.XLOOKUP(C563,STUDENTS!$A$5:$A$204,STUDENTS!$L$5:$L$204,""),"")</f>
        <v/>
      </c>
      <c r="F563" s="10" t="str">
        <f t="shared" si="25"/>
        <v/>
      </c>
      <c r="G563" s="8"/>
      <c r="H563" s="11" t="str">
        <f>IF(B563="","",IF(OR(F563="Saturday",F563="Sunday"),SETTINGS!$B$11,IF(G563="Vacation",SETTINGS!$B$13,0)))</f>
        <v/>
      </c>
      <c r="I563" s="12" t="str">
        <f t="shared" si="26"/>
        <v/>
      </c>
      <c r="J563" s="8"/>
    </row>
    <row r="564" spans="1:10" x14ac:dyDescent="0.2">
      <c r="A564" s="7" t="str">
        <f t="shared" si="24"/>
        <v/>
      </c>
      <c r="B564" s="9"/>
      <c r="C564" s="8"/>
      <c r="D564" s="10" t="str">
        <f ca="1">IFERROR(_xludf.XLOOKUP(C564,STUDENTS!$A$5:$A$204,STUDENTS!$C$5:$C$204,""),"")</f>
        <v/>
      </c>
      <c r="E564" s="10" t="str">
        <f ca="1">IFERROR(_xludf.XLOOKUP(C564,STUDENTS!$A$5:$A$204,STUDENTS!$L$5:$L$204,""),"")</f>
        <v/>
      </c>
      <c r="F564" s="10" t="str">
        <f t="shared" si="25"/>
        <v/>
      </c>
      <c r="G564" s="8"/>
      <c r="H564" s="11" t="str">
        <f>IF(B564="","",IF(OR(F564="Saturday",F564="Sunday"),SETTINGS!$B$11,IF(G564="Vacation",SETTINGS!$B$13,0)))</f>
        <v/>
      </c>
      <c r="I564" s="12" t="str">
        <f t="shared" si="26"/>
        <v/>
      </c>
      <c r="J564" s="8"/>
    </row>
    <row r="565" spans="1:10" x14ac:dyDescent="0.2">
      <c r="A565" s="7" t="str">
        <f t="shared" si="24"/>
        <v/>
      </c>
      <c r="B565" s="9"/>
      <c r="C565" s="8"/>
      <c r="D565" s="10" t="str">
        <f ca="1">IFERROR(_xludf.XLOOKUP(C565,STUDENTS!$A$5:$A$204,STUDENTS!$C$5:$C$204,""),"")</f>
        <v/>
      </c>
      <c r="E565" s="10" t="str">
        <f ca="1">IFERROR(_xludf.XLOOKUP(C565,STUDENTS!$A$5:$A$204,STUDENTS!$L$5:$L$204,""),"")</f>
        <v/>
      </c>
      <c r="F565" s="10" t="str">
        <f t="shared" si="25"/>
        <v/>
      </c>
      <c r="G565" s="8"/>
      <c r="H565" s="11" t="str">
        <f>IF(B565="","",IF(OR(F565="Saturday",F565="Sunday"),SETTINGS!$B$11,IF(G565="Vacation",SETTINGS!$B$13,0)))</f>
        <v/>
      </c>
      <c r="I565" s="12" t="str">
        <f t="shared" si="26"/>
        <v/>
      </c>
      <c r="J565" s="8"/>
    </row>
    <row r="566" spans="1:10" x14ac:dyDescent="0.2">
      <c r="A566" s="7" t="str">
        <f t="shared" si="24"/>
        <v/>
      </c>
      <c r="B566" s="9"/>
      <c r="C566" s="8"/>
      <c r="D566" s="10" t="str">
        <f ca="1">IFERROR(_xludf.XLOOKUP(C566,STUDENTS!$A$5:$A$204,STUDENTS!$C$5:$C$204,""),"")</f>
        <v/>
      </c>
      <c r="E566" s="10" t="str">
        <f ca="1">IFERROR(_xludf.XLOOKUP(C566,STUDENTS!$A$5:$A$204,STUDENTS!$L$5:$L$204,""),"")</f>
        <v/>
      </c>
      <c r="F566" s="10" t="str">
        <f t="shared" si="25"/>
        <v/>
      </c>
      <c r="G566" s="8"/>
      <c r="H566" s="11" t="str">
        <f>IF(B566="","",IF(OR(F566="Saturday",F566="Sunday"),SETTINGS!$B$11,IF(G566="Vacation",SETTINGS!$B$13,0)))</f>
        <v/>
      </c>
      <c r="I566" s="12" t="str">
        <f t="shared" si="26"/>
        <v/>
      </c>
      <c r="J566" s="8"/>
    </row>
    <row r="567" spans="1:10" x14ac:dyDescent="0.2">
      <c r="A567" s="7" t="str">
        <f t="shared" si="24"/>
        <v/>
      </c>
      <c r="B567" s="9"/>
      <c r="C567" s="8"/>
      <c r="D567" s="10" t="str">
        <f ca="1">IFERROR(_xludf.XLOOKUP(C567,STUDENTS!$A$5:$A$204,STUDENTS!$C$5:$C$204,""),"")</f>
        <v/>
      </c>
      <c r="E567" s="10" t="str">
        <f ca="1">IFERROR(_xludf.XLOOKUP(C567,STUDENTS!$A$5:$A$204,STUDENTS!$L$5:$L$204,""),"")</f>
        <v/>
      </c>
      <c r="F567" s="10" t="str">
        <f t="shared" si="25"/>
        <v/>
      </c>
      <c r="G567" s="8"/>
      <c r="H567" s="11" t="str">
        <f>IF(B567="","",IF(OR(F567="Saturday",F567="Sunday"),SETTINGS!$B$11,IF(G567="Vacation",SETTINGS!$B$13,0)))</f>
        <v/>
      </c>
      <c r="I567" s="12" t="str">
        <f t="shared" si="26"/>
        <v/>
      </c>
      <c r="J567" s="8"/>
    </row>
    <row r="568" spans="1:10" x14ac:dyDescent="0.2">
      <c r="A568" s="7" t="str">
        <f t="shared" si="24"/>
        <v/>
      </c>
      <c r="B568" s="9"/>
      <c r="C568" s="8"/>
      <c r="D568" s="10" t="str">
        <f ca="1">IFERROR(_xludf.XLOOKUP(C568,STUDENTS!$A$5:$A$204,STUDENTS!$C$5:$C$204,""),"")</f>
        <v/>
      </c>
      <c r="E568" s="10" t="str">
        <f ca="1">IFERROR(_xludf.XLOOKUP(C568,STUDENTS!$A$5:$A$204,STUDENTS!$L$5:$L$204,""),"")</f>
        <v/>
      </c>
      <c r="F568" s="10" t="str">
        <f t="shared" si="25"/>
        <v/>
      </c>
      <c r="G568" s="8"/>
      <c r="H568" s="11" t="str">
        <f>IF(B568="","",IF(OR(F568="Saturday",F568="Sunday"),SETTINGS!$B$11,IF(G568="Vacation",SETTINGS!$B$13,0)))</f>
        <v/>
      </c>
      <c r="I568" s="12" t="str">
        <f t="shared" si="26"/>
        <v/>
      </c>
      <c r="J568" s="8"/>
    </row>
    <row r="569" spans="1:10" x14ac:dyDescent="0.2">
      <c r="A569" s="7" t="str">
        <f t="shared" si="24"/>
        <v/>
      </c>
      <c r="B569" s="9"/>
      <c r="C569" s="8"/>
      <c r="D569" s="10" t="str">
        <f ca="1">IFERROR(_xludf.XLOOKUP(C569,STUDENTS!$A$5:$A$204,STUDENTS!$C$5:$C$204,""),"")</f>
        <v/>
      </c>
      <c r="E569" s="10" t="str">
        <f ca="1">IFERROR(_xludf.XLOOKUP(C569,STUDENTS!$A$5:$A$204,STUDENTS!$L$5:$L$204,""),"")</f>
        <v/>
      </c>
      <c r="F569" s="10" t="str">
        <f t="shared" si="25"/>
        <v/>
      </c>
      <c r="G569" s="8"/>
      <c r="H569" s="11" t="str">
        <f>IF(B569="","",IF(OR(F569="Saturday",F569="Sunday"),SETTINGS!$B$11,IF(G569="Vacation",SETTINGS!$B$13,0)))</f>
        <v/>
      </c>
      <c r="I569" s="12" t="str">
        <f t="shared" si="26"/>
        <v/>
      </c>
      <c r="J569" s="8"/>
    </row>
    <row r="570" spans="1:10" x14ac:dyDescent="0.2">
      <c r="A570" s="7" t="str">
        <f t="shared" si="24"/>
        <v/>
      </c>
      <c r="B570" s="9"/>
      <c r="C570" s="8"/>
      <c r="D570" s="10" t="str">
        <f ca="1">IFERROR(_xludf.XLOOKUP(C570,STUDENTS!$A$5:$A$204,STUDENTS!$C$5:$C$204,""),"")</f>
        <v/>
      </c>
      <c r="E570" s="10" t="str">
        <f ca="1">IFERROR(_xludf.XLOOKUP(C570,STUDENTS!$A$5:$A$204,STUDENTS!$L$5:$L$204,""),"")</f>
        <v/>
      </c>
      <c r="F570" s="10" t="str">
        <f t="shared" si="25"/>
        <v/>
      </c>
      <c r="G570" s="8"/>
      <c r="H570" s="11" t="str">
        <f>IF(B570="","",IF(OR(F570="Saturday",F570="Sunday"),SETTINGS!$B$11,IF(G570="Vacation",SETTINGS!$B$13,0)))</f>
        <v/>
      </c>
      <c r="I570" s="12" t="str">
        <f t="shared" si="26"/>
        <v/>
      </c>
      <c r="J570" s="8"/>
    </row>
    <row r="571" spans="1:10" x14ac:dyDescent="0.2">
      <c r="A571" s="7" t="str">
        <f t="shared" si="24"/>
        <v/>
      </c>
      <c r="B571" s="9"/>
      <c r="C571" s="8"/>
      <c r="D571" s="10" t="str">
        <f ca="1">IFERROR(_xludf.XLOOKUP(C571,STUDENTS!$A$5:$A$204,STUDENTS!$C$5:$C$204,""),"")</f>
        <v/>
      </c>
      <c r="E571" s="10" t="str">
        <f ca="1">IFERROR(_xludf.XLOOKUP(C571,STUDENTS!$A$5:$A$204,STUDENTS!$L$5:$L$204,""),"")</f>
        <v/>
      </c>
      <c r="F571" s="10" t="str">
        <f t="shared" si="25"/>
        <v/>
      </c>
      <c r="G571" s="8"/>
      <c r="H571" s="11" t="str">
        <f>IF(B571="","",IF(OR(F571="Saturday",F571="Sunday"),SETTINGS!$B$11,IF(G571="Vacation",SETTINGS!$B$13,0)))</f>
        <v/>
      </c>
      <c r="I571" s="12" t="str">
        <f t="shared" si="26"/>
        <v/>
      </c>
      <c r="J571" s="8"/>
    </row>
    <row r="572" spans="1:10" x14ac:dyDescent="0.2">
      <c r="A572" s="7" t="str">
        <f t="shared" si="24"/>
        <v/>
      </c>
      <c r="B572" s="9"/>
      <c r="C572" s="8"/>
      <c r="D572" s="10" t="str">
        <f ca="1">IFERROR(_xludf.XLOOKUP(C572,STUDENTS!$A$5:$A$204,STUDENTS!$C$5:$C$204,""),"")</f>
        <v/>
      </c>
      <c r="E572" s="10" t="str">
        <f ca="1">IFERROR(_xludf.XLOOKUP(C572,STUDENTS!$A$5:$A$204,STUDENTS!$L$5:$L$204,""),"")</f>
        <v/>
      </c>
      <c r="F572" s="10" t="str">
        <f t="shared" si="25"/>
        <v/>
      </c>
      <c r="G572" s="8"/>
      <c r="H572" s="11" t="str">
        <f>IF(B572="","",IF(OR(F572="Saturday",F572="Sunday"),SETTINGS!$B$11,IF(G572="Vacation",SETTINGS!$B$13,0)))</f>
        <v/>
      </c>
      <c r="I572" s="12" t="str">
        <f t="shared" si="26"/>
        <v/>
      </c>
      <c r="J572" s="8"/>
    </row>
    <row r="573" spans="1:10" x14ac:dyDescent="0.2">
      <c r="A573" s="7" t="str">
        <f t="shared" si="24"/>
        <v/>
      </c>
      <c r="B573" s="9"/>
      <c r="C573" s="8"/>
      <c r="D573" s="10" t="str">
        <f ca="1">IFERROR(_xludf.XLOOKUP(C573,STUDENTS!$A$5:$A$204,STUDENTS!$C$5:$C$204,""),"")</f>
        <v/>
      </c>
      <c r="E573" s="10" t="str">
        <f ca="1">IFERROR(_xludf.XLOOKUP(C573,STUDENTS!$A$5:$A$204,STUDENTS!$L$5:$L$204,""),"")</f>
        <v/>
      </c>
      <c r="F573" s="10" t="str">
        <f t="shared" si="25"/>
        <v/>
      </c>
      <c r="G573" s="8"/>
      <c r="H573" s="11" t="str">
        <f>IF(B573="","",IF(OR(F573="Saturday",F573="Sunday"),SETTINGS!$B$11,IF(G573="Vacation",SETTINGS!$B$13,0)))</f>
        <v/>
      </c>
      <c r="I573" s="12" t="str">
        <f t="shared" si="26"/>
        <v/>
      </c>
      <c r="J573" s="8"/>
    </row>
    <row r="574" spans="1:10" x14ac:dyDescent="0.2">
      <c r="A574" s="7" t="str">
        <f t="shared" si="24"/>
        <v/>
      </c>
      <c r="B574" s="9"/>
      <c r="C574" s="8"/>
      <c r="D574" s="10" t="str">
        <f ca="1">IFERROR(_xludf.XLOOKUP(C574,STUDENTS!$A$5:$A$204,STUDENTS!$C$5:$C$204,""),"")</f>
        <v/>
      </c>
      <c r="E574" s="10" t="str">
        <f ca="1">IFERROR(_xludf.XLOOKUP(C574,STUDENTS!$A$5:$A$204,STUDENTS!$L$5:$L$204,""),"")</f>
        <v/>
      </c>
      <c r="F574" s="10" t="str">
        <f t="shared" si="25"/>
        <v/>
      </c>
      <c r="G574" s="8"/>
      <c r="H574" s="11" t="str">
        <f>IF(B574="","",IF(OR(F574="Saturday",F574="Sunday"),SETTINGS!$B$11,IF(G574="Vacation",SETTINGS!$B$13,0)))</f>
        <v/>
      </c>
      <c r="I574" s="12" t="str">
        <f t="shared" si="26"/>
        <v/>
      </c>
      <c r="J574" s="8"/>
    </row>
    <row r="575" spans="1:10" x14ac:dyDescent="0.2">
      <c r="A575" s="7" t="str">
        <f t="shared" si="24"/>
        <v/>
      </c>
      <c r="B575" s="9"/>
      <c r="C575" s="8"/>
      <c r="D575" s="10" t="str">
        <f ca="1">IFERROR(_xludf.XLOOKUP(C575,STUDENTS!$A$5:$A$204,STUDENTS!$C$5:$C$204,""),"")</f>
        <v/>
      </c>
      <c r="E575" s="10" t="str">
        <f ca="1">IFERROR(_xludf.XLOOKUP(C575,STUDENTS!$A$5:$A$204,STUDENTS!$L$5:$L$204,""),"")</f>
        <v/>
      </c>
      <c r="F575" s="10" t="str">
        <f t="shared" si="25"/>
        <v/>
      </c>
      <c r="G575" s="8"/>
      <c r="H575" s="11" t="str">
        <f>IF(B575="","",IF(OR(F575="Saturday",F575="Sunday"),SETTINGS!$B$11,IF(G575="Vacation",SETTINGS!$B$13,0)))</f>
        <v/>
      </c>
      <c r="I575" s="12" t="str">
        <f t="shared" si="26"/>
        <v/>
      </c>
      <c r="J575" s="8"/>
    </row>
    <row r="576" spans="1:10" x14ac:dyDescent="0.2">
      <c r="A576" s="7" t="str">
        <f t="shared" si="24"/>
        <v/>
      </c>
      <c r="B576" s="9"/>
      <c r="C576" s="8"/>
      <c r="D576" s="10" t="str">
        <f ca="1">IFERROR(_xludf.XLOOKUP(C576,STUDENTS!$A$5:$A$204,STUDENTS!$C$5:$C$204,""),"")</f>
        <v/>
      </c>
      <c r="E576" s="10" t="str">
        <f ca="1">IFERROR(_xludf.XLOOKUP(C576,STUDENTS!$A$5:$A$204,STUDENTS!$L$5:$L$204,""),"")</f>
        <v/>
      </c>
      <c r="F576" s="10" t="str">
        <f t="shared" si="25"/>
        <v/>
      </c>
      <c r="G576" s="8"/>
      <c r="H576" s="11" t="str">
        <f>IF(B576="","",IF(OR(F576="Saturday",F576="Sunday"),SETTINGS!$B$11,IF(G576="Vacation",SETTINGS!$B$13,0)))</f>
        <v/>
      </c>
      <c r="I576" s="12" t="str">
        <f t="shared" si="26"/>
        <v/>
      </c>
      <c r="J576" s="8"/>
    </row>
    <row r="577" spans="1:10" x14ac:dyDescent="0.2">
      <c r="A577" s="7" t="str">
        <f t="shared" si="24"/>
        <v/>
      </c>
      <c r="B577" s="9"/>
      <c r="C577" s="8"/>
      <c r="D577" s="10" t="str">
        <f ca="1">IFERROR(_xludf.XLOOKUP(C577,STUDENTS!$A$5:$A$204,STUDENTS!$C$5:$C$204,""),"")</f>
        <v/>
      </c>
      <c r="E577" s="10" t="str">
        <f ca="1">IFERROR(_xludf.XLOOKUP(C577,STUDENTS!$A$5:$A$204,STUDENTS!$L$5:$L$204,""),"")</f>
        <v/>
      </c>
      <c r="F577" s="10" t="str">
        <f t="shared" si="25"/>
        <v/>
      </c>
      <c r="G577" s="8"/>
      <c r="H577" s="11" t="str">
        <f>IF(B577="","",IF(OR(F577="Saturday",F577="Sunday"),SETTINGS!$B$11,IF(G577="Vacation",SETTINGS!$B$13,0)))</f>
        <v/>
      </c>
      <c r="I577" s="12" t="str">
        <f t="shared" si="26"/>
        <v/>
      </c>
      <c r="J577" s="8"/>
    </row>
    <row r="578" spans="1:10" x14ac:dyDescent="0.2">
      <c r="A578" s="7" t="str">
        <f t="shared" si="24"/>
        <v/>
      </c>
      <c r="B578" s="9"/>
      <c r="C578" s="8"/>
      <c r="D578" s="10" t="str">
        <f ca="1">IFERROR(_xludf.XLOOKUP(C578,STUDENTS!$A$5:$A$204,STUDENTS!$C$5:$C$204,""),"")</f>
        <v/>
      </c>
      <c r="E578" s="10" t="str">
        <f ca="1">IFERROR(_xludf.XLOOKUP(C578,STUDENTS!$A$5:$A$204,STUDENTS!$L$5:$L$204,""),"")</f>
        <v/>
      </c>
      <c r="F578" s="10" t="str">
        <f t="shared" si="25"/>
        <v/>
      </c>
      <c r="G578" s="8"/>
      <c r="H578" s="11" t="str">
        <f>IF(B578="","",IF(OR(F578="Saturday",F578="Sunday"),SETTINGS!$B$11,IF(G578="Vacation",SETTINGS!$B$13,0)))</f>
        <v/>
      </c>
      <c r="I578" s="12" t="str">
        <f t="shared" si="26"/>
        <v/>
      </c>
      <c r="J578" s="8"/>
    </row>
    <row r="579" spans="1:10" x14ac:dyDescent="0.2">
      <c r="A579" s="7" t="str">
        <f t="shared" si="24"/>
        <v/>
      </c>
      <c r="B579" s="9"/>
      <c r="C579" s="8"/>
      <c r="D579" s="10" t="str">
        <f ca="1">IFERROR(_xludf.XLOOKUP(C579,STUDENTS!$A$5:$A$204,STUDENTS!$C$5:$C$204,""),"")</f>
        <v/>
      </c>
      <c r="E579" s="10" t="str">
        <f ca="1">IFERROR(_xludf.XLOOKUP(C579,STUDENTS!$A$5:$A$204,STUDENTS!$L$5:$L$204,""),"")</f>
        <v/>
      </c>
      <c r="F579" s="10" t="str">
        <f t="shared" si="25"/>
        <v/>
      </c>
      <c r="G579" s="8"/>
      <c r="H579" s="11" t="str">
        <f>IF(B579="","",IF(OR(F579="Saturday",F579="Sunday"),SETTINGS!$B$11,IF(G579="Vacation",SETTINGS!$B$13,0)))</f>
        <v/>
      </c>
      <c r="I579" s="12" t="str">
        <f t="shared" si="26"/>
        <v/>
      </c>
      <c r="J579" s="8"/>
    </row>
    <row r="580" spans="1:10" x14ac:dyDescent="0.2">
      <c r="A580" s="7" t="str">
        <f t="shared" si="24"/>
        <v/>
      </c>
      <c r="B580" s="9"/>
      <c r="C580" s="8"/>
      <c r="D580" s="10" t="str">
        <f ca="1">IFERROR(_xludf.XLOOKUP(C580,STUDENTS!$A$5:$A$204,STUDENTS!$C$5:$C$204,""),"")</f>
        <v/>
      </c>
      <c r="E580" s="10" t="str">
        <f ca="1">IFERROR(_xludf.XLOOKUP(C580,STUDENTS!$A$5:$A$204,STUDENTS!$L$5:$L$204,""),"")</f>
        <v/>
      </c>
      <c r="F580" s="10" t="str">
        <f t="shared" si="25"/>
        <v/>
      </c>
      <c r="G580" s="8"/>
      <c r="H580" s="11" t="str">
        <f>IF(B580="","",IF(OR(F580="Saturday",F580="Sunday"),SETTINGS!$B$11,IF(G580="Vacation",SETTINGS!$B$13,0)))</f>
        <v/>
      </c>
      <c r="I580" s="12" t="str">
        <f t="shared" si="26"/>
        <v/>
      </c>
      <c r="J580" s="8"/>
    </row>
    <row r="581" spans="1:10" x14ac:dyDescent="0.2">
      <c r="A581" s="7" t="str">
        <f t="shared" ref="A581:A644" si="27">IF(C581="","","F-"&amp;TEXT(ROW()-4,"00000"))</f>
        <v/>
      </c>
      <c r="B581" s="9"/>
      <c r="C581" s="8"/>
      <c r="D581" s="10" t="str">
        <f ca="1">IFERROR(_xludf.XLOOKUP(C581,STUDENTS!$A$5:$A$204,STUDENTS!$C$5:$C$204,""),"")</f>
        <v/>
      </c>
      <c r="E581" s="10" t="str">
        <f ca="1">IFERROR(_xludf.XLOOKUP(C581,STUDENTS!$A$5:$A$204,STUDENTS!$L$5:$L$204,""),"")</f>
        <v/>
      </c>
      <c r="F581" s="10" t="str">
        <f t="shared" ref="F581:F644" si="28">IF(B581="","",TEXT(B581,"dddd"))</f>
        <v/>
      </c>
      <c r="G581" s="8"/>
      <c r="H581" s="11" t="str">
        <f>IF(B581="","",IF(OR(F581="Saturday",F581="Sunday"),SETTINGS!$B$11,IF(G581="Vacation",SETTINGS!$B$13,0)))</f>
        <v/>
      </c>
      <c r="I581" s="12" t="str">
        <f t="shared" ref="I581:I644" si="29">IF(H581="","",H581)</f>
        <v/>
      </c>
      <c r="J581" s="8"/>
    </row>
    <row r="582" spans="1:10" x14ac:dyDescent="0.2">
      <c r="A582" s="7" t="str">
        <f t="shared" si="27"/>
        <v/>
      </c>
      <c r="B582" s="9"/>
      <c r="C582" s="8"/>
      <c r="D582" s="10" t="str">
        <f ca="1">IFERROR(_xludf.XLOOKUP(C582,STUDENTS!$A$5:$A$204,STUDENTS!$C$5:$C$204,""),"")</f>
        <v/>
      </c>
      <c r="E582" s="10" t="str">
        <f ca="1">IFERROR(_xludf.XLOOKUP(C582,STUDENTS!$A$5:$A$204,STUDENTS!$L$5:$L$204,""),"")</f>
        <v/>
      </c>
      <c r="F582" s="10" t="str">
        <f t="shared" si="28"/>
        <v/>
      </c>
      <c r="G582" s="8"/>
      <c r="H582" s="11" t="str">
        <f>IF(B582="","",IF(OR(F582="Saturday",F582="Sunday"),SETTINGS!$B$11,IF(G582="Vacation",SETTINGS!$B$13,0)))</f>
        <v/>
      </c>
      <c r="I582" s="12" t="str">
        <f t="shared" si="29"/>
        <v/>
      </c>
      <c r="J582" s="8"/>
    </row>
    <row r="583" spans="1:10" x14ac:dyDescent="0.2">
      <c r="A583" s="7" t="str">
        <f t="shared" si="27"/>
        <v/>
      </c>
      <c r="B583" s="9"/>
      <c r="C583" s="8"/>
      <c r="D583" s="10" t="str">
        <f ca="1">IFERROR(_xludf.XLOOKUP(C583,STUDENTS!$A$5:$A$204,STUDENTS!$C$5:$C$204,""),"")</f>
        <v/>
      </c>
      <c r="E583" s="10" t="str">
        <f ca="1">IFERROR(_xludf.XLOOKUP(C583,STUDENTS!$A$5:$A$204,STUDENTS!$L$5:$L$204,""),"")</f>
        <v/>
      </c>
      <c r="F583" s="10" t="str">
        <f t="shared" si="28"/>
        <v/>
      </c>
      <c r="G583" s="8"/>
      <c r="H583" s="11" t="str">
        <f>IF(B583="","",IF(OR(F583="Saturday",F583="Sunday"),SETTINGS!$B$11,IF(G583="Vacation",SETTINGS!$B$13,0)))</f>
        <v/>
      </c>
      <c r="I583" s="12" t="str">
        <f t="shared" si="29"/>
        <v/>
      </c>
      <c r="J583" s="8"/>
    </row>
    <row r="584" spans="1:10" x14ac:dyDescent="0.2">
      <c r="A584" s="7" t="str">
        <f t="shared" si="27"/>
        <v/>
      </c>
      <c r="B584" s="9"/>
      <c r="C584" s="8"/>
      <c r="D584" s="10" t="str">
        <f ca="1">IFERROR(_xludf.XLOOKUP(C584,STUDENTS!$A$5:$A$204,STUDENTS!$C$5:$C$204,""),"")</f>
        <v/>
      </c>
      <c r="E584" s="10" t="str">
        <f ca="1">IFERROR(_xludf.XLOOKUP(C584,STUDENTS!$A$5:$A$204,STUDENTS!$L$5:$L$204,""),"")</f>
        <v/>
      </c>
      <c r="F584" s="10" t="str">
        <f t="shared" si="28"/>
        <v/>
      </c>
      <c r="G584" s="8"/>
      <c r="H584" s="11" t="str">
        <f>IF(B584="","",IF(OR(F584="Saturday",F584="Sunday"),SETTINGS!$B$11,IF(G584="Vacation",SETTINGS!$B$13,0)))</f>
        <v/>
      </c>
      <c r="I584" s="12" t="str">
        <f t="shared" si="29"/>
        <v/>
      </c>
      <c r="J584" s="8"/>
    </row>
    <row r="585" spans="1:10" x14ac:dyDescent="0.2">
      <c r="A585" s="7" t="str">
        <f t="shared" si="27"/>
        <v/>
      </c>
      <c r="B585" s="9"/>
      <c r="C585" s="8"/>
      <c r="D585" s="10" t="str">
        <f ca="1">IFERROR(_xludf.XLOOKUP(C585,STUDENTS!$A$5:$A$204,STUDENTS!$C$5:$C$204,""),"")</f>
        <v/>
      </c>
      <c r="E585" s="10" t="str">
        <f ca="1">IFERROR(_xludf.XLOOKUP(C585,STUDENTS!$A$5:$A$204,STUDENTS!$L$5:$L$204,""),"")</f>
        <v/>
      </c>
      <c r="F585" s="10" t="str">
        <f t="shared" si="28"/>
        <v/>
      </c>
      <c r="G585" s="8"/>
      <c r="H585" s="11" t="str">
        <f>IF(B585="","",IF(OR(F585="Saturday",F585="Sunday"),SETTINGS!$B$11,IF(G585="Vacation",SETTINGS!$B$13,0)))</f>
        <v/>
      </c>
      <c r="I585" s="12" t="str">
        <f t="shared" si="29"/>
        <v/>
      </c>
      <c r="J585" s="8"/>
    </row>
    <row r="586" spans="1:10" x14ac:dyDescent="0.2">
      <c r="A586" s="7" t="str">
        <f t="shared" si="27"/>
        <v/>
      </c>
      <c r="B586" s="9"/>
      <c r="C586" s="8"/>
      <c r="D586" s="10" t="str">
        <f ca="1">IFERROR(_xludf.XLOOKUP(C586,STUDENTS!$A$5:$A$204,STUDENTS!$C$5:$C$204,""),"")</f>
        <v/>
      </c>
      <c r="E586" s="10" t="str">
        <f ca="1">IFERROR(_xludf.XLOOKUP(C586,STUDENTS!$A$5:$A$204,STUDENTS!$L$5:$L$204,""),"")</f>
        <v/>
      </c>
      <c r="F586" s="10" t="str">
        <f t="shared" si="28"/>
        <v/>
      </c>
      <c r="G586" s="8"/>
      <c r="H586" s="11" t="str">
        <f>IF(B586="","",IF(OR(F586="Saturday",F586="Sunday"),SETTINGS!$B$11,IF(G586="Vacation",SETTINGS!$B$13,0)))</f>
        <v/>
      </c>
      <c r="I586" s="12" t="str">
        <f t="shared" si="29"/>
        <v/>
      </c>
      <c r="J586" s="8"/>
    </row>
    <row r="587" spans="1:10" x14ac:dyDescent="0.2">
      <c r="A587" s="7" t="str">
        <f t="shared" si="27"/>
        <v/>
      </c>
      <c r="B587" s="9"/>
      <c r="C587" s="8"/>
      <c r="D587" s="10" t="str">
        <f ca="1">IFERROR(_xludf.XLOOKUP(C587,STUDENTS!$A$5:$A$204,STUDENTS!$C$5:$C$204,""),"")</f>
        <v/>
      </c>
      <c r="E587" s="10" t="str">
        <f ca="1">IFERROR(_xludf.XLOOKUP(C587,STUDENTS!$A$5:$A$204,STUDENTS!$L$5:$L$204,""),"")</f>
        <v/>
      </c>
      <c r="F587" s="10" t="str">
        <f t="shared" si="28"/>
        <v/>
      </c>
      <c r="G587" s="8"/>
      <c r="H587" s="11" t="str">
        <f>IF(B587="","",IF(OR(F587="Saturday",F587="Sunday"),SETTINGS!$B$11,IF(G587="Vacation",SETTINGS!$B$13,0)))</f>
        <v/>
      </c>
      <c r="I587" s="12" t="str">
        <f t="shared" si="29"/>
        <v/>
      </c>
      <c r="J587" s="8"/>
    </row>
    <row r="588" spans="1:10" x14ac:dyDescent="0.2">
      <c r="A588" s="7" t="str">
        <f t="shared" si="27"/>
        <v/>
      </c>
      <c r="B588" s="9"/>
      <c r="C588" s="8"/>
      <c r="D588" s="10" t="str">
        <f ca="1">IFERROR(_xludf.XLOOKUP(C588,STUDENTS!$A$5:$A$204,STUDENTS!$C$5:$C$204,""),"")</f>
        <v/>
      </c>
      <c r="E588" s="10" t="str">
        <f ca="1">IFERROR(_xludf.XLOOKUP(C588,STUDENTS!$A$5:$A$204,STUDENTS!$L$5:$L$204,""),"")</f>
        <v/>
      </c>
      <c r="F588" s="10" t="str">
        <f t="shared" si="28"/>
        <v/>
      </c>
      <c r="G588" s="8"/>
      <c r="H588" s="11" t="str">
        <f>IF(B588="","",IF(OR(F588="Saturday",F588="Sunday"),SETTINGS!$B$11,IF(G588="Vacation",SETTINGS!$B$13,0)))</f>
        <v/>
      </c>
      <c r="I588" s="12" t="str">
        <f t="shared" si="29"/>
        <v/>
      </c>
      <c r="J588" s="8"/>
    </row>
    <row r="589" spans="1:10" x14ac:dyDescent="0.2">
      <c r="A589" s="7" t="str">
        <f t="shared" si="27"/>
        <v/>
      </c>
      <c r="B589" s="9"/>
      <c r="C589" s="8"/>
      <c r="D589" s="10" t="str">
        <f ca="1">IFERROR(_xludf.XLOOKUP(C589,STUDENTS!$A$5:$A$204,STUDENTS!$C$5:$C$204,""),"")</f>
        <v/>
      </c>
      <c r="E589" s="10" t="str">
        <f ca="1">IFERROR(_xludf.XLOOKUP(C589,STUDENTS!$A$5:$A$204,STUDENTS!$L$5:$L$204,""),"")</f>
        <v/>
      </c>
      <c r="F589" s="10" t="str">
        <f t="shared" si="28"/>
        <v/>
      </c>
      <c r="G589" s="8"/>
      <c r="H589" s="11" t="str">
        <f>IF(B589="","",IF(OR(F589="Saturday",F589="Sunday"),SETTINGS!$B$11,IF(G589="Vacation",SETTINGS!$B$13,0)))</f>
        <v/>
      </c>
      <c r="I589" s="12" t="str">
        <f t="shared" si="29"/>
        <v/>
      </c>
      <c r="J589" s="8"/>
    </row>
    <row r="590" spans="1:10" x14ac:dyDescent="0.2">
      <c r="A590" s="7" t="str">
        <f t="shared" si="27"/>
        <v/>
      </c>
      <c r="B590" s="9"/>
      <c r="C590" s="8"/>
      <c r="D590" s="10" t="str">
        <f ca="1">IFERROR(_xludf.XLOOKUP(C590,STUDENTS!$A$5:$A$204,STUDENTS!$C$5:$C$204,""),"")</f>
        <v/>
      </c>
      <c r="E590" s="10" t="str">
        <f ca="1">IFERROR(_xludf.XLOOKUP(C590,STUDENTS!$A$5:$A$204,STUDENTS!$L$5:$L$204,""),"")</f>
        <v/>
      </c>
      <c r="F590" s="10" t="str">
        <f t="shared" si="28"/>
        <v/>
      </c>
      <c r="G590" s="8"/>
      <c r="H590" s="11" t="str">
        <f>IF(B590="","",IF(OR(F590="Saturday",F590="Sunday"),SETTINGS!$B$11,IF(G590="Vacation",SETTINGS!$B$13,0)))</f>
        <v/>
      </c>
      <c r="I590" s="12" t="str">
        <f t="shared" si="29"/>
        <v/>
      </c>
      <c r="J590" s="8"/>
    </row>
    <row r="591" spans="1:10" x14ac:dyDescent="0.2">
      <c r="A591" s="7" t="str">
        <f t="shared" si="27"/>
        <v/>
      </c>
      <c r="B591" s="9"/>
      <c r="C591" s="8"/>
      <c r="D591" s="10" t="str">
        <f ca="1">IFERROR(_xludf.XLOOKUP(C591,STUDENTS!$A$5:$A$204,STUDENTS!$C$5:$C$204,""),"")</f>
        <v/>
      </c>
      <c r="E591" s="10" t="str">
        <f ca="1">IFERROR(_xludf.XLOOKUP(C591,STUDENTS!$A$5:$A$204,STUDENTS!$L$5:$L$204,""),"")</f>
        <v/>
      </c>
      <c r="F591" s="10" t="str">
        <f t="shared" si="28"/>
        <v/>
      </c>
      <c r="G591" s="8"/>
      <c r="H591" s="11" t="str">
        <f>IF(B591="","",IF(OR(F591="Saturday",F591="Sunday"),SETTINGS!$B$11,IF(G591="Vacation",SETTINGS!$B$13,0)))</f>
        <v/>
      </c>
      <c r="I591" s="12" t="str">
        <f t="shared" si="29"/>
        <v/>
      </c>
      <c r="J591" s="8"/>
    </row>
    <row r="592" spans="1:10" x14ac:dyDescent="0.2">
      <c r="A592" s="7" t="str">
        <f t="shared" si="27"/>
        <v/>
      </c>
      <c r="B592" s="9"/>
      <c r="C592" s="8"/>
      <c r="D592" s="10" t="str">
        <f ca="1">IFERROR(_xludf.XLOOKUP(C592,STUDENTS!$A$5:$A$204,STUDENTS!$C$5:$C$204,""),"")</f>
        <v/>
      </c>
      <c r="E592" s="10" t="str">
        <f ca="1">IFERROR(_xludf.XLOOKUP(C592,STUDENTS!$A$5:$A$204,STUDENTS!$L$5:$L$204,""),"")</f>
        <v/>
      </c>
      <c r="F592" s="10" t="str">
        <f t="shared" si="28"/>
        <v/>
      </c>
      <c r="G592" s="8"/>
      <c r="H592" s="11" t="str">
        <f>IF(B592="","",IF(OR(F592="Saturday",F592="Sunday"),SETTINGS!$B$11,IF(G592="Vacation",SETTINGS!$B$13,0)))</f>
        <v/>
      </c>
      <c r="I592" s="12" t="str">
        <f t="shared" si="29"/>
        <v/>
      </c>
      <c r="J592" s="8"/>
    </row>
    <row r="593" spans="1:10" x14ac:dyDescent="0.2">
      <c r="A593" s="7" t="str">
        <f t="shared" si="27"/>
        <v/>
      </c>
      <c r="B593" s="9"/>
      <c r="C593" s="8"/>
      <c r="D593" s="10" t="str">
        <f ca="1">IFERROR(_xludf.XLOOKUP(C593,STUDENTS!$A$5:$A$204,STUDENTS!$C$5:$C$204,""),"")</f>
        <v/>
      </c>
      <c r="E593" s="10" t="str">
        <f ca="1">IFERROR(_xludf.XLOOKUP(C593,STUDENTS!$A$5:$A$204,STUDENTS!$L$5:$L$204,""),"")</f>
        <v/>
      </c>
      <c r="F593" s="10" t="str">
        <f t="shared" si="28"/>
        <v/>
      </c>
      <c r="G593" s="8"/>
      <c r="H593" s="11" t="str">
        <f>IF(B593="","",IF(OR(F593="Saturday",F593="Sunday"),SETTINGS!$B$11,IF(G593="Vacation",SETTINGS!$B$13,0)))</f>
        <v/>
      </c>
      <c r="I593" s="12" t="str">
        <f t="shared" si="29"/>
        <v/>
      </c>
      <c r="J593" s="8"/>
    </row>
    <row r="594" spans="1:10" x14ac:dyDescent="0.2">
      <c r="A594" s="7" t="str">
        <f t="shared" si="27"/>
        <v/>
      </c>
      <c r="B594" s="9"/>
      <c r="C594" s="8"/>
      <c r="D594" s="10" t="str">
        <f ca="1">IFERROR(_xludf.XLOOKUP(C594,STUDENTS!$A$5:$A$204,STUDENTS!$C$5:$C$204,""),"")</f>
        <v/>
      </c>
      <c r="E594" s="10" t="str">
        <f ca="1">IFERROR(_xludf.XLOOKUP(C594,STUDENTS!$A$5:$A$204,STUDENTS!$L$5:$L$204,""),"")</f>
        <v/>
      </c>
      <c r="F594" s="10" t="str">
        <f t="shared" si="28"/>
        <v/>
      </c>
      <c r="G594" s="8"/>
      <c r="H594" s="11" t="str">
        <f>IF(B594="","",IF(OR(F594="Saturday",F594="Sunday"),SETTINGS!$B$11,IF(G594="Vacation",SETTINGS!$B$13,0)))</f>
        <v/>
      </c>
      <c r="I594" s="12" t="str">
        <f t="shared" si="29"/>
        <v/>
      </c>
      <c r="J594" s="8"/>
    </row>
    <row r="595" spans="1:10" x14ac:dyDescent="0.2">
      <c r="A595" s="7" t="str">
        <f t="shared" si="27"/>
        <v/>
      </c>
      <c r="B595" s="9"/>
      <c r="C595" s="8"/>
      <c r="D595" s="10" t="str">
        <f ca="1">IFERROR(_xludf.XLOOKUP(C595,STUDENTS!$A$5:$A$204,STUDENTS!$C$5:$C$204,""),"")</f>
        <v/>
      </c>
      <c r="E595" s="10" t="str">
        <f ca="1">IFERROR(_xludf.XLOOKUP(C595,STUDENTS!$A$5:$A$204,STUDENTS!$L$5:$L$204,""),"")</f>
        <v/>
      </c>
      <c r="F595" s="10" t="str">
        <f t="shared" si="28"/>
        <v/>
      </c>
      <c r="G595" s="8"/>
      <c r="H595" s="11" t="str">
        <f>IF(B595="","",IF(OR(F595="Saturday",F595="Sunday"),SETTINGS!$B$11,IF(G595="Vacation",SETTINGS!$B$13,0)))</f>
        <v/>
      </c>
      <c r="I595" s="12" t="str">
        <f t="shared" si="29"/>
        <v/>
      </c>
      <c r="J595" s="8"/>
    </row>
    <row r="596" spans="1:10" x14ac:dyDescent="0.2">
      <c r="A596" s="7" t="str">
        <f t="shared" si="27"/>
        <v/>
      </c>
      <c r="B596" s="9"/>
      <c r="C596" s="8"/>
      <c r="D596" s="10" t="str">
        <f ca="1">IFERROR(_xludf.XLOOKUP(C596,STUDENTS!$A$5:$A$204,STUDENTS!$C$5:$C$204,""),"")</f>
        <v/>
      </c>
      <c r="E596" s="10" t="str">
        <f ca="1">IFERROR(_xludf.XLOOKUP(C596,STUDENTS!$A$5:$A$204,STUDENTS!$L$5:$L$204,""),"")</f>
        <v/>
      </c>
      <c r="F596" s="10" t="str">
        <f t="shared" si="28"/>
        <v/>
      </c>
      <c r="G596" s="8"/>
      <c r="H596" s="11" t="str">
        <f>IF(B596="","",IF(OR(F596="Saturday",F596="Sunday"),SETTINGS!$B$11,IF(G596="Vacation",SETTINGS!$B$13,0)))</f>
        <v/>
      </c>
      <c r="I596" s="12" t="str">
        <f t="shared" si="29"/>
        <v/>
      </c>
      <c r="J596" s="8"/>
    </row>
    <row r="597" spans="1:10" x14ac:dyDescent="0.2">
      <c r="A597" s="7" t="str">
        <f t="shared" si="27"/>
        <v/>
      </c>
      <c r="B597" s="9"/>
      <c r="C597" s="8"/>
      <c r="D597" s="10" t="str">
        <f ca="1">IFERROR(_xludf.XLOOKUP(C597,STUDENTS!$A$5:$A$204,STUDENTS!$C$5:$C$204,""),"")</f>
        <v/>
      </c>
      <c r="E597" s="10" t="str">
        <f ca="1">IFERROR(_xludf.XLOOKUP(C597,STUDENTS!$A$5:$A$204,STUDENTS!$L$5:$L$204,""),"")</f>
        <v/>
      </c>
      <c r="F597" s="10" t="str">
        <f t="shared" si="28"/>
        <v/>
      </c>
      <c r="G597" s="8"/>
      <c r="H597" s="11" t="str">
        <f>IF(B597="","",IF(OR(F597="Saturday",F597="Sunday"),SETTINGS!$B$11,IF(G597="Vacation",SETTINGS!$B$13,0)))</f>
        <v/>
      </c>
      <c r="I597" s="12" t="str">
        <f t="shared" si="29"/>
        <v/>
      </c>
      <c r="J597" s="8"/>
    </row>
    <row r="598" spans="1:10" x14ac:dyDescent="0.2">
      <c r="A598" s="7" t="str">
        <f t="shared" si="27"/>
        <v/>
      </c>
      <c r="B598" s="9"/>
      <c r="C598" s="8"/>
      <c r="D598" s="10" t="str">
        <f ca="1">IFERROR(_xludf.XLOOKUP(C598,STUDENTS!$A$5:$A$204,STUDENTS!$C$5:$C$204,""),"")</f>
        <v/>
      </c>
      <c r="E598" s="10" t="str">
        <f ca="1">IFERROR(_xludf.XLOOKUP(C598,STUDENTS!$A$5:$A$204,STUDENTS!$L$5:$L$204,""),"")</f>
        <v/>
      </c>
      <c r="F598" s="10" t="str">
        <f t="shared" si="28"/>
        <v/>
      </c>
      <c r="G598" s="8"/>
      <c r="H598" s="11" t="str">
        <f>IF(B598="","",IF(OR(F598="Saturday",F598="Sunday"),SETTINGS!$B$11,IF(G598="Vacation",SETTINGS!$B$13,0)))</f>
        <v/>
      </c>
      <c r="I598" s="12" t="str">
        <f t="shared" si="29"/>
        <v/>
      </c>
      <c r="J598" s="8"/>
    </row>
    <row r="599" spans="1:10" x14ac:dyDescent="0.2">
      <c r="A599" s="7" t="str">
        <f t="shared" si="27"/>
        <v/>
      </c>
      <c r="B599" s="9"/>
      <c r="C599" s="8"/>
      <c r="D599" s="10" t="str">
        <f ca="1">IFERROR(_xludf.XLOOKUP(C599,STUDENTS!$A$5:$A$204,STUDENTS!$C$5:$C$204,""),"")</f>
        <v/>
      </c>
      <c r="E599" s="10" t="str">
        <f ca="1">IFERROR(_xludf.XLOOKUP(C599,STUDENTS!$A$5:$A$204,STUDENTS!$L$5:$L$204,""),"")</f>
        <v/>
      </c>
      <c r="F599" s="10" t="str">
        <f t="shared" si="28"/>
        <v/>
      </c>
      <c r="G599" s="8"/>
      <c r="H599" s="11" t="str">
        <f>IF(B599="","",IF(OR(F599="Saturday",F599="Sunday"),SETTINGS!$B$11,IF(G599="Vacation",SETTINGS!$B$13,0)))</f>
        <v/>
      </c>
      <c r="I599" s="12" t="str">
        <f t="shared" si="29"/>
        <v/>
      </c>
      <c r="J599" s="8"/>
    </row>
    <row r="600" spans="1:10" x14ac:dyDescent="0.2">
      <c r="A600" s="7" t="str">
        <f t="shared" si="27"/>
        <v/>
      </c>
      <c r="B600" s="9"/>
      <c r="C600" s="8"/>
      <c r="D600" s="10" t="str">
        <f ca="1">IFERROR(_xludf.XLOOKUP(C600,STUDENTS!$A$5:$A$204,STUDENTS!$C$5:$C$204,""),"")</f>
        <v/>
      </c>
      <c r="E600" s="10" t="str">
        <f ca="1">IFERROR(_xludf.XLOOKUP(C600,STUDENTS!$A$5:$A$204,STUDENTS!$L$5:$L$204,""),"")</f>
        <v/>
      </c>
      <c r="F600" s="10" t="str">
        <f t="shared" si="28"/>
        <v/>
      </c>
      <c r="G600" s="8"/>
      <c r="H600" s="11" t="str">
        <f>IF(B600="","",IF(OR(F600="Saturday",F600="Sunday"),SETTINGS!$B$11,IF(G600="Vacation",SETTINGS!$B$13,0)))</f>
        <v/>
      </c>
      <c r="I600" s="12" t="str">
        <f t="shared" si="29"/>
        <v/>
      </c>
      <c r="J600" s="8"/>
    </row>
    <row r="601" spans="1:10" x14ac:dyDescent="0.2">
      <c r="A601" s="7" t="str">
        <f t="shared" si="27"/>
        <v/>
      </c>
      <c r="B601" s="9"/>
      <c r="C601" s="8"/>
      <c r="D601" s="10" t="str">
        <f ca="1">IFERROR(_xludf.XLOOKUP(C601,STUDENTS!$A$5:$A$204,STUDENTS!$C$5:$C$204,""),"")</f>
        <v/>
      </c>
      <c r="E601" s="10" t="str">
        <f ca="1">IFERROR(_xludf.XLOOKUP(C601,STUDENTS!$A$5:$A$204,STUDENTS!$L$5:$L$204,""),"")</f>
        <v/>
      </c>
      <c r="F601" s="10" t="str">
        <f t="shared" si="28"/>
        <v/>
      </c>
      <c r="G601" s="8"/>
      <c r="H601" s="11" t="str">
        <f>IF(B601="","",IF(OR(F601="Saturday",F601="Sunday"),SETTINGS!$B$11,IF(G601="Vacation",SETTINGS!$B$13,0)))</f>
        <v/>
      </c>
      <c r="I601" s="12" t="str">
        <f t="shared" si="29"/>
        <v/>
      </c>
      <c r="J601" s="8"/>
    </row>
    <row r="602" spans="1:10" x14ac:dyDescent="0.2">
      <c r="A602" s="7" t="str">
        <f t="shared" si="27"/>
        <v/>
      </c>
      <c r="B602" s="9"/>
      <c r="C602" s="8"/>
      <c r="D602" s="10" t="str">
        <f ca="1">IFERROR(_xludf.XLOOKUP(C602,STUDENTS!$A$5:$A$204,STUDENTS!$C$5:$C$204,""),"")</f>
        <v/>
      </c>
      <c r="E602" s="10" t="str">
        <f ca="1">IFERROR(_xludf.XLOOKUP(C602,STUDENTS!$A$5:$A$204,STUDENTS!$L$5:$L$204,""),"")</f>
        <v/>
      </c>
      <c r="F602" s="10" t="str">
        <f t="shared" si="28"/>
        <v/>
      </c>
      <c r="G602" s="8"/>
      <c r="H602" s="11" t="str">
        <f>IF(B602="","",IF(OR(F602="Saturday",F602="Sunday"),SETTINGS!$B$11,IF(G602="Vacation",SETTINGS!$B$13,0)))</f>
        <v/>
      </c>
      <c r="I602" s="12" t="str">
        <f t="shared" si="29"/>
        <v/>
      </c>
      <c r="J602" s="8"/>
    </row>
    <row r="603" spans="1:10" x14ac:dyDescent="0.2">
      <c r="A603" s="7" t="str">
        <f t="shared" si="27"/>
        <v/>
      </c>
      <c r="B603" s="9"/>
      <c r="C603" s="8"/>
      <c r="D603" s="10" t="str">
        <f ca="1">IFERROR(_xludf.XLOOKUP(C603,STUDENTS!$A$5:$A$204,STUDENTS!$C$5:$C$204,""),"")</f>
        <v/>
      </c>
      <c r="E603" s="10" t="str">
        <f ca="1">IFERROR(_xludf.XLOOKUP(C603,STUDENTS!$A$5:$A$204,STUDENTS!$L$5:$L$204,""),"")</f>
        <v/>
      </c>
      <c r="F603" s="10" t="str">
        <f t="shared" si="28"/>
        <v/>
      </c>
      <c r="G603" s="8"/>
      <c r="H603" s="11" t="str">
        <f>IF(B603="","",IF(OR(F603="Saturday",F603="Sunday"),SETTINGS!$B$11,IF(G603="Vacation",SETTINGS!$B$13,0)))</f>
        <v/>
      </c>
      <c r="I603" s="12" t="str">
        <f t="shared" si="29"/>
        <v/>
      </c>
      <c r="J603" s="8"/>
    </row>
    <row r="604" spans="1:10" x14ac:dyDescent="0.2">
      <c r="A604" s="7" t="str">
        <f t="shared" si="27"/>
        <v/>
      </c>
      <c r="B604" s="9"/>
      <c r="C604" s="8"/>
      <c r="D604" s="10" t="str">
        <f ca="1">IFERROR(_xludf.XLOOKUP(C604,STUDENTS!$A$5:$A$204,STUDENTS!$C$5:$C$204,""),"")</f>
        <v/>
      </c>
      <c r="E604" s="10" t="str">
        <f ca="1">IFERROR(_xludf.XLOOKUP(C604,STUDENTS!$A$5:$A$204,STUDENTS!$L$5:$L$204,""),"")</f>
        <v/>
      </c>
      <c r="F604" s="10" t="str">
        <f t="shared" si="28"/>
        <v/>
      </c>
      <c r="G604" s="8"/>
      <c r="H604" s="11" t="str">
        <f>IF(B604="","",IF(OR(F604="Saturday",F604="Sunday"),SETTINGS!$B$11,IF(G604="Vacation",SETTINGS!$B$13,0)))</f>
        <v/>
      </c>
      <c r="I604" s="12" t="str">
        <f t="shared" si="29"/>
        <v/>
      </c>
      <c r="J604" s="8"/>
    </row>
    <row r="605" spans="1:10" x14ac:dyDescent="0.2">
      <c r="A605" s="7" t="str">
        <f t="shared" si="27"/>
        <v/>
      </c>
      <c r="B605" s="9"/>
      <c r="C605" s="8"/>
      <c r="D605" s="10" t="str">
        <f ca="1">IFERROR(_xludf.XLOOKUP(C605,STUDENTS!$A$5:$A$204,STUDENTS!$C$5:$C$204,""),"")</f>
        <v/>
      </c>
      <c r="E605" s="10" t="str">
        <f ca="1">IFERROR(_xludf.XLOOKUP(C605,STUDENTS!$A$5:$A$204,STUDENTS!$L$5:$L$204,""),"")</f>
        <v/>
      </c>
      <c r="F605" s="10" t="str">
        <f t="shared" si="28"/>
        <v/>
      </c>
      <c r="G605" s="8"/>
      <c r="H605" s="11" t="str">
        <f>IF(B605="","",IF(OR(F605="Saturday",F605="Sunday"),SETTINGS!$B$11,IF(G605="Vacation",SETTINGS!$B$13,0)))</f>
        <v/>
      </c>
      <c r="I605" s="12" t="str">
        <f t="shared" si="29"/>
        <v/>
      </c>
      <c r="J605" s="8"/>
    </row>
    <row r="606" spans="1:10" x14ac:dyDescent="0.2">
      <c r="A606" s="7" t="str">
        <f t="shared" si="27"/>
        <v/>
      </c>
      <c r="B606" s="9"/>
      <c r="C606" s="8"/>
      <c r="D606" s="10" t="str">
        <f ca="1">IFERROR(_xludf.XLOOKUP(C606,STUDENTS!$A$5:$A$204,STUDENTS!$C$5:$C$204,""),"")</f>
        <v/>
      </c>
      <c r="E606" s="10" t="str">
        <f ca="1">IFERROR(_xludf.XLOOKUP(C606,STUDENTS!$A$5:$A$204,STUDENTS!$L$5:$L$204,""),"")</f>
        <v/>
      </c>
      <c r="F606" s="10" t="str">
        <f t="shared" si="28"/>
        <v/>
      </c>
      <c r="G606" s="8"/>
      <c r="H606" s="11" t="str">
        <f>IF(B606="","",IF(OR(F606="Saturday",F606="Sunday"),SETTINGS!$B$11,IF(G606="Vacation",SETTINGS!$B$13,0)))</f>
        <v/>
      </c>
      <c r="I606" s="12" t="str">
        <f t="shared" si="29"/>
        <v/>
      </c>
      <c r="J606" s="8"/>
    </row>
    <row r="607" spans="1:10" x14ac:dyDescent="0.2">
      <c r="A607" s="7" t="str">
        <f t="shared" si="27"/>
        <v/>
      </c>
      <c r="B607" s="9"/>
      <c r="C607" s="8"/>
      <c r="D607" s="10" t="str">
        <f ca="1">IFERROR(_xludf.XLOOKUP(C607,STUDENTS!$A$5:$A$204,STUDENTS!$C$5:$C$204,""),"")</f>
        <v/>
      </c>
      <c r="E607" s="10" t="str">
        <f ca="1">IFERROR(_xludf.XLOOKUP(C607,STUDENTS!$A$5:$A$204,STUDENTS!$L$5:$L$204,""),"")</f>
        <v/>
      </c>
      <c r="F607" s="10" t="str">
        <f t="shared" si="28"/>
        <v/>
      </c>
      <c r="G607" s="8"/>
      <c r="H607" s="11" t="str">
        <f>IF(B607="","",IF(OR(F607="Saturday",F607="Sunday"),SETTINGS!$B$11,IF(G607="Vacation",SETTINGS!$B$13,0)))</f>
        <v/>
      </c>
      <c r="I607" s="12" t="str">
        <f t="shared" si="29"/>
        <v/>
      </c>
      <c r="J607" s="8"/>
    </row>
    <row r="608" spans="1:10" x14ac:dyDescent="0.2">
      <c r="A608" s="7" t="str">
        <f t="shared" si="27"/>
        <v/>
      </c>
      <c r="B608" s="9"/>
      <c r="C608" s="8"/>
      <c r="D608" s="10" t="str">
        <f ca="1">IFERROR(_xludf.XLOOKUP(C608,STUDENTS!$A$5:$A$204,STUDENTS!$C$5:$C$204,""),"")</f>
        <v/>
      </c>
      <c r="E608" s="10" t="str">
        <f ca="1">IFERROR(_xludf.XLOOKUP(C608,STUDENTS!$A$5:$A$204,STUDENTS!$L$5:$L$204,""),"")</f>
        <v/>
      </c>
      <c r="F608" s="10" t="str">
        <f t="shared" si="28"/>
        <v/>
      </c>
      <c r="G608" s="8"/>
      <c r="H608" s="11" t="str">
        <f>IF(B608="","",IF(OR(F608="Saturday",F608="Sunday"),SETTINGS!$B$11,IF(G608="Vacation",SETTINGS!$B$13,0)))</f>
        <v/>
      </c>
      <c r="I608" s="12" t="str">
        <f t="shared" si="29"/>
        <v/>
      </c>
      <c r="J608" s="8"/>
    </row>
    <row r="609" spans="1:10" x14ac:dyDescent="0.2">
      <c r="A609" s="7" t="str">
        <f t="shared" si="27"/>
        <v/>
      </c>
      <c r="B609" s="9"/>
      <c r="C609" s="8"/>
      <c r="D609" s="10" t="str">
        <f ca="1">IFERROR(_xludf.XLOOKUP(C609,STUDENTS!$A$5:$A$204,STUDENTS!$C$5:$C$204,""),"")</f>
        <v/>
      </c>
      <c r="E609" s="10" t="str">
        <f ca="1">IFERROR(_xludf.XLOOKUP(C609,STUDENTS!$A$5:$A$204,STUDENTS!$L$5:$L$204,""),"")</f>
        <v/>
      </c>
      <c r="F609" s="10" t="str">
        <f t="shared" si="28"/>
        <v/>
      </c>
      <c r="G609" s="8"/>
      <c r="H609" s="11" t="str">
        <f>IF(B609="","",IF(OR(F609="Saturday",F609="Sunday"),SETTINGS!$B$11,IF(G609="Vacation",SETTINGS!$B$13,0)))</f>
        <v/>
      </c>
      <c r="I609" s="12" t="str">
        <f t="shared" si="29"/>
        <v/>
      </c>
      <c r="J609" s="8"/>
    </row>
    <row r="610" spans="1:10" x14ac:dyDescent="0.2">
      <c r="A610" s="7" t="str">
        <f t="shared" si="27"/>
        <v/>
      </c>
      <c r="B610" s="9"/>
      <c r="C610" s="8"/>
      <c r="D610" s="10" t="str">
        <f ca="1">IFERROR(_xludf.XLOOKUP(C610,STUDENTS!$A$5:$A$204,STUDENTS!$C$5:$C$204,""),"")</f>
        <v/>
      </c>
      <c r="E610" s="10" t="str">
        <f ca="1">IFERROR(_xludf.XLOOKUP(C610,STUDENTS!$A$5:$A$204,STUDENTS!$L$5:$L$204,""),"")</f>
        <v/>
      </c>
      <c r="F610" s="10" t="str">
        <f t="shared" si="28"/>
        <v/>
      </c>
      <c r="G610" s="8"/>
      <c r="H610" s="11" t="str">
        <f>IF(B610="","",IF(OR(F610="Saturday",F610="Sunday"),SETTINGS!$B$11,IF(G610="Vacation",SETTINGS!$B$13,0)))</f>
        <v/>
      </c>
      <c r="I610" s="12" t="str">
        <f t="shared" si="29"/>
        <v/>
      </c>
      <c r="J610" s="8"/>
    </row>
    <row r="611" spans="1:10" x14ac:dyDescent="0.2">
      <c r="A611" s="7" t="str">
        <f t="shared" si="27"/>
        <v/>
      </c>
      <c r="B611" s="9"/>
      <c r="C611" s="8"/>
      <c r="D611" s="10" t="str">
        <f ca="1">IFERROR(_xludf.XLOOKUP(C611,STUDENTS!$A$5:$A$204,STUDENTS!$C$5:$C$204,""),"")</f>
        <v/>
      </c>
      <c r="E611" s="10" t="str">
        <f ca="1">IFERROR(_xludf.XLOOKUP(C611,STUDENTS!$A$5:$A$204,STUDENTS!$L$5:$L$204,""),"")</f>
        <v/>
      </c>
      <c r="F611" s="10" t="str">
        <f t="shared" si="28"/>
        <v/>
      </c>
      <c r="G611" s="8"/>
      <c r="H611" s="11" t="str">
        <f>IF(B611="","",IF(OR(F611="Saturday",F611="Sunday"),SETTINGS!$B$11,IF(G611="Vacation",SETTINGS!$B$13,0)))</f>
        <v/>
      </c>
      <c r="I611" s="12" t="str">
        <f t="shared" si="29"/>
        <v/>
      </c>
      <c r="J611" s="8"/>
    </row>
    <row r="612" spans="1:10" x14ac:dyDescent="0.2">
      <c r="A612" s="7" t="str">
        <f t="shared" si="27"/>
        <v/>
      </c>
      <c r="B612" s="9"/>
      <c r="C612" s="8"/>
      <c r="D612" s="10" t="str">
        <f ca="1">IFERROR(_xludf.XLOOKUP(C612,STUDENTS!$A$5:$A$204,STUDENTS!$C$5:$C$204,""),"")</f>
        <v/>
      </c>
      <c r="E612" s="10" t="str">
        <f ca="1">IFERROR(_xludf.XLOOKUP(C612,STUDENTS!$A$5:$A$204,STUDENTS!$L$5:$L$204,""),"")</f>
        <v/>
      </c>
      <c r="F612" s="10" t="str">
        <f t="shared" si="28"/>
        <v/>
      </c>
      <c r="G612" s="8"/>
      <c r="H612" s="11" t="str">
        <f>IF(B612="","",IF(OR(F612="Saturday",F612="Sunday"),SETTINGS!$B$11,IF(G612="Vacation",SETTINGS!$B$13,0)))</f>
        <v/>
      </c>
      <c r="I612" s="12" t="str">
        <f t="shared" si="29"/>
        <v/>
      </c>
      <c r="J612" s="8"/>
    </row>
    <row r="613" spans="1:10" x14ac:dyDescent="0.2">
      <c r="A613" s="7" t="str">
        <f t="shared" si="27"/>
        <v/>
      </c>
      <c r="B613" s="9"/>
      <c r="C613" s="8"/>
      <c r="D613" s="10" t="str">
        <f ca="1">IFERROR(_xludf.XLOOKUP(C613,STUDENTS!$A$5:$A$204,STUDENTS!$C$5:$C$204,""),"")</f>
        <v/>
      </c>
      <c r="E613" s="10" t="str">
        <f ca="1">IFERROR(_xludf.XLOOKUP(C613,STUDENTS!$A$5:$A$204,STUDENTS!$L$5:$L$204,""),"")</f>
        <v/>
      </c>
      <c r="F613" s="10" t="str">
        <f t="shared" si="28"/>
        <v/>
      </c>
      <c r="G613" s="8"/>
      <c r="H613" s="11" t="str">
        <f>IF(B613="","",IF(OR(F613="Saturday",F613="Sunday"),SETTINGS!$B$11,IF(G613="Vacation",SETTINGS!$B$13,0)))</f>
        <v/>
      </c>
      <c r="I613" s="12" t="str">
        <f t="shared" si="29"/>
        <v/>
      </c>
      <c r="J613" s="8"/>
    </row>
    <row r="614" spans="1:10" x14ac:dyDescent="0.2">
      <c r="A614" s="7" t="str">
        <f t="shared" si="27"/>
        <v/>
      </c>
      <c r="B614" s="9"/>
      <c r="C614" s="8"/>
      <c r="D614" s="10" t="str">
        <f ca="1">IFERROR(_xludf.XLOOKUP(C614,STUDENTS!$A$5:$A$204,STUDENTS!$C$5:$C$204,""),"")</f>
        <v/>
      </c>
      <c r="E614" s="10" t="str">
        <f ca="1">IFERROR(_xludf.XLOOKUP(C614,STUDENTS!$A$5:$A$204,STUDENTS!$L$5:$L$204,""),"")</f>
        <v/>
      </c>
      <c r="F614" s="10" t="str">
        <f t="shared" si="28"/>
        <v/>
      </c>
      <c r="G614" s="8"/>
      <c r="H614" s="11" t="str">
        <f>IF(B614="","",IF(OR(F614="Saturday",F614="Sunday"),SETTINGS!$B$11,IF(G614="Vacation",SETTINGS!$B$13,0)))</f>
        <v/>
      </c>
      <c r="I614" s="12" t="str">
        <f t="shared" si="29"/>
        <v/>
      </c>
      <c r="J614" s="8"/>
    </row>
    <row r="615" spans="1:10" x14ac:dyDescent="0.2">
      <c r="A615" s="7" t="str">
        <f t="shared" si="27"/>
        <v/>
      </c>
      <c r="B615" s="9"/>
      <c r="C615" s="8"/>
      <c r="D615" s="10" t="str">
        <f ca="1">IFERROR(_xludf.XLOOKUP(C615,STUDENTS!$A$5:$A$204,STUDENTS!$C$5:$C$204,""),"")</f>
        <v/>
      </c>
      <c r="E615" s="10" t="str">
        <f ca="1">IFERROR(_xludf.XLOOKUP(C615,STUDENTS!$A$5:$A$204,STUDENTS!$L$5:$L$204,""),"")</f>
        <v/>
      </c>
      <c r="F615" s="10" t="str">
        <f t="shared" si="28"/>
        <v/>
      </c>
      <c r="G615" s="8"/>
      <c r="H615" s="11" t="str">
        <f>IF(B615="","",IF(OR(F615="Saturday",F615="Sunday"),SETTINGS!$B$11,IF(G615="Vacation",SETTINGS!$B$13,0)))</f>
        <v/>
      </c>
      <c r="I615" s="12" t="str">
        <f t="shared" si="29"/>
        <v/>
      </c>
      <c r="J615" s="8"/>
    </row>
    <row r="616" spans="1:10" x14ac:dyDescent="0.2">
      <c r="A616" s="7" t="str">
        <f t="shared" si="27"/>
        <v/>
      </c>
      <c r="B616" s="9"/>
      <c r="C616" s="8"/>
      <c r="D616" s="10" t="str">
        <f ca="1">IFERROR(_xludf.XLOOKUP(C616,STUDENTS!$A$5:$A$204,STUDENTS!$C$5:$C$204,""),"")</f>
        <v/>
      </c>
      <c r="E616" s="10" t="str">
        <f ca="1">IFERROR(_xludf.XLOOKUP(C616,STUDENTS!$A$5:$A$204,STUDENTS!$L$5:$L$204,""),"")</f>
        <v/>
      </c>
      <c r="F616" s="10" t="str">
        <f t="shared" si="28"/>
        <v/>
      </c>
      <c r="G616" s="8"/>
      <c r="H616" s="11" t="str">
        <f>IF(B616="","",IF(OR(F616="Saturday",F616="Sunday"),SETTINGS!$B$11,IF(G616="Vacation",SETTINGS!$B$13,0)))</f>
        <v/>
      </c>
      <c r="I616" s="12" t="str">
        <f t="shared" si="29"/>
        <v/>
      </c>
      <c r="J616" s="8"/>
    </row>
    <row r="617" spans="1:10" x14ac:dyDescent="0.2">
      <c r="A617" s="7" t="str">
        <f t="shared" si="27"/>
        <v/>
      </c>
      <c r="B617" s="9"/>
      <c r="C617" s="8"/>
      <c r="D617" s="10" t="str">
        <f ca="1">IFERROR(_xludf.XLOOKUP(C617,STUDENTS!$A$5:$A$204,STUDENTS!$C$5:$C$204,""),"")</f>
        <v/>
      </c>
      <c r="E617" s="10" t="str">
        <f ca="1">IFERROR(_xludf.XLOOKUP(C617,STUDENTS!$A$5:$A$204,STUDENTS!$L$5:$L$204,""),"")</f>
        <v/>
      </c>
      <c r="F617" s="10" t="str">
        <f t="shared" si="28"/>
        <v/>
      </c>
      <c r="G617" s="8"/>
      <c r="H617" s="11" t="str">
        <f>IF(B617="","",IF(OR(F617="Saturday",F617="Sunday"),SETTINGS!$B$11,IF(G617="Vacation",SETTINGS!$B$13,0)))</f>
        <v/>
      </c>
      <c r="I617" s="12" t="str">
        <f t="shared" si="29"/>
        <v/>
      </c>
      <c r="J617" s="8"/>
    </row>
    <row r="618" spans="1:10" x14ac:dyDescent="0.2">
      <c r="A618" s="7" t="str">
        <f t="shared" si="27"/>
        <v/>
      </c>
      <c r="B618" s="9"/>
      <c r="C618" s="8"/>
      <c r="D618" s="10" t="str">
        <f ca="1">IFERROR(_xludf.XLOOKUP(C618,STUDENTS!$A$5:$A$204,STUDENTS!$C$5:$C$204,""),"")</f>
        <v/>
      </c>
      <c r="E618" s="10" t="str">
        <f ca="1">IFERROR(_xludf.XLOOKUP(C618,STUDENTS!$A$5:$A$204,STUDENTS!$L$5:$L$204,""),"")</f>
        <v/>
      </c>
      <c r="F618" s="10" t="str">
        <f t="shared" si="28"/>
        <v/>
      </c>
      <c r="G618" s="8"/>
      <c r="H618" s="11" t="str">
        <f>IF(B618="","",IF(OR(F618="Saturday",F618="Sunday"),SETTINGS!$B$11,IF(G618="Vacation",SETTINGS!$B$13,0)))</f>
        <v/>
      </c>
      <c r="I618" s="12" t="str">
        <f t="shared" si="29"/>
        <v/>
      </c>
      <c r="J618" s="8"/>
    </row>
    <row r="619" spans="1:10" x14ac:dyDescent="0.2">
      <c r="A619" s="7" t="str">
        <f t="shared" si="27"/>
        <v/>
      </c>
      <c r="B619" s="9"/>
      <c r="C619" s="8"/>
      <c r="D619" s="10" t="str">
        <f ca="1">IFERROR(_xludf.XLOOKUP(C619,STUDENTS!$A$5:$A$204,STUDENTS!$C$5:$C$204,""),"")</f>
        <v/>
      </c>
      <c r="E619" s="10" t="str">
        <f ca="1">IFERROR(_xludf.XLOOKUP(C619,STUDENTS!$A$5:$A$204,STUDENTS!$L$5:$L$204,""),"")</f>
        <v/>
      </c>
      <c r="F619" s="10" t="str">
        <f t="shared" si="28"/>
        <v/>
      </c>
      <c r="G619" s="8"/>
      <c r="H619" s="11" t="str">
        <f>IF(B619="","",IF(OR(F619="Saturday",F619="Sunday"),SETTINGS!$B$11,IF(G619="Vacation",SETTINGS!$B$13,0)))</f>
        <v/>
      </c>
      <c r="I619" s="12" t="str">
        <f t="shared" si="29"/>
        <v/>
      </c>
      <c r="J619" s="8"/>
    </row>
    <row r="620" spans="1:10" x14ac:dyDescent="0.2">
      <c r="A620" s="7" t="str">
        <f t="shared" si="27"/>
        <v/>
      </c>
      <c r="B620" s="9"/>
      <c r="C620" s="8"/>
      <c r="D620" s="10" t="str">
        <f ca="1">IFERROR(_xludf.XLOOKUP(C620,STUDENTS!$A$5:$A$204,STUDENTS!$C$5:$C$204,""),"")</f>
        <v/>
      </c>
      <c r="E620" s="10" t="str">
        <f ca="1">IFERROR(_xludf.XLOOKUP(C620,STUDENTS!$A$5:$A$204,STUDENTS!$L$5:$L$204,""),"")</f>
        <v/>
      </c>
      <c r="F620" s="10" t="str">
        <f t="shared" si="28"/>
        <v/>
      </c>
      <c r="G620" s="8"/>
      <c r="H620" s="11" t="str">
        <f>IF(B620="","",IF(OR(F620="Saturday",F620="Sunday"),SETTINGS!$B$11,IF(G620="Vacation",SETTINGS!$B$13,0)))</f>
        <v/>
      </c>
      <c r="I620" s="12" t="str">
        <f t="shared" si="29"/>
        <v/>
      </c>
      <c r="J620" s="8"/>
    </row>
    <row r="621" spans="1:10" x14ac:dyDescent="0.2">
      <c r="A621" s="7" t="str">
        <f t="shared" si="27"/>
        <v/>
      </c>
      <c r="B621" s="9"/>
      <c r="C621" s="8"/>
      <c r="D621" s="10" t="str">
        <f ca="1">IFERROR(_xludf.XLOOKUP(C621,STUDENTS!$A$5:$A$204,STUDENTS!$C$5:$C$204,""),"")</f>
        <v/>
      </c>
      <c r="E621" s="10" t="str">
        <f ca="1">IFERROR(_xludf.XLOOKUP(C621,STUDENTS!$A$5:$A$204,STUDENTS!$L$5:$L$204,""),"")</f>
        <v/>
      </c>
      <c r="F621" s="10" t="str">
        <f t="shared" si="28"/>
        <v/>
      </c>
      <c r="G621" s="8"/>
      <c r="H621" s="11" t="str">
        <f>IF(B621="","",IF(OR(F621="Saturday",F621="Sunday"),SETTINGS!$B$11,IF(G621="Vacation",SETTINGS!$B$13,0)))</f>
        <v/>
      </c>
      <c r="I621" s="12" t="str">
        <f t="shared" si="29"/>
        <v/>
      </c>
      <c r="J621" s="8"/>
    </row>
    <row r="622" spans="1:10" x14ac:dyDescent="0.2">
      <c r="A622" s="7" t="str">
        <f t="shared" si="27"/>
        <v/>
      </c>
      <c r="B622" s="9"/>
      <c r="C622" s="8"/>
      <c r="D622" s="10" t="str">
        <f ca="1">IFERROR(_xludf.XLOOKUP(C622,STUDENTS!$A$5:$A$204,STUDENTS!$C$5:$C$204,""),"")</f>
        <v/>
      </c>
      <c r="E622" s="10" t="str">
        <f ca="1">IFERROR(_xludf.XLOOKUP(C622,STUDENTS!$A$5:$A$204,STUDENTS!$L$5:$L$204,""),"")</f>
        <v/>
      </c>
      <c r="F622" s="10" t="str">
        <f t="shared" si="28"/>
        <v/>
      </c>
      <c r="G622" s="8"/>
      <c r="H622" s="11" t="str">
        <f>IF(B622="","",IF(OR(F622="Saturday",F622="Sunday"),SETTINGS!$B$11,IF(G622="Vacation",SETTINGS!$B$13,0)))</f>
        <v/>
      </c>
      <c r="I622" s="12" t="str">
        <f t="shared" si="29"/>
        <v/>
      </c>
      <c r="J622" s="8"/>
    </row>
    <row r="623" spans="1:10" x14ac:dyDescent="0.2">
      <c r="A623" s="7" t="str">
        <f t="shared" si="27"/>
        <v/>
      </c>
      <c r="B623" s="9"/>
      <c r="C623" s="8"/>
      <c r="D623" s="10" t="str">
        <f ca="1">IFERROR(_xludf.XLOOKUP(C623,STUDENTS!$A$5:$A$204,STUDENTS!$C$5:$C$204,""),"")</f>
        <v/>
      </c>
      <c r="E623" s="10" t="str">
        <f ca="1">IFERROR(_xludf.XLOOKUP(C623,STUDENTS!$A$5:$A$204,STUDENTS!$L$5:$L$204,""),"")</f>
        <v/>
      </c>
      <c r="F623" s="10" t="str">
        <f t="shared" si="28"/>
        <v/>
      </c>
      <c r="G623" s="8"/>
      <c r="H623" s="11" t="str">
        <f>IF(B623="","",IF(OR(F623="Saturday",F623="Sunday"),SETTINGS!$B$11,IF(G623="Vacation",SETTINGS!$B$13,0)))</f>
        <v/>
      </c>
      <c r="I623" s="12" t="str">
        <f t="shared" si="29"/>
        <v/>
      </c>
      <c r="J623" s="8"/>
    </row>
    <row r="624" spans="1:10" x14ac:dyDescent="0.2">
      <c r="A624" s="7" t="str">
        <f t="shared" si="27"/>
        <v/>
      </c>
      <c r="B624" s="9"/>
      <c r="C624" s="8"/>
      <c r="D624" s="10" t="str">
        <f ca="1">IFERROR(_xludf.XLOOKUP(C624,STUDENTS!$A$5:$A$204,STUDENTS!$C$5:$C$204,""),"")</f>
        <v/>
      </c>
      <c r="E624" s="10" t="str">
        <f ca="1">IFERROR(_xludf.XLOOKUP(C624,STUDENTS!$A$5:$A$204,STUDENTS!$L$5:$L$204,""),"")</f>
        <v/>
      </c>
      <c r="F624" s="10" t="str">
        <f t="shared" si="28"/>
        <v/>
      </c>
      <c r="G624" s="8"/>
      <c r="H624" s="11" t="str">
        <f>IF(B624="","",IF(OR(F624="Saturday",F624="Sunday"),SETTINGS!$B$11,IF(G624="Vacation",SETTINGS!$B$13,0)))</f>
        <v/>
      </c>
      <c r="I624" s="12" t="str">
        <f t="shared" si="29"/>
        <v/>
      </c>
      <c r="J624" s="8"/>
    </row>
    <row r="625" spans="1:10" x14ac:dyDescent="0.2">
      <c r="A625" s="7" t="str">
        <f t="shared" si="27"/>
        <v/>
      </c>
      <c r="B625" s="9"/>
      <c r="C625" s="8"/>
      <c r="D625" s="10" t="str">
        <f ca="1">IFERROR(_xludf.XLOOKUP(C625,STUDENTS!$A$5:$A$204,STUDENTS!$C$5:$C$204,""),"")</f>
        <v/>
      </c>
      <c r="E625" s="10" t="str">
        <f ca="1">IFERROR(_xludf.XLOOKUP(C625,STUDENTS!$A$5:$A$204,STUDENTS!$L$5:$L$204,""),"")</f>
        <v/>
      </c>
      <c r="F625" s="10" t="str">
        <f t="shared" si="28"/>
        <v/>
      </c>
      <c r="G625" s="8"/>
      <c r="H625" s="11" t="str">
        <f>IF(B625="","",IF(OR(F625="Saturday",F625="Sunday"),SETTINGS!$B$11,IF(G625="Vacation",SETTINGS!$B$13,0)))</f>
        <v/>
      </c>
      <c r="I625" s="12" t="str">
        <f t="shared" si="29"/>
        <v/>
      </c>
      <c r="J625" s="8"/>
    </row>
    <row r="626" spans="1:10" x14ac:dyDescent="0.2">
      <c r="A626" s="7" t="str">
        <f t="shared" si="27"/>
        <v/>
      </c>
      <c r="B626" s="9"/>
      <c r="C626" s="8"/>
      <c r="D626" s="10" t="str">
        <f ca="1">IFERROR(_xludf.XLOOKUP(C626,STUDENTS!$A$5:$A$204,STUDENTS!$C$5:$C$204,""),"")</f>
        <v/>
      </c>
      <c r="E626" s="10" t="str">
        <f ca="1">IFERROR(_xludf.XLOOKUP(C626,STUDENTS!$A$5:$A$204,STUDENTS!$L$5:$L$204,""),"")</f>
        <v/>
      </c>
      <c r="F626" s="10" t="str">
        <f t="shared" si="28"/>
        <v/>
      </c>
      <c r="G626" s="8"/>
      <c r="H626" s="11" t="str">
        <f>IF(B626="","",IF(OR(F626="Saturday",F626="Sunday"),SETTINGS!$B$11,IF(G626="Vacation",SETTINGS!$B$13,0)))</f>
        <v/>
      </c>
      <c r="I626" s="12" t="str">
        <f t="shared" si="29"/>
        <v/>
      </c>
      <c r="J626" s="8"/>
    </row>
    <row r="627" spans="1:10" x14ac:dyDescent="0.2">
      <c r="A627" s="7" t="str">
        <f t="shared" si="27"/>
        <v/>
      </c>
      <c r="B627" s="9"/>
      <c r="C627" s="8"/>
      <c r="D627" s="10" t="str">
        <f ca="1">IFERROR(_xludf.XLOOKUP(C627,STUDENTS!$A$5:$A$204,STUDENTS!$C$5:$C$204,""),"")</f>
        <v/>
      </c>
      <c r="E627" s="10" t="str">
        <f ca="1">IFERROR(_xludf.XLOOKUP(C627,STUDENTS!$A$5:$A$204,STUDENTS!$L$5:$L$204,""),"")</f>
        <v/>
      </c>
      <c r="F627" s="10" t="str">
        <f t="shared" si="28"/>
        <v/>
      </c>
      <c r="G627" s="8"/>
      <c r="H627" s="11" t="str">
        <f>IF(B627="","",IF(OR(F627="Saturday",F627="Sunday"),SETTINGS!$B$11,IF(G627="Vacation",SETTINGS!$B$13,0)))</f>
        <v/>
      </c>
      <c r="I627" s="12" t="str">
        <f t="shared" si="29"/>
        <v/>
      </c>
      <c r="J627" s="8"/>
    </row>
    <row r="628" spans="1:10" x14ac:dyDescent="0.2">
      <c r="A628" s="7" t="str">
        <f t="shared" si="27"/>
        <v/>
      </c>
      <c r="B628" s="9"/>
      <c r="C628" s="8"/>
      <c r="D628" s="10" t="str">
        <f ca="1">IFERROR(_xludf.XLOOKUP(C628,STUDENTS!$A$5:$A$204,STUDENTS!$C$5:$C$204,""),"")</f>
        <v/>
      </c>
      <c r="E628" s="10" t="str">
        <f ca="1">IFERROR(_xludf.XLOOKUP(C628,STUDENTS!$A$5:$A$204,STUDENTS!$L$5:$L$204,""),"")</f>
        <v/>
      </c>
      <c r="F628" s="10" t="str">
        <f t="shared" si="28"/>
        <v/>
      </c>
      <c r="G628" s="8"/>
      <c r="H628" s="11" t="str">
        <f>IF(B628="","",IF(OR(F628="Saturday",F628="Sunday"),SETTINGS!$B$11,IF(G628="Vacation",SETTINGS!$B$13,0)))</f>
        <v/>
      </c>
      <c r="I628" s="12" t="str">
        <f t="shared" si="29"/>
        <v/>
      </c>
      <c r="J628" s="8"/>
    </row>
    <row r="629" spans="1:10" x14ac:dyDescent="0.2">
      <c r="A629" s="7" t="str">
        <f t="shared" si="27"/>
        <v/>
      </c>
      <c r="B629" s="9"/>
      <c r="C629" s="8"/>
      <c r="D629" s="10" t="str">
        <f ca="1">IFERROR(_xludf.XLOOKUP(C629,STUDENTS!$A$5:$A$204,STUDENTS!$C$5:$C$204,""),"")</f>
        <v/>
      </c>
      <c r="E629" s="10" t="str">
        <f ca="1">IFERROR(_xludf.XLOOKUP(C629,STUDENTS!$A$5:$A$204,STUDENTS!$L$5:$L$204,""),"")</f>
        <v/>
      </c>
      <c r="F629" s="10" t="str">
        <f t="shared" si="28"/>
        <v/>
      </c>
      <c r="G629" s="8"/>
      <c r="H629" s="11" t="str">
        <f>IF(B629="","",IF(OR(F629="Saturday",F629="Sunday"),SETTINGS!$B$11,IF(G629="Vacation",SETTINGS!$B$13,0)))</f>
        <v/>
      </c>
      <c r="I629" s="12" t="str">
        <f t="shared" si="29"/>
        <v/>
      </c>
      <c r="J629" s="8"/>
    </row>
    <row r="630" spans="1:10" x14ac:dyDescent="0.2">
      <c r="A630" s="7" t="str">
        <f t="shared" si="27"/>
        <v/>
      </c>
      <c r="B630" s="9"/>
      <c r="C630" s="8"/>
      <c r="D630" s="10" t="str">
        <f ca="1">IFERROR(_xludf.XLOOKUP(C630,STUDENTS!$A$5:$A$204,STUDENTS!$C$5:$C$204,""),"")</f>
        <v/>
      </c>
      <c r="E630" s="10" t="str">
        <f ca="1">IFERROR(_xludf.XLOOKUP(C630,STUDENTS!$A$5:$A$204,STUDENTS!$L$5:$L$204,""),"")</f>
        <v/>
      </c>
      <c r="F630" s="10" t="str">
        <f t="shared" si="28"/>
        <v/>
      </c>
      <c r="G630" s="8"/>
      <c r="H630" s="11" t="str">
        <f>IF(B630="","",IF(OR(F630="Saturday",F630="Sunday"),SETTINGS!$B$11,IF(G630="Vacation",SETTINGS!$B$13,0)))</f>
        <v/>
      </c>
      <c r="I630" s="12" t="str">
        <f t="shared" si="29"/>
        <v/>
      </c>
      <c r="J630" s="8"/>
    </row>
    <row r="631" spans="1:10" x14ac:dyDescent="0.2">
      <c r="A631" s="7" t="str">
        <f t="shared" si="27"/>
        <v/>
      </c>
      <c r="B631" s="9"/>
      <c r="C631" s="8"/>
      <c r="D631" s="10" t="str">
        <f ca="1">IFERROR(_xludf.XLOOKUP(C631,STUDENTS!$A$5:$A$204,STUDENTS!$C$5:$C$204,""),"")</f>
        <v/>
      </c>
      <c r="E631" s="10" t="str">
        <f ca="1">IFERROR(_xludf.XLOOKUP(C631,STUDENTS!$A$5:$A$204,STUDENTS!$L$5:$L$204,""),"")</f>
        <v/>
      </c>
      <c r="F631" s="10" t="str">
        <f t="shared" si="28"/>
        <v/>
      </c>
      <c r="G631" s="8"/>
      <c r="H631" s="11" t="str">
        <f>IF(B631="","",IF(OR(F631="Saturday",F631="Sunday"),SETTINGS!$B$11,IF(G631="Vacation",SETTINGS!$B$13,0)))</f>
        <v/>
      </c>
      <c r="I631" s="12" t="str">
        <f t="shared" si="29"/>
        <v/>
      </c>
      <c r="J631" s="8"/>
    </row>
    <row r="632" spans="1:10" x14ac:dyDescent="0.2">
      <c r="A632" s="7" t="str">
        <f t="shared" si="27"/>
        <v/>
      </c>
      <c r="B632" s="9"/>
      <c r="C632" s="8"/>
      <c r="D632" s="10" t="str">
        <f ca="1">IFERROR(_xludf.XLOOKUP(C632,STUDENTS!$A$5:$A$204,STUDENTS!$C$5:$C$204,""),"")</f>
        <v/>
      </c>
      <c r="E632" s="10" t="str">
        <f ca="1">IFERROR(_xludf.XLOOKUP(C632,STUDENTS!$A$5:$A$204,STUDENTS!$L$5:$L$204,""),"")</f>
        <v/>
      </c>
      <c r="F632" s="10" t="str">
        <f t="shared" si="28"/>
        <v/>
      </c>
      <c r="G632" s="8"/>
      <c r="H632" s="11" t="str">
        <f>IF(B632="","",IF(OR(F632="Saturday",F632="Sunday"),SETTINGS!$B$11,IF(G632="Vacation",SETTINGS!$B$13,0)))</f>
        <v/>
      </c>
      <c r="I632" s="12" t="str">
        <f t="shared" si="29"/>
        <v/>
      </c>
      <c r="J632" s="8"/>
    </row>
    <row r="633" spans="1:10" x14ac:dyDescent="0.2">
      <c r="A633" s="7" t="str">
        <f t="shared" si="27"/>
        <v/>
      </c>
      <c r="B633" s="9"/>
      <c r="C633" s="8"/>
      <c r="D633" s="10" t="str">
        <f ca="1">IFERROR(_xludf.XLOOKUP(C633,STUDENTS!$A$5:$A$204,STUDENTS!$C$5:$C$204,""),"")</f>
        <v/>
      </c>
      <c r="E633" s="10" t="str">
        <f ca="1">IFERROR(_xludf.XLOOKUP(C633,STUDENTS!$A$5:$A$204,STUDENTS!$L$5:$L$204,""),"")</f>
        <v/>
      </c>
      <c r="F633" s="10" t="str">
        <f t="shared" si="28"/>
        <v/>
      </c>
      <c r="G633" s="8"/>
      <c r="H633" s="11" t="str">
        <f>IF(B633="","",IF(OR(F633="Saturday",F633="Sunday"),SETTINGS!$B$11,IF(G633="Vacation",SETTINGS!$B$13,0)))</f>
        <v/>
      </c>
      <c r="I633" s="12" t="str">
        <f t="shared" si="29"/>
        <v/>
      </c>
      <c r="J633" s="8"/>
    </row>
    <row r="634" spans="1:10" x14ac:dyDescent="0.2">
      <c r="A634" s="7" t="str">
        <f t="shared" si="27"/>
        <v/>
      </c>
      <c r="B634" s="9"/>
      <c r="C634" s="8"/>
      <c r="D634" s="10" t="str">
        <f ca="1">IFERROR(_xludf.XLOOKUP(C634,STUDENTS!$A$5:$A$204,STUDENTS!$C$5:$C$204,""),"")</f>
        <v/>
      </c>
      <c r="E634" s="10" t="str">
        <f ca="1">IFERROR(_xludf.XLOOKUP(C634,STUDENTS!$A$5:$A$204,STUDENTS!$L$5:$L$204,""),"")</f>
        <v/>
      </c>
      <c r="F634" s="10" t="str">
        <f t="shared" si="28"/>
        <v/>
      </c>
      <c r="G634" s="8"/>
      <c r="H634" s="11" t="str">
        <f>IF(B634="","",IF(OR(F634="Saturday",F634="Sunday"),SETTINGS!$B$11,IF(G634="Vacation",SETTINGS!$B$13,0)))</f>
        <v/>
      </c>
      <c r="I634" s="12" t="str">
        <f t="shared" si="29"/>
        <v/>
      </c>
      <c r="J634" s="8"/>
    </row>
    <row r="635" spans="1:10" x14ac:dyDescent="0.2">
      <c r="A635" s="7" t="str">
        <f t="shared" si="27"/>
        <v/>
      </c>
      <c r="B635" s="9"/>
      <c r="C635" s="8"/>
      <c r="D635" s="10" t="str">
        <f ca="1">IFERROR(_xludf.XLOOKUP(C635,STUDENTS!$A$5:$A$204,STUDENTS!$C$5:$C$204,""),"")</f>
        <v/>
      </c>
      <c r="E635" s="10" t="str">
        <f ca="1">IFERROR(_xludf.XLOOKUP(C635,STUDENTS!$A$5:$A$204,STUDENTS!$L$5:$L$204,""),"")</f>
        <v/>
      </c>
      <c r="F635" s="10" t="str">
        <f t="shared" si="28"/>
        <v/>
      </c>
      <c r="G635" s="8"/>
      <c r="H635" s="11" t="str">
        <f>IF(B635="","",IF(OR(F635="Saturday",F635="Sunday"),SETTINGS!$B$11,IF(G635="Vacation",SETTINGS!$B$13,0)))</f>
        <v/>
      </c>
      <c r="I635" s="12" t="str">
        <f t="shared" si="29"/>
        <v/>
      </c>
      <c r="J635" s="8"/>
    </row>
    <row r="636" spans="1:10" x14ac:dyDescent="0.2">
      <c r="A636" s="7" t="str">
        <f t="shared" si="27"/>
        <v/>
      </c>
      <c r="B636" s="9"/>
      <c r="C636" s="8"/>
      <c r="D636" s="10" t="str">
        <f ca="1">IFERROR(_xludf.XLOOKUP(C636,STUDENTS!$A$5:$A$204,STUDENTS!$C$5:$C$204,""),"")</f>
        <v/>
      </c>
      <c r="E636" s="10" t="str">
        <f ca="1">IFERROR(_xludf.XLOOKUP(C636,STUDENTS!$A$5:$A$204,STUDENTS!$L$5:$L$204,""),"")</f>
        <v/>
      </c>
      <c r="F636" s="10" t="str">
        <f t="shared" si="28"/>
        <v/>
      </c>
      <c r="G636" s="8"/>
      <c r="H636" s="11" t="str">
        <f>IF(B636="","",IF(OR(F636="Saturday",F636="Sunday"),SETTINGS!$B$11,IF(G636="Vacation",SETTINGS!$B$13,0)))</f>
        <v/>
      </c>
      <c r="I636" s="12" t="str">
        <f t="shared" si="29"/>
        <v/>
      </c>
      <c r="J636" s="8"/>
    </row>
    <row r="637" spans="1:10" x14ac:dyDescent="0.2">
      <c r="A637" s="7" t="str">
        <f t="shared" si="27"/>
        <v/>
      </c>
      <c r="B637" s="9"/>
      <c r="C637" s="8"/>
      <c r="D637" s="10" t="str">
        <f ca="1">IFERROR(_xludf.XLOOKUP(C637,STUDENTS!$A$5:$A$204,STUDENTS!$C$5:$C$204,""),"")</f>
        <v/>
      </c>
      <c r="E637" s="10" t="str">
        <f ca="1">IFERROR(_xludf.XLOOKUP(C637,STUDENTS!$A$5:$A$204,STUDENTS!$L$5:$L$204,""),"")</f>
        <v/>
      </c>
      <c r="F637" s="10" t="str">
        <f t="shared" si="28"/>
        <v/>
      </c>
      <c r="G637" s="8"/>
      <c r="H637" s="11" t="str">
        <f>IF(B637="","",IF(OR(F637="Saturday",F637="Sunday"),SETTINGS!$B$11,IF(G637="Vacation",SETTINGS!$B$13,0)))</f>
        <v/>
      </c>
      <c r="I637" s="12" t="str">
        <f t="shared" si="29"/>
        <v/>
      </c>
      <c r="J637" s="8"/>
    </row>
    <row r="638" spans="1:10" x14ac:dyDescent="0.2">
      <c r="A638" s="7" t="str">
        <f t="shared" si="27"/>
        <v/>
      </c>
      <c r="B638" s="9"/>
      <c r="C638" s="8"/>
      <c r="D638" s="10" t="str">
        <f ca="1">IFERROR(_xludf.XLOOKUP(C638,STUDENTS!$A$5:$A$204,STUDENTS!$C$5:$C$204,""),"")</f>
        <v/>
      </c>
      <c r="E638" s="10" t="str">
        <f ca="1">IFERROR(_xludf.XLOOKUP(C638,STUDENTS!$A$5:$A$204,STUDENTS!$L$5:$L$204,""),"")</f>
        <v/>
      </c>
      <c r="F638" s="10" t="str">
        <f t="shared" si="28"/>
        <v/>
      </c>
      <c r="G638" s="8"/>
      <c r="H638" s="11" t="str">
        <f>IF(B638="","",IF(OR(F638="Saturday",F638="Sunday"),SETTINGS!$B$11,IF(G638="Vacation",SETTINGS!$B$13,0)))</f>
        <v/>
      </c>
      <c r="I638" s="12" t="str">
        <f t="shared" si="29"/>
        <v/>
      </c>
      <c r="J638" s="8"/>
    </row>
    <row r="639" spans="1:10" x14ac:dyDescent="0.2">
      <c r="A639" s="7" t="str">
        <f t="shared" si="27"/>
        <v/>
      </c>
      <c r="B639" s="9"/>
      <c r="C639" s="8"/>
      <c r="D639" s="10" t="str">
        <f ca="1">IFERROR(_xludf.XLOOKUP(C639,STUDENTS!$A$5:$A$204,STUDENTS!$C$5:$C$204,""),"")</f>
        <v/>
      </c>
      <c r="E639" s="10" t="str">
        <f ca="1">IFERROR(_xludf.XLOOKUP(C639,STUDENTS!$A$5:$A$204,STUDENTS!$L$5:$L$204,""),"")</f>
        <v/>
      </c>
      <c r="F639" s="10" t="str">
        <f t="shared" si="28"/>
        <v/>
      </c>
      <c r="G639" s="8"/>
      <c r="H639" s="11" t="str">
        <f>IF(B639="","",IF(OR(F639="Saturday",F639="Sunday"),SETTINGS!$B$11,IF(G639="Vacation",SETTINGS!$B$13,0)))</f>
        <v/>
      </c>
      <c r="I639" s="12" t="str">
        <f t="shared" si="29"/>
        <v/>
      </c>
      <c r="J639" s="8"/>
    </row>
    <row r="640" spans="1:10" x14ac:dyDescent="0.2">
      <c r="A640" s="7" t="str">
        <f t="shared" si="27"/>
        <v/>
      </c>
      <c r="B640" s="9"/>
      <c r="C640" s="8"/>
      <c r="D640" s="10" t="str">
        <f ca="1">IFERROR(_xludf.XLOOKUP(C640,STUDENTS!$A$5:$A$204,STUDENTS!$C$5:$C$204,""),"")</f>
        <v/>
      </c>
      <c r="E640" s="10" t="str">
        <f ca="1">IFERROR(_xludf.XLOOKUP(C640,STUDENTS!$A$5:$A$204,STUDENTS!$L$5:$L$204,""),"")</f>
        <v/>
      </c>
      <c r="F640" s="10" t="str">
        <f t="shared" si="28"/>
        <v/>
      </c>
      <c r="G640" s="8"/>
      <c r="H640" s="11" t="str">
        <f>IF(B640="","",IF(OR(F640="Saturday",F640="Sunday"),SETTINGS!$B$11,IF(G640="Vacation",SETTINGS!$B$13,0)))</f>
        <v/>
      </c>
      <c r="I640" s="12" t="str">
        <f t="shared" si="29"/>
        <v/>
      </c>
      <c r="J640" s="8"/>
    </row>
    <row r="641" spans="1:10" x14ac:dyDescent="0.2">
      <c r="A641" s="7" t="str">
        <f t="shared" si="27"/>
        <v/>
      </c>
      <c r="B641" s="9"/>
      <c r="C641" s="8"/>
      <c r="D641" s="10" t="str">
        <f ca="1">IFERROR(_xludf.XLOOKUP(C641,STUDENTS!$A$5:$A$204,STUDENTS!$C$5:$C$204,""),"")</f>
        <v/>
      </c>
      <c r="E641" s="10" t="str">
        <f ca="1">IFERROR(_xludf.XLOOKUP(C641,STUDENTS!$A$5:$A$204,STUDENTS!$L$5:$L$204,""),"")</f>
        <v/>
      </c>
      <c r="F641" s="10" t="str">
        <f t="shared" si="28"/>
        <v/>
      </c>
      <c r="G641" s="8"/>
      <c r="H641" s="11" t="str">
        <f>IF(B641="","",IF(OR(F641="Saturday",F641="Sunday"),SETTINGS!$B$11,IF(G641="Vacation",SETTINGS!$B$13,0)))</f>
        <v/>
      </c>
      <c r="I641" s="12" t="str">
        <f t="shared" si="29"/>
        <v/>
      </c>
      <c r="J641" s="8"/>
    </row>
    <row r="642" spans="1:10" x14ac:dyDescent="0.2">
      <c r="A642" s="7" t="str">
        <f t="shared" si="27"/>
        <v/>
      </c>
      <c r="B642" s="9"/>
      <c r="C642" s="8"/>
      <c r="D642" s="10" t="str">
        <f ca="1">IFERROR(_xludf.XLOOKUP(C642,STUDENTS!$A$5:$A$204,STUDENTS!$C$5:$C$204,""),"")</f>
        <v/>
      </c>
      <c r="E642" s="10" t="str">
        <f ca="1">IFERROR(_xludf.XLOOKUP(C642,STUDENTS!$A$5:$A$204,STUDENTS!$L$5:$L$204,""),"")</f>
        <v/>
      </c>
      <c r="F642" s="10" t="str">
        <f t="shared" si="28"/>
        <v/>
      </c>
      <c r="G642" s="8"/>
      <c r="H642" s="11" t="str">
        <f>IF(B642="","",IF(OR(F642="Saturday",F642="Sunday"),SETTINGS!$B$11,IF(G642="Vacation",SETTINGS!$B$13,0)))</f>
        <v/>
      </c>
      <c r="I642" s="12" t="str">
        <f t="shared" si="29"/>
        <v/>
      </c>
      <c r="J642" s="8"/>
    </row>
    <row r="643" spans="1:10" x14ac:dyDescent="0.2">
      <c r="A643" s="7" t="str">
        <f t="shared" si="27"/>
        <v/>
      </c>
      <c r="B643" s="9"/>
      <c r="C643" s="8"/>
      <c r="D643" s="10" t="str">
        <f ca="1">IFERROR(_xludf.XLOOKUP(C643,STUDENTS!$A$5:$A$204,STUDENTS!$C$5:$C$204,""),"")</f>
        <v/>
      </c>
      <c r="E643" s="10" t="str">
        <f ca="1">IFERROR(_xludf.XLOOKUP(C643,STUDENTS!$A$5:$A$204,STUDENTS!$L$5:$L$204,""),"")</f>
        <v/>
      </c>
      <c r="F643" s="10" t="str">
        <f t="shared" si="28"/>
        <v/>
      </c>
      <c r="G643" s="8"/>
      <c r="H643" s="11" t="str">
        <f>IF(B643="","",IF(OR(F643="Saturday",F643="Sunday"),SETTINGS!$B$11,IF(G643="Vacation",SETTINGS!$B$13,0)))</f>
        <v/>
      </c>
      <c r="I643" s="12" t="str">
        <f t="shared" si="29"/>
        <v/>
      </c>
      <c r="J643" s="8"/>
    </row>
    <row r="644" spans="1:10" x14ac:dyDescent="0.2">
      <c r="A644" s="7" t="str">
        <f t="shared" si="27"/>
        <v/>
      </c>
      <c r="B644" s="9"/>
      <c r="C644" s="8"/>
      <c r="D644" s="10" t="str">
        <f ca="1">IFERROR(_xludf.XLOOKUP(C644,STUDENTS!$A$5:$A$204,STUDENTS!$C$5:$C$204,""),"")</f>
        <v/>
      </c>
      <c r="E644" s="10" t="str">
        <f ca="1">IFERROR(_xludf.XLOOKUP(C644,STUDENTS!$A$5:$A$204,STUDENTS!$L$5:$L$204,""),"")</f>
        <v/>
      </c>
      <c r="F644" s="10" t="str">
        <f t="shared" si="28"/>
        <v/>
      </c>
      <c r="G644" s="8"/>
      <c r="H644" s="11" t="str">
        <f>IF(B644="","",IF(OR(F644="Saturday",F644="Sunday"),SETTINGS!$B$11,IF(G644="Vacation",SETTINGS!$B$13,0)))</f>
        <v/>
      </c>
      <c r="I644" s="12" t="str">
        <f t="shared" si="29"/>
        <v/>
      </c>
      <c r="J644" s="8"/>
    </row>
    <row r="645" spans="1:10" x14ac:dyDescent="0.2">
      <c r="A645" s="7" t="str">
        <f t="shared" ref="A645:A708" si="30">IF(C645="","","F-"&amp;TEXT(ROW()-4,"00000"))</f>
        <v/>
      </c>
      <c r="B645" s="9"/>
      <c r="C645" s="8"/>
      <c r="D645" s="10" t="str">
        <f ca="1">IFERROR(_xludf.XLOOKUP(C645,STUDENTS!$A$5:$A$204,STUDENTS!$C$5:$C$204,""),"")</f>
        <v/>
      </c>
      <c r="E645" s="10" t="str">
        <f ca="1">IFERROR(_xludf.XLOOKUP(C645,STUDENTS!$A$5:$A$204,STUDENTS!$L$5:$L$204,""),"")</f>
        <v/>
      </c>
      <c r="F645" s="10" t="str">
        <f t="shared" ref="F645:F708" si="31">IF(B645="","",TEXT(B645,"dddd"))</f>
        <v/>
      </c>
      <c r="G645" s="8"/>
      <c r="H645" s="11" t="str">
        <f>IF(B645="","",IF(OR(F645="Saturday",F645="Sunday"),SETTINGS!$B$11,IF(G645="Vacation",SETTINGS!$B$13,0)))</f>
        <v/>
      </c>
      <c r="I645" s="12" t="str">
        <f t="shared" ref="I645:I708" si="32">IF(H645="","",H645)</f>
        <v/>
      </c>
      <c r="J645" s="8"/>
    </row>
    <row r="646" spans="1:10" x14ac:dyDescent="0.2">
      <c r="A646" s="7" t="str">
        <f t="shared" si="30"/>
        <v/>
      </c>
      <c r="B646" s="9"/>
      <c r="C646" s="8"/>
      <c r="D646" s="10" t="str">
        <f ca="1">IFERROR(_xludf.XLOOKUP(C646,STUDENTS!$A$5:$A$204,STUDENTS!$C$5:$C$204,""),"")</f>
        <v/>
      </c>
      <c r="E646" s="10" t="str">
        <f ca="1">IFERROR(_xludf.XLOOKUP(C646,STUDENTS!$A$5:$A$204,STUDENTS!$L$5:$L$204,""),"")</f>
        <v/>
      </c>
      <c r="F646" s="10" t="str">
        <f t="shared" si="31"/>
        <v/>
      </c>
      <c r="G646" s="8"/>
      <c r="H646" s="11" t="str">
        <f>IF(B646="","",IF(OR(F646="Saturday",F646="Sunday"),SETTINGS!$B$11,IF(G646="Vacation",SETTINGS!$B$13,0)))</f>
        <v/>
      </c>
      <c r="I646" s="12" t="str">
        <f t="shared" si="32"/>
        <v/>
      </c>
      <c r="J646" s="8"/>
    </row>
    <row r="647" spans="1:10" x14ac:dyDescent="0.2">
      <c r="A647" s="7" t="str">
        <f t="shared" si="30"/>
        <v/>
      </c>
      <c r="B647" s="9"/>
      <c r="C647" s="8"/>
      <c r="D647" s="10" t="str">
        <f ca="1">IFERROR(_xludf.XLOOKUP(C647,STUDENTS!$A$5:$A$204,STUDENTS!$C$5:$C$204,""),"")</f>
        <v/>
      </c>
      <c r="E647" s="10" t="str">
        <f ca="1">IFERROR(_xludf.XLOOKUP(C647,STUDENTS!$A$5:$A$204,STUDENTS!$L$5:$L$204,""),"")</f>
        <v/>
      </c>
      <c r="F647" s="10" t="str">
        <f t="shared" si="31"/>
        <v/>
      </c>
      <c r="G647" s="8"/>
      <c r="H647" s="11" t="str">
        <f>IF(B647="","",IF(OR(F647="Saturday",F647="Sunday"),SETTINGS!$B$11,IF(G647="Vacation",SETTINGS!$B$13,0)))</f>
        <v/>
      </c>
      <c r="I647" s="12" t="str">
        <f t="shared" si="32"/>
        <v/>
      </c>
      <c r="J647" s="8"/>
    </row>
    <row r="648" spans="1:10" x14ac:dyDescent="0.2">
      <c r="A648" s="7" t="str">
        <f t="shared" si="30"/>
        <v/>
      </c>
      <c r="B648" s="9"/>
      <c r="C648" s="8"/>
      <c r="D648" s="10" t="str">
        <f ca="1">IFERROR(_xludf.XLOOKUP(C648,STUDENTS!$A$5:$A$204,STUDENTS!$C$5:$C$204,""),"")</f>
        <v/>
      </c>
      <c r="E648" s="10" t="str">
        <f ca="1">IFERROR(_xludf.XLOOKUP(C648,STUDENTS!$A$5:$A$204,STUDENTS!$L$5:$L$204,""),"")</f>
        <v/>
      </c>
      <c r="F648" s="10" t="str">
        <f t="shared" si="31"/>
        <v/>
      </c>
      <c r="G648" s="8"/>
      <c r="H648" s="11" t="str">
        <f>IF(B648="","",IF(OR(F648="Saturday",F648="Sunday"),SETTINGS!$B$11,IF(G648="Vacation",SETTINGS!$B$13,0)))</f>
        <v/>
      </c>
      <c r="I648" s="12" t="str">
        <f t="shared" si="32"/>
        <v/>
      </c>
      <c r="J648" s="8"/>
    </row>
    <row r="649" spans="1:10" x14ac:dyDescent="0.2">
      <c r="A649" s="7" t="str">
        <f t="shared" si="30"/>
        <v/>
      </c>
      <c r="B649" s="9"/>
      <c r="C649" s="8"/>
      <c r="D649" s="10" t="str">
        <f ca="1">IFERROR(_xludf.XLOOKUP(C649,STUDENTS!$A$5:$A$204,STUDENTS!$C$5:$C$204,""),"")</f>
        <v/>
      </c>
      <c r="E649" s="10" t="str">
        <f ca="1">IFERROR(_xludf.XLOOKUP(C649,STUDENTS!$A$5:$A$204,STUDENTS!$L$5:$L$204,""),"")</f>
        <v/>
      </c>
      <c r="F649" s="10" t="str">
        <f t="shared" si="31"/>
        <v/>
      </c>
      <c r="G649" s="8"/>
      <c r="H649" s="11" t="str">
        <f>IF(B649="","",IF(OR(F649="Saturday",F649="Sunday"),SETTINGS!$B$11,IF(G649="Vacation",SETTINGS!$B$13,0)))</f>
        <v/>
      </c>
      <c r="I649" s="12" t="str">
        <f t="shared" si="32"/>
        <v/>
      </c>
      <c r="J649" s="8"/>
    </row>
    <row r="650" spans="1:10" x14ac:dyDescent="0.2">
      <c r="A650" s="7" t="str">
        <f t="shared" si="30"/>
        <v/>
      </c>
      <c r="B650" s="9"/>
      <c r="C650" s="8"/>
      <c r="D650" s="10" t="str">
        <f ca="1">IFERROR(_xludf.XLOOKUP(C650,STUDENTS!$A$5:$A$204,STUDENTS!$C$5:$C$204,""),"")</f>
        <v/>
      </c>
      <c r="E650" s="10" t="str">
        <f ca="1">IFERROR(_xludf.XLOOKUP(C650,STUDENTS!$A$5:$A$204,STUDENTS!$L$5:$L$204,""),"")</f>
        <v/>
      </c>
      <c r="F650" s="10" t="str">
        <f t="shared" si="31"/>
        <v/>
      </c>
      <c r="G650" s="8"/>
      <c r="H650" s="11" t="str">
        <f>IF(B650="","",IF(OR(F650="Saturday",F650="Sunday"),SETTINGS!$B$11,IF(G650="Vacation",SETTINGS!$B$13,0)))</f>
        <v/>
      </c>
      <c r="I650" s="12" t="str">
        <f t="shared" si="32"/>
        <v/>
      </c>
      <c r="J650" s="8"/>
    </row>
    <row r="651" spans="1:10" x14ac:dyDescent="0.2">
      <c r="A651" s="7" t="str">
        <f t="shared" si="30"/>
        <v/>
      </c>
      <c r="B651" s="9"/>
      <c r="C651" s="8"/>
      <c r="D651" s="10" t="str">
        <f ca="1">IFERROR(_xludf.XLOOKUP(C651,STUDENTS!$A$5:$A$204,STUDENTS!$C$5:$C$204,""),"")</f>
        <v/>
      </c>
      <c r="E651" s="10" t="str">
        <f ca="1">IFERROR(_xludf.XLOOKUP(C651,STUDENTS!$A$5:$A$204,STUDENTS!$L$5:$L$204,""),"")</f>
        <v/>
      </c>
      <c r="F651" s="10" t="str">
        <f t="shared" si="31"/>
        <v/>
      </c>
      <c r="G651" s="8"/>
      <c r="H651" s="11" t="str">
        <f>IF(B651="","",IF(OR(F651="Saturday",F651="Sunday"),SETTINGS!$B$11,IF(G651="Vacation",SETTINGS!$B$13,0)))</f>
        <v/>
      </c>
      <c r="I651" s="12" t="str">
        <f t="shared" si="32"/>
        <v/>
      </c>
      <c r="J651" s="8"/>
    </row>
    <row r="652" spans="1:10" x14ac:dyDescent="0.2">
      <c r="A652" s="7" t="str">
        <f t="shared" si="30"/>
        <v/>
      </c>
      <c r="B652" s="9"/>
      <c r="C652" s="8"/>
      <c r="D652" s="10" t="str">
        <f ca="1">IFERROR(_xludf.XLOOKUP(C652,STUDENTS!$A$5:$A$204,STUDENTS!$C$5:$C$204,""),"")</f>
        <v/>
      </c>
      <c r="E652" s="10" t="str">
        <f ca="1">IFERROR(_xludf.XLOOKUP(C652,STUDENTS!$A$5:$A$204,STUDENTS!$L$5:$L$204,""),"")</f>
        <v/>
      </c>
      <c r="F652" s="10" t="str">
        <f t="shared" si="31"/>
        <v/>
      </c>
      <c r="G652" s="8"/>
      <c r="H652" s="11" t="str">
        <f>IF(B652="","",IF(OR(F652="Saturday",F652="Sunday"),SETTINGS!$B$11,IF(G652="Vacation",SETTINGS!$B$13,0)))</f>
        <v/>
      </c>
      <c r="I652" s="12" t="str">
        <f t="shared" si="32"/>
        <v/>
      </c>
      <c r="J652" s="8"/>
    </row>
    <row r="653" spans="1:10" x14ac:dyDescent="0.2">
      <c r="A653" s="7" t="str">
        <f t="shared" si="30"/>
        <v/>
      </c>
      <c r="B653" s="9"/>
      <c r="C653" s="8"/>
      <c r="D653" s="10" t="str">
        <f ca="1">IFERROR(_xludf.XLOOKUP(C653,STUDENTS!$A$5:$A$204,STUDENTS!$C$5:$C$204,""),"")</f>
        <v/>
      </c>
      <c r="E653" s="10" t="str">
        <f ca="1">IFERROR(_xludf.XLOOKUP(C653,STUDENTS!$A$5:$A$204,STUDENTS!$L$5:$L$204,""),"")</f>
        <v/>
      </c>
      <c r="F653" s="10" t="str">
        <f t="shared" si="31"/>
        <v/>
      </c>
      <c r="G653" s="8"/>
      <c r="H653" s="11" t="str">
        <f>IF(B653="","",IF(OR(F653="Saturday",F653="Sunday"),SETTINGS!$B$11,IF(G653="Vacation",SETTINGS!$B$13,0)))</f>
        <v/>
      </c>
      <c r="I653" s="12" t="str">
        <f t="shared" si="32"/>
        <v/>
      </c>
      <c r="J653" s="8"/>
    </row>
    <row r="654" spans="1:10" x14ac:dyDescent="0.2">
      <c r="A654" s="7" t="str">
        <f t="shared" si="30"/>
        <v/>
      </c>
      <c r="B654" s="9"/>
      <c r="C654" s="8"/>
      <c r="D654" s="10" t="str">
        <f ca="1">IFERROR(_xludf.XLOOKUP(C654,STUDENTS!$A$5:$A$204,STUDENTS!$C$5:$C$204,""),"")</f>
        <v/>
      </c>
      <c r="E654" s="10" t="str">
        <f ca="1">IFERROR(_xludf.XLOOKUP(C654,STUDENTS!$A$5:$A$204,STUDENTS!$L$5:$L$204,""),"")</f>
        <v/>
      </c>
      <c r="F654" s="10" t="str">
        <f t="shared" si="31"/>
        <v/>
      </c>
      <c r="G654" s="8"/>
      <c r="H654" s="11" t="str">
        <f>IF(B654="","",IF(OR(F654="Saturday",F654="Sunday"),SETTINGS!$B$11,IF(G654="Vacation",SETTINGS!$B$13,0)))</f>
        <v/>
      </c>
      <c r="I654" s="12" t="str">
        <f t="shared" si="32"/>
        <v/>
      </c>
      <c r="J654" s="8"/>
    </row>
    <row r="655" spans="1:10" x14ac:dyDescent="0.2">
      <c r="A655" s="7" t="str">
        <f t="shared" si="30"/>
        <v/>
      </c>
      <c r="B655" s="9"/>
      <c r="C655" s="8"/>
      <c r="D655" s="10" t="str">
        <f ca="1">IFERROR(_xludf.XLOOKUP(C655,STUDENTS!$A$5:$A$204,STUDENTS!$C$5:$C$204,""),"")</f>
        <v/>
      </c>
      <c r="E655" s="10" t="str">
        <f ca="1">IFERROR(_xludf.XLOOKUP(C655,STUDENTS!$A$5:$A$204,STUDENTS!$L$5:$L$204,""),"")</f>
        <v/>
      </c>
      <c r="F655" s="10" t="str">
        <f t="shared" si="31"/>
        <v/>
      </c>
      <c r="G655" s="8"/>
      <c r="H655" s="11" t="str">
        <f>IF(B655="","",IF(OR(F655="Saturday",F655="Sunday"),SETTINGS!$B$11,IF(G655="Vacation",SETTINGS!$B$13,0)))</f>
        <v/>
      </c>
      <c r="I655" s="12" t="str">
        <f t="shared" si="32"/>
        <v/>
      </c>
      <c r="J655" s="8"/>
    </row>
    <row r="656" spans="1:10" x14ac:dyDescent="0.2">
      <c r="A656" s="7" t="str">
        <f t="shared" si="30"/>
        <v/>
      </c>
      <c r="B656" s="9"/>
      <c r="C656" s="8"/>
      <c r="D656" s="10" t="str">
        <f ca="1">IFERROR(_xludf.XLOOKUP(C656,STUDENTS!$A$5:$A$204,STUDENTS!$C$5:$C$204,""),"")</f>
        <v/>
      </c>
      <c r="E656" s="10" t="str">
        <f ca="1">IFERROR(_xludf.XLOOKUP(C656,STUDENTS!$A$5:$A$204,STUDENTS!$L$5:$L$204,""),"")</f>
        <v/>
      </c>
      <c r="F656" s="10" t="str">
        <f t="shared" si="31"/>
        <v/>
      </c>
      <c r="G656" s="8"/>
      <c r="H656" s="11" t="str">
        <f>IF(B656="","",IF(OR(F656="Saturday",F656="Sunday"),SETTINGS!$B$11,IF(G656="Vacation",SETTINGS!$B$13,0)))</f>
        <v/>
      </c>
      <c r="I656" s="12" t="str">
        <f t="shared" si="32"/>
        <v/>
      </c>
      <c r="J656" s="8"/>
    </row>
    <row r="657" spans="1:10" x14ac:dyDescent="0.2">
      <c r="A657" s="7" t="str">
        <f t="shared" si="30"/>
        <v/>
      </c>
      <c r="B657" s="9"/>
      <c r="C657" s="8"/>
      <c r="D657" s="10" t="str">
        <f ca="1">IFERROR(_xludf.XLOOKUP(C657,STUDENTS!$A$5:$A$204,STUDENTS!$C$5:$C$204,""),"")</f>
        <v/>
      </c>
      <c r="E657" s="10" t="str">
        <f ca="1">IFERROR(_xludf.XLOOKUP(C657,STUDENTS!$A$5:$A$204,STUDENTS!$L$5:$L$204,""),"")</f>
        <v/>
      </c>
      <c r="F657" s="10" t="str">
        <f t="shared" si="31"/>
        <v/>
      </c>
      <c r="G657" s="8"/>
      <c r="H657" s="11" t="str">
        <f>IF(B657="","",IF(OR(F657="Saturday",F657="Sunday"),SETTINGS!$B$11,IF(G657="Vacation",SETTINGS!$B$13,0)))</f>
        <v/>
      </c>
      <c r="I657" s="12" t="str">
        <f t="shared" si="32"/>
        <v/>
      </c>
      <c r="J657" s="8"/>
    </row>
    <row r="658" spans="1:10" x14ac:dyDescent="0.2">
      <c r="A658" s="7" t="str">
        <f t="shared" si="30"/>
        <v/>
      </c>
      <c r="B658" s="9"/>
      <c r="C658" s="8"/>
      <c r="D658" s="10" t="str">
        <f ca="1">IFERROR(_xludf.XLOOKUP(C658,STUDENTS!$A$5:$A$204,STUDENTS!$C$5:$C$204,""),"")</f>
        <v/>
      </c>
      <c r="E658" s="10" t="str">
        <f ca="1">IFERROR(_xludf.XLOOKUP(C658,STUDENTS!$A$5:$A$204,STUDENTS!$L$5:$L$204,""),"")</f>
        <v/>
      </c>
      <c r="F658" s="10" t="str">
        <f t="shared" si="31"/>
        <v/>
      </c>
      <c r="G658" s="8"/>
      <c r="H658" s="11" t="str">
        <f>IF(B658="","",IF(OR(F658="Saturday",F658="Sunday"),SETTINGS!$B$11,IF(G658="Vacation",SETTINGS!$B$13,0)))</f>
        <v/>
      </c>
      <c r="I658" s="12" t="str">
        <f t="shared" si="32"/>
        <v/>
      </c>
      <c r="J658" s="8"/>
    </row>
    <row r="659" spans="1:10" x14ac:dyDescent="0.2">
      <c r="A659" s="7" t="str">
        <f t="shared" si="30"/>
        <v/>
      </c>
      <c r="B659" s="9"/>
      <c r="C659" s="8"/>
      <c r="D659" s="10" t="str">
        <f ca="1">IFERROR(_xludf.XLOOKUP(C659,STUDENTS!$A$5:$A$204,STUDENTS!$C$5:$C$204,""),"")</f>
        <v/>
      </c>
      <c r="E659" s="10" t="str">
        <f ca="1">IFERROR(_xludf.XLOOKUP(C659,STUDENTS!$A$5:$A$204,STUDENTS!$L$5:$L$204,""),"")</f>
        <v/>
      </c>
      <c r="F659" s="10" t="str">
        <f t="shared" si="31"/>
        <v/>
      </c>
      <c r="G659" s="8"/>
      <c r="H659" s="11" t="str">
        <f>IF(B659="","",IF(OR(F659="Saturday",F659="Sunday"),SETTINGS!$B$11,IF(G659="Vacation",SETTINGS!$B$13,0)))</f>
        <v/>
      </c>
      <c r="I659" s="12" t="str">
        <f t="shared" si="32"/>
        <v/>
      </c>
      <c r="J659" s="8"/>
    </row>
    <row r="660" spans="1:10" x14ac:dyDescent="0.2">
      <c r="A660" s="7" t="str">
        <f t="shared" si="30"/>
        <v/>
      </c>
      <c r="B660" s="9"/>
      <c r="C660" s="8"/>
      <c r="D660" s="10" t="str">
        <f ca="1">IFERROR(_xludf.XLOOKUP(C660,STUDENTS!$A$5:$A$204,STUDENTS!$C$5:$C$204,""),"")</f>
        <v/>
      </c>
      <c r="E660" s="10" t="str">
        <f ca="1">IFERROR(_xludf.XLOOKUP(C660,STUDENTS!$A$5:$A$204,STUDENTS!$L$5:$L$204,""),"")</f>
        <v/>
      </c>
      <c r="F660" s="10" t="str">
        <f t="shared" si="31"/>
        <v/>
      </c>
      <c r="G660" s="8"/>
      <c r="H660" s="11" t="str">
        <f>IF(B660="","",IF(OR(F660="Saturday",F660="Sunday"),SETTINGS!$B$11,IF(G660="Vacation",SETTINGS!$B$13,0)))</f>
        <v/>
      </c>
      <c r="I660" s="12" t="str">
        <f t="shared" si="32"/>
        <v/>
      </c>
      <c r="J660" s="8"/>
    </row>
    <row r="661" spans="1:10" x14ac:dyDescent="0.2">
      <c r="A661" s="7" t="str">
        <f t="shared" si="30"/>
        <v/>
      </c>
      <c r="B661" s="9"/>
      <c r="C661" s="8"/>
      <c r="D661" s="10" t="str">
        <f ca="1">IFERROR(_xludf.XLOOKUP(C661,STUDENTS!$A$5:$A$204,STUDENTS!$C$5:$C$204,""),"")</f>
        <v/>
      </c>
      <c r="E661" s="10" t="str">
        <f ca="1">IFERROR(_xludf.XLOOKUP(C661,STUDENTS!$A$5:$A$204,STUDENTS!$L$5:$L$204,""),"")</f>
        <v/>
      </c>
      <c r="F661" s="10" t="str">
        <f t="shared" si="31"/>
        <v/>
      </c>
      <c r="G661" s="8"/>
      <c r="H661" s="11" t="str">
        <f>IF(B661="","",IF(OR(F661="Saturday",F661="Sunday"),SETTINGS!$B$11,IF(G661="Vacation",SETTINGS!$B$13,0)))</f>
        <v/>
      </c>
      <c r="I661" s="12" t="str">
        <f t="shared" si="32"/>
        <v/>
      </c>
      <c r="J661" s="8"/>
    </row>
    <row r="662" spans="1:10" x14ac:dyDescent="0.2">
      <c r="A662" s="7" t="str">
        <f t="shared" si="30"/>
        <v/>
      </c>
      <c r="B662" s="9"/>
      <c r="C662" s="8"/>
      <c r="D662" s="10" t="str">
        <f ca="1">IFERROR(_xludf.XLOOKUP(C662,STUDENTS!$A$5:$A$204,STUDENTS!$C$5:$C$204,""),"")</f>
        <v/>
      </c>
      <c r="E662" s="10" t="str">
        <f ca="1">IFERROR(_xludf.XLOOKUP(C662,STUDENTS!$A$5:$A$204,STUDENTS!$L$5:$L$204,""),"")</f>
        <v/>
      </c>
      <c r="F662" s="10" t="str">
        <f t="shared" si="31"/>
        <v/>
      </c>
      <c r="G662" s="8"/>
      <c r="H662" s="11" t="str">
        <f>IF(B662="","",IF(OR(F662="Saturday",F662="Sunday"),SETTINGS!$B$11,IF(G662="Vacation",SETTINGS!$B$13,0)))</f>
        <v/>
      </c>
      <c r="I662" s="12" t="str">
        <f t="shared" si="32"/>
        <v/>
      </c>
      <c r="J662" s="8"/>
    </row>
    <row r="663" spans="1:10" x14ac:dyDescent="0.2">
      <c r="A663" s="7" t="str">
        <f t="shared" si="30"/>
        <v/>
      </c>
      <c r="B663" s="9"/>
      <c r="C663" s="8"/>
      <c r="D663" s="10" t="str">
        <f ca="1">IFERROR(_xludf.XLOOKUP(C663,STUDENTS!$A$5:$A$204,STUDENTS!$C$5:$C$204,""),"")</f>
        <v/>
      </c>
      <c r="E663" s="10" t="str">
        <f ca="1">IFERROR(_xludf.XLOOKUP(C663,STUDENTS!$A$5:$A$204,STUDENTS!$L$5:$L$204,""),"")</f>
        <v/>
      </c>
      <c r="F663" s="10" t="str">
        <f t="shared" si="31"/>
        <v/>
      </c>
      <c r="G663" s="8"/>
      <c r="H663" s="11" t="str">
        <f>IF(B663="","",IF(OR(F663="Saturday",F663="Sunday"),SETTINGS!$B$11,IF(G663="Vacation",SETTINGS!$B$13,0)))</f>
        <v/>
      </c>
      <c r="I663" s="12" t="str">
        <f t="shared" si="32"/>
        <v/>
      </c>
      <c r="J663" s="8"/>
    </row>
    <row r="664" spans="1:10" x14ac:dyDescent="0.2">
      <c r="A664" s="7" t="str">
        <f t="shared" si="30"/>
        <v/>
      </c>
      <c r="B664" s="9"/>
      <c r="C664" s="8"/>
      <c r="D664" s="10" t="str">
        <f ca="1">IFERROR(_xludf.XLOOKUP(C664,STUDENTS!$A$5:$A$204,STUDENTS!$C$5:$C$204,""),"")</f>
        <v/>
      </c>
      <c r="E664" s="10" t="str">
        <f ca="1">IFERROR(_xludf.XLOOKUP(C664,STUDENTS!$A$5:$A$204,STUDENTS!$L$5:$L$204,""),"")</f>
        <v/>
      </c>
      <c r="F664" s="10" t="str">
        <f t="shared" si="31"/>
        <v/>
      </c>
      <c r="G664" s="8"/>
      <c r="H664" s="11" t="str">
        <f>IF(B664="","",IF(OR(F664="Saturday",F664="Sunday"),SETTINGS!$B$11,IF(G664="Vacation",SETTINGS!$B$13,0)))</f>
        <v/>
      </c>
      <c r="I664" s="12" t="str">
        <f t="shared" si="32"/>
        <v/>
      </c>
      <c r="J664" s="8"/>
    </row>
    <row r="665" spans="1:10" x14ac:dyDescent="0.2">
      <c r="A665" s="7" t="str">
        <f t="shared" si="30"/>
        <v/>
      </c>
      <c r="B665" s="9"/>
      <c r="C665" s="8"/>
      <c r="D665" s="10" t="str">
        <f ca="1">IFERROR(_xludf.XLOOKUP(C665,STUDENTS!$A$5:$A$204,STUDENTS!$C$5:$C$204,""),"")</f>
        <v/>
      </c>
      <c r="E665" s="10" t="str">
        <f ca="1">IFERROR(_xludf.XLOOKUP(C665,STUDENTS!$A$5:$A$204,STUDENTS!$L$5:$L$204,""),"")</f>
        <v/>
      </c>
      <c r="F665" s="10" t="str">
        <f t="shared" si="31"/>
        <v/>
      </c>
      <c r="G665" s="8"/>
      <c r="H665" s="11" t="str">
        <f>IF(B665="","",IF(OR(F665="Saturday",F665="Sunday"),SETTINGS!$B$11,IF(G665="Vacation",SETTINGS!$B$13,0)))</f>
        <v/>
      </c>
      <c r="I665" s="12" t="str">
        <f t="shared" si="32"/>
        <v/>
      </c>
      <c r="J665" s="8"/>
    </row>
    <row r="666" spans="1:10" x14ac:dyDescent="0.2">
      <c r="A666" s="7" t="str">
        <f t="shared" si="30"/>
        <v/>
      </c>
      <c r="B666" s="9"/>
      <c r="C666" s="8"/>
      <c r="D666" s="10" t="str">
        <f ca="1">IFERROR(_xludf.XLOOKUP(C666,STUDENTS!$A$5:$A$204,STUDENTS!$C$5:$C$204,""),"")</f>
        <v/>
      </c>
      <c r="E666" s="10" t="str">
        <f ca="1">IFERROR(_xludf.XLOOKUP(C666,STUDENTS!$A$5:$A$204,STUDENTS!$L$5:$L$204,""),"")</f>
        <v/>
      </c>
      <c r="F666" s="10" t="str">
        <f t="shared" si="31"/>
        <v/>
      </c>
      <c r="G666" s="8"/>
      <c r="H666" s="11" t="str">
        <f>IF(B666="","",IF(OR(F666="Saturday",F666="Sunday"),SETTINGS!$B$11,IF(G666="Vacation",SETTINGS!$B$13,0)))</f>
        <v/>
      </c>
      <c r="I666" s="12" t="str">
        <f t="shared" si="32"/>
        <v/>
      </c>
      <c r="J666" s="8"/>
    </row>
    <row r="667" spans="1:10" x14ac:dyDescent="0.2">
      <c r="A667" s="7" t="str">
        <f t="shared" si="30"/>
        <v/>
      </c>
      <c r="B667" s="9"/>
      <c r="C667" s="8"/>
      <c r="D667" s="10" t="str">
        <f ca="1">IFERROR(_xludf.XLOOKUP(C667,STUDENTS!$A$5:$A$204,STUDENTS!$C$5:$C$204,""),"")</f>
        <v/>
      </c>
      <c r="E667" s="10" t="str">
        <f ca="1">IFERROR(_xludf.XLOOKUP(C667,STUDENTS!$A$5:$A$204,STUDENTS!$L$5:$L$204,""),"")</f>
        <v/>
      </c>
      <c r="F667" s="10" t="str">
        <f t="shared" si="31"/>
        <v/>
      </c>
      <c r="G667" s="8"/>
      <c r="H667" s="11" t="str">
        <f>IF(B667="","",IF(OR(F667="Saturday",F667="Sunday"),SETTINGS!$B$11,IF(G667="Vacation",SETTINGS!$B$13,0)))</f>
        <v/>
      </c>
      <c r="I667" s="12" t="str">
        <f t="shared" si="32"/>
        <v/>
      </c>
      <c r="J667" s="8"/>
    </row>
    <row r="668" spans="1:10" x14ac:dyDescent="0.2">
      <c r="A668" s="7" t="str">
        <f t="shared" si="30"/>
        <v/>
      </c>
      <c r="B668" s="9"/>
      <c r="C668" s="8"/>
      <c r="D668" s="10" t="str">
        <f ca="1">IFERROR(_xludf.XLOOKUP(C668,STUDENTS!$A$5:$A$204,STUDENTS!$C$5:$C$204,""),"")</f>
        <v/>
      </c>
      <c r="E668" s="10" t="str">
        <f ca="1">IFERROR(_xludf.XLOOKUP(C668,STUDENTS!$A$5:$A$204,STUDENTS!$L$5:$L$204,""),"")</f>
        <v/>
      </c>
      <c r="F668" s="10" t="str">
        <f t="shared" si="31"/>
        <v/>
      </c>
      <c r="G668" s="8"/>
      <c r="H668" s="11" t="str">
        <f>IF(B668="","",IF(OR(F668="Saturday",F668="Sunday"),SETTINGS!$B$11,IF(G668="Vacation",SETTINGS!$B$13,0)))</f>
        <v/>
      </c>
      <c r="I668" s="12" t="str">
        <f t="shared" si="32"/>
        <v/>
      </c>
      <c r="J668" s="8"/>
    </row>
    <row r="669" spans="1:10" x14ac:dyDescent="0.2">
      <c r="A669" s="7" t="str">
        <f t="shared" si="30"/>
        <v/>
      </c>
      <c r="B669" s="9"/>
      <c r="C669" s="8"/>
      <c r="D669" s="10" t="str">
        <f ca="1">IFERROR(_xludf.XLOOKUP(C669,STUDENTS!$A$5:$A$204,STUDENTS!$C$5:$C$204,""),"")</f>
        <v/>
      </c>
      <c r="E669" s="10" t="str">
        <f ca="1">IFERROR(_xludf.XLOOKUP(C669,STUDENTS!$A$5:$A$204,STUDENTS!$L$5:$L$204,""),"")</f>
        <v/>
      </c>
      <c r="F669" s="10" t="str">
        <f t="shared" si="31"/>
        <v/>
      </c>
      <c r="G669" s="8"/>
      <c r="H669" s="11" t="str">
        <f>IF(B669="","",IF(OR(F669="Saturday",F669="Sunday"),SETTINGS!$B$11,IF(G669="Vacation",SETTINGS!$B$13,0)))</f>
        <v/>
      </c>
      <c r="I669" s="12" t="str">
        <f t="shared" si="32"/>
        <v/>
      </c>
      <c r="J669" s="8"/>
    </row>
    <row r="670" spans="1:10" x14ac:dyDescent="0.2">
      <c r="A670" s="7" t="str">
        <f t="shared" si="30"/>
        <v/>
      </c>
      <c r="B670" s="9"/>
      <c r="C670" s="8"/>
      <c r="D670" s="10" t="str">
        <f ca="1">IFERROR(_xludf.XLOOKUP(C670,STUDENTS!$A$5:$A$204,STUDENTS!$C$5:$C$204,""),"")</f>
        <v/>
      </c>
      <c r="E670" s="10" t="str">
        <f ca="1">IFERROR(_xludf.XLOOKUP(C670,STUDENTS!$A$5:$A$204,STUDENTS!$L$5:$L$204,""),"")</f>
        <v/>
      </c>
      <c r="F670" s="10" t="str">
        <f t="shared" si="31"/>
        <v/>
      </c>
      <c r="G670" s="8"/>
      <c r="H670" s="11" t="str">
        <f>IF(B670="","",IF(OR(F670="Saturday",F670="Sunday"),SETTINGS!$B$11,IF(G670="Vacation",SETTINGS!$B$13,0)))</f>
        <v/>
      </c>
      <c r="I670" s="12" t="str">
        <f t="shared" si="32"/>
        <v/>
      </c>
      <c r="J670" s="8"/>
    </row>
    <row r="671" spans="1:10" x14ac:dyDescent="0.2">
      <c r="A671" s="7" t="str">
        <f t="shared" si="30"/>
        <v/>
      </c>
      <c r="B671" s="9"/>
      <c r="C671" s="8"/>
      <c r="D671" s="10" t="str">
        <f ca="1">IFERROR(_xludf.XLOOKUP(C671,STUDENTS!$A$5:$A$204,STUDENTS!$C$5:$C$204,""),"")</f>
        <v/>
      </c>
      <c r="E671" s="10" t="str">
        <f ca="1">IFERROR(_xludf.XLOOKUP(C671,STUDENTS!$A$5:$A$204,STUDENTS!$L$5:$L$204,""),"")</f>
        <v/>
      </c>
      <c r="F671" s="10" t="str">
        <f t="shared" si="31"/>
        <v/>
      </c>
      <c r="G671" s="8"/>
      <c r="H671" s="11" t="str">
        <f>IF(B671="","",IF(OR(F671="Saturday",F671="Sunday"),SETTINGS!$B$11,IF(G671="Vacation",SETTINGS!$B$13,0)))</f>
        <v/>
      </c>
      <c r="I671" s="12" t="str">
        <f t="shared" si="32"/>
        <v/>
      </c>
      <c r="J671" s="8"/>
    </row>
    <row r="672" spans="1:10" x14ac:dyDescent="0.2">
      <c r="A672" s="7" t="str">
        <f t="shared" si="30"/>
        <v/>
      </c>
      <c r="B672" s="9"/>
      <c r="C672" s="8"/>
      <c r="D672" s="10" t="str">
        <f ca="1">IFERROR(_xludf.XLOOKUP(C672,STUDENTS!$A$5:$A$204,STUDENTS!$C$5:$C$204,""),"")</f>
        <v/>
      </c>
      <c r="E672" s="10" t="str">
        <f ca="1">IFERROR(_xludf.XLOOKUP(C672,STUDENTS!$A$5:$A$204,STUDENTS!$L$5:$L$204,""),"")</f>
        <v/>
      </c>
      <c r="F672" s="10" t="str">
        <f t="shared" si="31"/>
        <v/>
      </c>
      <c r="G672" s="8"/>
      <c r="H672" s="11" t="str">
        <f>IF(B672="","",IF(OR(F672="Saturday",F672="Sunday"),SETTINGS!$B$11,IF(G672="Vacation",SETTINGS!$B$13,0)))</f>
        <v/>
      </c>
      <c r="I672" s="12" t="str">
        <f t="shared" si="32"/>
        <v/>
      </c>
      <c r="J672" s="8"/>
    </row>
    <row r="673" spans="1:10" x14ac:dyDescent="0.2">
      <c r="A673" s="7" t="str">
        <f t="shared" si="30"/>
        <v/>
      </c>
      <c r="B673" s="9"/>
      <c r="C673" s="8"/>
      <c r="D673" s="10" t="str">
        <f ca="1">IFERROR(_xludf.XLOOKUP(C673,STUDENTS!$A$5:$A$204,STUDENTS!$C$5:$C$204,""),"")</f>
        <v/>
      </c>
      <c r="E673" s="10" t="str">
        <f ca="1">IFERROR(_xludf.XLOOKUP(C673,STUDENTS!$A$5:$A$204,STUDENTS!$L$5:$L$204,""),"")</f>
        <v/>
      </c>
      <c r="F673" s="10" t="str">
        <f t="shared" si="31"/>
        <v/>
      </c>
      <c r="G673" s="8"/>
      <c r="H673" s="11" t="str">
        <f>IF(B673="","",IF(OR(F673="Saturday",F673="Sunday"),SETTINGS!$B$11,IF(G673="Vacation",SETTINGS!$B$13,0)))</f>
        <v/>
      </c>
      <c r="I673" s="12" t="str">
        <f t="shared" si="32"/>
        <v/>
      </c>
      <c r="J673" s="8"/>
    </row>
    <row r="674" spans="1:10" x14ac:dyDescent="0.2">
      <c r="A674" s="7" t="str">
        <f t="shared" si="30"/>
        <v/>
      </c>
      <c r="B674" s="9"/>
      <c r="C674" s="8"/>
      <c r="D674" s="10" t="str">
        <f ca="1">IFERROR(_xludf.XLOOKUP(C674,STUDENTS!$A$5:$A$204,STUDENTS!$C$5:$C$204,""),"")</f>
        <v/>
      </c>
      <c r="E674" s="10" t="str">
        <f ca="1">IFERROR(_xludf.XLOOKUP(C674,STUDENTS!$A$5:$A$204,STUDENTS!$L$5:$L$204,""),"")</f>
        <v/>
      </c>
      <c r="F674" s="10" t="str">
        <f t="shared" si="31"/>
        <v/>
      </c>
      <c r="G674" s="8"/>
      <c r="H674" s="11" t="str">
        <f>IF(B674="","",IF(OR(F674="Saturday",F674="Sunday"),SETTINGS!$B$11,IF(G674="Vacation",SETTINGS!$B$13,0)))</f>
        <v/>
      </c>
      <c r="I674" s="12" t="str">
        <f t="shared" si="32"/>
        <v/>
      </c>
      <c r="J674" s="8"/>
    </row>
    <row r="675" spans="1:10" x14ac:dyDescent="0.2">
      <c r="A675" s="7" t="str">
        <f t="shared" si="30"/>
        <v/>
      </c>
      <c r="B675" s="9"/>
      <c r="C675" s="8"/>
      <c r="D675" s="10" t="str">
        <f ca="1">IFERROR(_xludf.XLOOKUP(C675,STUDENTS!$A$5:$A$204,STUDENTS!$C$5:$C$204,""),"")</f>
        <v/>
      </c>
      <c r="E675" s="10" t="str">
        <f ca="1">IFERROR(_xludf.XLOOKUP(C675,STUDENTS!$A$5:$A$204,STUDENTS!$L$5:$L$204,""),"")</f>
        <v/>
      </c>
      <c r="F675" s="10" t="str">
        <f t="shared" si="31"/>
        <v/>
      </c>
      <c r="G675" s="8"/>
      <c r="H675" s="11" t="str">
        <f>IF(B675="","",IF(OR(F675="Saturday",F675="Sunday"),SETTINGS!$B$11,IF(G675="Vacation",SETTINGS!$B$13,0)))</f>
        <v/>
      </c>
      <c r="I675" s="12" t="str">
        <f t="shared" si="32"/>
        <v/>
      </c>
      <c r="J675" s="8"/>
    </row>
    <row r="676" spans="1:10" x14ac:dyDescent="0.2">
      <c r="A676" s="7" t="str">
        <f t="shared" si="30"/>
        <v/>
      </c>
      <c r="B676" s="9"/>
      <c r="C676" s="8"/>
      <c r="D676" s="10" t="str">
        <f ca="1">IFERROR(_xludf.XLOOKUP(C676,STUDENTS!$A$5:$A$204,STUDENTS!$C$5:$C$204,""),"")</f>
        <v/>
      </c>
      <c r="E676" s="10" t="str">
        <f ca="1">IFERROR(_xludf.XLOOKUP(C676,STUDENTS!$A$5:$A$204,STUDENTS!$L$5:$L$204,""),"")</f>
        <v/>
      </c>
      <c r="F676" s="10" t="str">
        <f t="shared" si="31"/>
        <v/>
      </c>
      <c r="G676" s="8"/>
      <c r="H676" s="11" t="str">
        <f>IF(B676="","",IF(OR(F676="Saturday",F676="Sunday"),SETTINGS!$B$11,IF(G676="Vacation",SETTINGS!$B$13,0)))</f>
        <v/>
      </c>
      <c r="I676" s="12" t="str">
        <f t="shared" si="32"/>
        <v/>
      </c>
      <c r="J676" s="8"/>
    </row>
    <row r="677" spans="1:10" x14ac:dyDescent="0.2">
      <c r="A677" s="7" t="str">
        <f t="shared" si="30"/>
        <v/>
      </c>
      <c r="B677" s="9"/>
      <c r="C677" s="8"/>
      <c r="D677" s="10" t="str">
        <f ca="1">IFERROR(_xludf.XLOOKUP(C677,STUDENTS!$A$5:$A$204,STUDENTS!$C$5:$C$204,""),"")</f>
        <v/>
      </c>
      <c r="E677" s="10" t="str">
        <f ca="1">IFERROR(_xludf.XLOOKUP(C677,STUDENTS!$A$5:$A$204,STUDENTS!$L$5:$L$204,""),"")</f>
        <v/>
      </c>
      <c r="F677" s="10" t="str">
        <f t="shared" si="31"/>
        <v/>
      </c>
      <c r="G677" s="8"/>
      <c r="H677" s="11" t="str">
        <f>IF(B677="","",IF(OR(F677="Saturday",F677="Sunday"),SETTINGS!$B$11,IF(G677="Vacation",SETTINGS!$B$13,0)))</f>
        <v/>
      </c>
      <c r="I677" s="12" t="str">
        <f t="shared" si="32"/>
        <v/>
      </c>
      <c r="J677" s="8"/>
    </row>
    <row r="678" spans="1:10" x14ac:dyDescent="0.2">
      <c r="A678" s="7" t="str">
        <f t="shared" si="30"/>
        <v/>
      </c>
      <c r="B678" s="9"/>
      <c r="C678" s="8"/>
      <c r="D678" s="10" t="str">
        <f ca="1">IFERROR(_xludf.XLOOKUP(C678,STUDENTS!$A$5:$A$204,STUDENTS!$C$5:$C$204,""),"")</f>
        <v/>
      </c>
      <c r="E678" s="10" t="str">
        <f ca="1">IFERROR(_xludf.XLOOKUP(C678,STUDENTS!$A$5:$A$204,STUDENTS!$L$5:$L$204,""),"")</f>
        <v/>
      </c>
      <c r="F678" s="10" t="str">
        <f t="shared" si="31"/>
        <v/>
      </c>
      <c r="G678" s="8"/>
      <c r="H678" s="11" t="str">
        <f>IF(B678="","",IF(OR(F678="Saturday",F678="Sunday"),SETTINGS!$B$11,IF(G678="Vacation",SETTINGS!$B$13,0)))</f>
        <v/>
      </c>
      <c r="I678" s="12" t="str">
        <f t="shared" si="32"/>
        <v/>
      </c>
      <c r="J678" s="8"/>
    </row>
    <row r="679" spans="1:10" x14ac:dyDescent="0.2">
      <c r="A679" s="7" t="str">
        <f t="shared" si="30"/>
        <v/>
      </c>
      <c r="B679" s="9"/>
      <c r="C679" s="8"/>
      <c r="D679" s="10" t="str">
        <f ca="1">IFERROR(_xludf.XLOOKUP(C679,STUDENTS!$A$5:$A$204,STUDENTS!$C$5:$C$204,""),"")</f>
        <v/>
      </c>
      <c r="E679" s="10" t="str">
        <f ca="1">IFERROR(_xludf.XLOOKUP(C679,STUDENTS!$A$5:$A$204,STUDENTS!$L$5:$L$204,""),"")</f>
        <v/>
      </c>
      <c r="F679" s="10" t="str">
        <f t="shared" si="31"/>
        <v/>
      </c>
      <c r="G679" s="8"/>
      <c r="H679" s="11" t="str">
        <f>IF(B679="","",IF(OR(F679="Saturday",F679="Sunday"),SETTINGS!$B$11,IF(G679="Vacation",SETTINGS!$B$13,0)))</f>
        <v/>
      </c>
      <c r="I679" s="12" t="str">
        <f t="shared" si="32"/>
        <v/>
      </c>
      <c r="J679" s="8"/>
    </row>
    <row r="680" spans="1:10" x14ac:dyDescent="0.2">
      <c r="A680" s="7" t="str">
        <f t="shared" si="30"/>
        <v/>
      </c>
      <c r="B680" s="9"/>
      <c r="C680" s="8"/>
      <c r="D680" s="10" t="str">
        <f ca="1">IFERROR(_xludf.XLOOKUP(C680,STUDENTS!$A$5:$A$204,STUDENTS!$C$5:$C$204,""),"")</f>
        <v/>
      </c>
      <c r="E680" s="10" t="str">
        <f ca="1">IFERROR(_xludf.XLOOKUP(C680,STUDENTS!$A$5:$A$204,STUDENTS!$L$5:$L$204,""),"")</f>
        <v/>
      </c>
      <c r="F680" s="10" t="str">
        <f t="shared" si="31"/>
        <v/>
      </c>
      <c r="G680" s="8"/>
      <c r="H680" s="11" t="str">
        <f>IF(B680="","",IF(OR(F680="Saturday",F680="Sunday"),SETTINGS!$B$11,IF(G680="Vacation",SETTINGS!$B$13,0)))</f>
        <v/>
      </c>
      <c r="I680" s="12" t="str">
        <f t="shared" si="32"/>
        <v/>
      </c>
      <c r="J680" s="8"/>
    </row>
    <row r="681" spans="1:10" x14ac:dyDescent="0.2">
      <c r="A681" s="7" t="str">
        <f t="shared" si="30"/>
        <v/>
      </c>
      <c r="B681" s="9"/>
      <c r="C681" s="8"/>
      <c r="D681" s="10" t="str">
        <f ca="1">IFERROR(_xludf.XLOOKUP(C681,STUDENTS!$A$5:$A$204,STUDENTS!$C$5:$C$204,""),"")</f>
        <v/>
      </c>
      <c r="E681" s="10" t="str">
        <f ca="1">IFERROR(_xludf.XLOOKUP(C681,STUDENTS!$A$5:$A$204,STUDENTS!$L$5:$L$204,""),"")</f>
        <v/>
      </c>
      <c r="F681" s="10" t="str">
        <f t="shared" si="31"/>
        <v/>
      </c>
      <c r="G681" s="8"/>
      <c r="H681" s="11" t="str">
        <f>IF(B681="","",IF(OR(F681="Saturday",F681="Sunday"),SETTINGS!$B$11,IF(G681="Vacation",SETTINGS!$B$13,0)))</f>
        <v/>
      </c>
      <c r="I681" s="12" t="str">
        <f t="shared" si="32"/>
        <v/>
      </c>
      <c r="J681" s="8"/>
    </row>
    <row r="682" spans="1:10" x14ac:dyDescent="0.2">
      <c r="A682" s="7" t="str">
        <f t="shared" si="30"/>
        <v/>
      </c>
      <c r="B682" s="9"/>
      <c r="C682" s="8"/>
      <c r="D682" s="10" t="str">
        <f ca="1">IFERROR(_xludf.XLOOKUP(C682,STUDENTS!$A$5:$A$204,STUDENTS!$C$5:$C$204,""),"")</f>
        <v/>
      </c>
      <c r="E682" s="10" t="str">
        <f ca="1">IFERROR(_xludf.XLOOKUP(C682,STUDENTS!$A$5:$A$204,STUDENTS!$L$5:$L$204,""),"")</f>
        <v/>
      </c>
      <c r="F682" s="10" t="str">
        <f t="shared" si="31"/>
        <v/>
      </c>
      <c r="G682" s="8"/>
      <c r="H682" s="11" t="str">
        <f>IF(B682="","",IF(OR(F682="Saturday",F682="Sunday"),SETTINGS!$B$11,IF(G682="Vacation",SETTINGS!$B$13,0)))</f>
        <v/>
      </c>
      <c r="I682" s="12" t="str">
        <f t="shared" si="32"/>
        <v/>
      </c>
      <c r="J682" s="8"/>
    </row>
    <row r="683" spans="1:10" x14ac:dyDescent="0.2">
      <c r="A683" s="7" t="str">
        <f t="shared" si="30"/>
        <v/>
      </c>
      <c r="B683" s="9"/>
      <c r="C683" s="8"/>
      <c r="D683" s="10" t="str">
        <f ca="1">IFERROR(_xludf.XLOOKUP(C683,STUDENTS!$A$5:$A$204,STUDENTS!$C$5:$C$204,""),"")</f>
        <v/>
      </c>
      <c r="E683" s="10" t="str">
        <f ca="1">IFERROR(_xludf.XLOOKUP(C683,STUDENTS!$A$5:$A$204,STUDENTS!$L$5:$L$204,""),"")</f>
        <v/>
      </c>
      <c r="F683" s="10" t="str">
        <f t="shared" si="31"/>
        <v/>
      </c>
      <c r="G683" s="8"/>
      <c r="H683" s="11" t="str">
        <f>IF(B683="","",IF(OR(F683="Saturday",F683="Sunday"),SETTINGS!$B$11,IF(G683="Vacation",SETTINGS!$B$13,0)))</f>
        <v/>
      </c>
      <c r="I683" s="12" t="str">
        <f t="shared" si="32"/>
        <v/>
      </c>
      <c r="J683" s="8"/>
    </row>
    <row r="684" spans="1:10" x14ac:dyDescent="0.2">
      <c r="A684" s="7" t="str">
        <f t="shared" si="30"/>
        <v/>
      </c>
      <c r="B684" s="9"/>
      <c r="C684" s="8"/>
      <c r="D684" s="10" t="str">
        <f ca="1">IFERROR(_xludf.XLOOKUP(C684,STUDENTS!$A$5:$A$204,STUDENTS!$C$5:$C$204,""),"")</f>
        <v/>
      </c>
      <c r="E684" s="10" t="str">
        <f ca="1">IFERROR(_xludf.XLOOKUP(C684,STUDENTS!$A$5:$A$204,STUDENTS!$L$5:$L$204,""),"")</f>
        <v/>
      </c>
      <c r="F684" s="10" t="str">
        <f t="shared" si="31"/>
        <v/>
      </c>
      <c r="G684" s="8"/>
      <c r="H684" s="11" t="str">
        <f>IF(B684="","",IF(OR(F684="Saturday",F684="Sunday"),SETTINGS!$B$11,IF(G684="Vacation",SETTINGS!$B$13,0)))</f>
        <v/>
      </c>
      <c r="I684" s="12" t="str">
        <f t="shared" si="32"/>
        <v/>
      </c>
      <c r="J684" s="8"/>
    </row>
    <row r="685" spans="1:10" x14ac:dyDescent="0.2">
      <c r="A685" s="7" t="str">
        <f t="shared" si="30"/>
        <v/>
      </c>
      <c r="B685" s="9"/>
      <c r="C685" s="8"/>
      <c r="D685" s="10" t="str">
        <f ca="1">IFERROR(_xludf.XLOOKUP(C685,STUDENTS!$A$5:$A$204,STUDENTS!$C$5:$C$204,""),"")</f>
        <v/>
      </c>
      <c r="E685" s="10" t="str">
        <f ca="1">IFERROR(_xludf.XLOOKUP(C685,STUDENTS!$A$5:$A$204,STUDENTS!$L$5:$L$204,""),"")</f>
        <v/>
      </c>
      <c r="F685" s="10" t="str">
        <f t="shared" si="31"/>
        <v/>
      </c>
      <c r="G685" s="8"/>
      <c r="H685" s="11" t="str">
        <f>IF(B685="","",IF(OR(F685="Saturday",F685="Sunday"),SETTINGS!$B$11,IF(G685="Vacation",SETTINGS!$B$13,0)))</f>
        <v/>
      </c>
      <c r="I685" s="12" t="str">
        <f t="shared" si="32"/>
        <v/>
      </c>
      <c r="J685" s="8"/>
    </row>
    <row r="686" spans="1:10" x14ac:dyDescent="0.2">
      <c r="A686" s="7" t="str">
        <f t="shared" si="30"/>
        <v/>
      </c>
      <c r="B686" s="9"/>
      <c r="C686" s="8"/>
      <c r="D686" s="10" t="str">
        <f ca="1">IFERROR(_xludf.XLOOKUP(C686,STUDENTS!$A$5:$A$204,STUDENTS!$C$5:$C$204,""),"")</f>
        <v/>
      </c>
      <c r="E686" s="10" t="str">
        <f ca="1">IFERROR(_xludf.XLOOKUP(C686,STUDENTS!$A$5:$A$204,STUDENTS!$L$5:$L$204,""),"")</f>
        <v/>
      </c>
      <c r="F686" s="10" t="str">
        <f t="shared" si="31"/>
        <v/>
      </c>
      <c r="G686" s="8"/>
      <c r="H686" s="11" t="str">
        <f>IF(B686="","",IF(OR(F686="Saturday",F686="Sunday"),SETTINGS!$B$11,IF(G686="Vacation",SETTINGS!$B$13,0)))</f>
        <v/>
      </c>
      <c r="I686" s="12" t="str">
        <f t="shared" si="32"/>
        <v/>
      </c>
      <c r="J686" s="8"/>
    </row>
    <row r="687" spans="1:10" x14ac:dyDescent="0.2">
      <c r="A687" s="7" t="str">
        <f t="shared" si="30"/>
        <v/>
      </c>
      <c r="B687" s="9"/>
      <c r="C687" s="8"/>
      <c r="D687" s="10" t="str">
        <f ca="1">IFERROR(_xludf.XLOOKUP(C687,STUDENTS!$A$5:$A$204,STUDENTS!$C$5:$C$204,""),"")</f>
        <v/>
      </c>
      <c r="E687" s="10" t="str">
        <f ca="1">IFERROR(_xludf.XLOOKUP(C687,STUDENTS!$A$5:$A$204,STUDENTS!$L$5:$L$204,""),"")</f>
        <v/>
      </c>
      <c r="F687" s="10" t="str">
        <f t="shared" si="31"/>
        <v/>
      </c>
      <c r="G687" s="8"/>
      <c r="H687" s="11" t="str">
        <f>IF(B687="","",IF(OR(F687="Saturday",F687="Sunday"),SETTINGS!$B$11,IF(G687="Vacation",SETTINGS!$B$13,0)))</f>
        <v/>
      </c>
      <c r="I687" s="12" t="str">
        <f t="shared" si="32"/>
        <v/>
      </c>
      <c r="J687" s="8"/>
    </row>
    <row r="688" spans="1:10" x14ac:dyDescent="0.2">
      <c r="A688" s="7" t="str">
        <f t="shared" si="30"/>
        <v/>
      </c>
      <c r="B688" s="9"/>
      <c r="C688" s="8"/>
      <c r="D688" s="10" t="str">
        <f ca="1">IFERROR(_xludf.XLOOKUP(C688,STUDENTS!$A$5:$A$204,STUDENTS!$C$5:$C$204,""),"")</f>
        <v/>
      </c>
      <c r="E688" s="10" t="str">
        <f ca="1">IFERROR(_xludf.XLOOKUP(C688,STUDENTS!$A$5:$A$204,STUDENTS!$L$5:$L$204,""),"")</f>
        <v/>
      </c>
      <c r="F688" s="10" t="str">
        <f t="shared" si="31"/>
        <v/>
      </c>
      <c r="G688" s="8"/>
      <c r="H688" s="11" t="str">
        <f>IF(B688="","",IF(OR(F688="Saturday",F688="Sunday"),SETTINGS!$B$11,IF(G688="Vacation",SETTINGS!$B$13,0)))</f>
        <v/>
      </c>
      <c r="I688" s="12" t="str">
        <f t="shared" si="32"/>
        <v/>
      </c>
      <c r="J688" s="8"/>
    </row>
    <row r="689" spans="1:10" x14ac:dyDescent="0.2">
      <c r="A689" s="7" t="str">
        <f t="shared" si="30"/>
        <v/>
      </c>
      <c r="B689" s="9"/>
      <c r="C689" s="8"/>
      <c r="D689" s="10" t="str">
        <f ca="1">IFERROR(_xludf.XLOOKUP(C689,STUDENTS!$A$5:$A$204,STUDENTS!$C$5:$C$204,""),"")</f>
        <v/>
      </c>
      <c r="E689" s="10" t="str">
        <f ca="1">IFERROR(_xludf.XLOOKUP(C689,STUDENTS!$A$5:$A$204,STUDENTS!$L$5:$L$204,""),"")</f>
        <v/>
      </c>
      <c r="F689" s="10" t="str">
        <f t="shared" si="31"/>
        <v/>
      </c>
      <c r="G689" s="8"/>
      <c r="H689" s="11" t="str">
        <f>IF(B689="","",IF(OR(F689="Saturday",F689="Sunday"),SETTINGS!$B$11,IF(G689="Vacation",SETTINGS!$B$13,0)))</f>
        <v/>
      </c>
      <c r="I689" s="12" t="str">
        <f t="shared" si="32"/>
        <v/>
      </c>
      <c r="J689" s="8"/>
    </row>
    <row r="690" spans="1:10" x14ac:dyDescent="0.2">
      <c r="A690" s="7" t="str">
        <f t="shared" si="30"/>
        <v/>
      </c>
      <c r="B690" s="9"/>
      <c r="C690" s="8"/>
      <c r="D690" s="10" t="str">
        <f ca="1">IFERROR(_xludf.XLOOKUP(C690,STUDENTS!$A$5:$A$204,STUDENTS!$C$5:$C$204,""),"")</f>
        <v/>
      </c>
      <c r="E690" s="10" t="str">
        <f ca="1">IFERROR(_xludf.XLOOKUP(C690,STUDENTS!$A$5:$A$204,STUDENTS!$L$5:$L$204,""),"")</f>
        <v/>
      </c>
      <c r="F690" s="10" t="str">
        <f t="shared" si="31"/>
        <v/>
      </c>
      <c r="G690" s="8"/>
      <c r="H690" s="11" t="str">
        <f>IF(B690="","",IF(OR(F690="Saturday",F690="Sunday"),SETTINGS!$B$11,IF(G690="Vacation",SETTINGS!$B$13,0)))</f>
        <v/>
      </c>
      <c r="I690" s="12" t="str">
        <f t="shared" si="32"/>
        <v/>
      </c>
      <c r="J690" s="8"/>
    </row>
    <row r="691" spans="1:10" x14ac:dyDescent="0.2">
      <c r="A691" s="7" t="str">
        <f t="shared" si="30"/>
        <v/>
      </c>
      <c r="B691" s="9"/>
      <c r="C691" s="8"/>
      <c r="D691" s="10" t="str">
        <f ca="1">IFERROR(_xludf.XLOOKUP(C691,STUDENTS!$A$5:$A$204,STUDENTS!$C$5:$C$204,""),"")</f>
        <v/>
      </c>
      <c r="E691" s="10" t="str">
        <f ca="1">IFERROR(_xludf.XLOOKUP(C691,STUDENTS!$A$5:$A$204,STUDENTS!$L$5:$L$204,""),"")</f>
        <v/>
      </c>
      <c r="F691" s="10" t="str">
        <f t="shared" si="31"/>
        <v/>
      </c>
      <c r="G691" s="8"/>
      <c r="H691" s="11" t="str">
        <f>IF(B691="","",IF(OR(F691="Saturday",F691="Sunday"),SETTINGS!$B$11,IF(G691="Vacation",SETTINGS!$B$13,0)))</f>
        <v/>
      </c>
      <c r="I691" s="12" t="str">
        <f t="shared" si="32"/>
        <v/>
      </c>
      <c r="J691" s="8"/>
    </row>
    <row r="692" spans="1:10" x14ac:dyDescent="0.2">
      <c r="A692" s="7" t="str">
        <f t="shared" si="30"/>
        <v/>
      </c>
      <c r="B692" s="9"/>
      <c r="C692" s="8"/>
      <c r="D692" s="10" t="str">
        <f ca="1">IFERROR(_xludf.XLOOKUP(C692,STUDENTS!$A$5:$A$204,STUDENTS!$C$5:$C$204,""),"")</f>
        <v/>
      </c>
      <c r="E692" s="10" t="str">
        <f ca="1">IFERROR(_xludf.XLOOKUP(C692,STUDENTS!$A$5:$A$204,STUDENTS!$L$5:$L$204,""),"")</f>
        <v/>
      </c>
      <c r="F692" s="10" t="str">
        <f t="shared" si="31"/>
        <v/>
      </c>
      <c r="G692" s="8"/>
      <c r="H692" s="11" t="str">
        <f>IF(B692="","",IF(OR(F692="Saturday",F692="Sunday"),SETTINGS!$B$11,IF(G692="Vacation",SETTINGS!$B$13,0)))</f>
        <v/>
      </c>
      <c r="I692" s="12" t="str">
        <f t="shared" si="32"/>
        <v/>
      </c>
      <c r="J692" s="8"/>
    </row>
    <row r="693" spans="1:10" x14ac:dyDescent="0.2">
      <c r="A693" s="7" t="str">
        <f t="shared" si="30"/>
        <v/>
      </c>
      <c r="B693" s="9"/>
      <c r="C693" s="8"/>
      <c r="D693" s="10" t="str">
        <f ca="1">IFERROR(_xludf.XLOOKUP(C693,STUDENTS!$A$5:$A$204,STUDENTS!$C$5:$C$204,""),"")</f>
        <v/>
      </c>
      <c r="E693" s="10" t="str">
        <f ca="1">IFERROR(_xludf.XLOOKUP(C693,STUDENTS!$A$5:$A$204,STUDENTS!$L$5:$L$204,""),"")</f>
        <v/>
      </c>
      <c r="F693" s="10" t="str">
        <f t="shared" si="31"/>
        <v/>
      </c>
      <c r="G693" s="8"/>
      <c r="H693" s="11" t="str">
        <f>IF(B693="","",IF(OR(F693="Saturday",F693="Sunday"),SETTINGS!$B$11,IF(G693="Vacation",SETTINGS!$B$13,0)))</f>
        <v/>
      </c>
      <c r="I693" s="12" t="str">
        <f t="shared" si="32"/>
        <v/>
      </c>
      <c r="J693" s="8"/>
    </row>
    <row r="694" spans="1:10" x14ac:dyDescent="0.2">
      <c r="A694" s="7" t="str">
        <f t="shared" si="30"/>
        <v/>
      </c>
      <c r="B694" s="9"/>
      <c r="C694" s="8"/>
      <c r="D694" s="10" t="str">
        <f ca="1">IFERROR(_xludf.XLOOKUP(C694,STUDENTS!$A$5:$A$204,STUDENTS!$C$5:$C$204,""),"")</f>
        <v/>
      </c>
      <c r="E694" s="10" t="str">
        <f ca="1">IFERROR(_xludf.XLOOKUP(C694,STUDENTS!$A$5:$A$204,STUDENTS!$L$5:$L$204,""),"")</f>
        <v/>
      </c>
      <c r="F694" s="10" t="str">
        <f t="shared" si="31"/>
        <v/>
      </c>
      <c r="G694" s="8"/>
      <c r="H694" s="11" t="str">
        <f>IF(B694="","",IF(OR(F694="Saturday",F694="Sunday"),SETTINGS!$B$11,IF(G694="Vacation",SETTINGS!$B$13,0)))</f>
        <v/>
      </c>
      <c r="I694" s="12" t="str">
        <f t="shared" si="32"/>
        <v/>
      </c>
      <c r="J694" s="8"/>
    </row>
    <row r="695" spans="1:10" x14ac:dyDescent="0.2">
      <c r="A695" s="7" t="str">
        <f t="shared" si="30"/>
        <v/>
      </c>
      <c r="B695" s="9"/>
      <c r="C695" s="8"/>
      <c r="D695" s="10" t="str">
        <f ca="1">IFERROR(_xludf.XLOOKUP(C695,STUDENTS!$A$5:$A$204,STUDENTS!$C$5:$C$204,""),"")</f>
        <v/>
      </c>
      <c r="E695" s="10" t="str">
        <f ca="1">IFERROR(_xludf.XLOOKUP(C695,STUDENTS!$A$5:$A$204,STUDENTS!$L$5:$L$204,""),"")</f>
        <v/>
      </c>
      <c r="F695" s="10" t="str">
        <f t="shared" si="31"/>
        <v/>
      </c>
      <c r="G695" s="8"/>
      <c r="H695" s="11" t="str">
        <f>IF(B695="","",IF(OR(F695="Saturday",F695="Sunday"),SETTINGS!$B$11,IF(G695="Vacation",SETTINGS!$B$13,0)))</f>
        <v/>
      </c>
      <c r="I695" s="12" t="str">
        <f t="shared" si="32"/>
        <v/>
      </c>
      <c r="J695" s="8"/>
    </row>
    <row r="696" spans="1:10" x14ac:dyDescent="0.2">
      <c r="A696" s="7" t="str">
        <f t="shared" si="30"/>
        <v/>
      </c>
      <c r="B696" s="9"/>
      <c r="C696" s="8"/>
      <c r="D696" s="10" t="str">
        <f ca="1">IFERROR(_xludf.XLOOKUP(C696,STUDENTS!$A$5:$A$204,STUDENTS!$C$5:$C$204,""),"")</f>
        <v/>
      </c>
      <c r="E696" s="10" t="str">
        <f ca="1">IFERROR(_xludf.XLOOKUP(C696,STUDENTS!$A$5:$A$204,STUDENTS!$L$5:$L$204,""),"")</f>
        <v/>
      </c>
      <c r="F696" s="10" t="str">
        <f t="shared" si="31"/>
        <v/>
      </c>
      <c r="G696" s="8"/>
      <c r="H696" s="11" t="str">
        <f>IF(B696="","",IF(OR(F696="Saturday",F696="Sunday"),SETTINGS!$B$11,IF(G696="Vacation",SETTINGS!$B$13,0)))</f>
        <v/>
      </c>
      <c r="I696" s="12" t="str">
        <f t="shared" si="32"/>
        <v/>
      </c>
      <c r="J696" s="8"/>
    </row>
    <row r="697" spans="1:10" x14ac:dyDescent="0.2">
      <c r="A697" s="7" t="str">
        <f t="shared" si="30"/>
        <v/>
      </c>
      <c r="B697" s="9"/>
      <c r="C697" s="8"/>
      <c r="D697" s="10" t="str">
        <f ca="1">IFERROR(_xludf.XLOOKUP(C697,STUDENTS!$A$5:$A$204,STUDENTS!$C$5:$C$204,""),"")</f>
        <v/>
      </c>
      <c r="E697" s="10" t="str">
        <f ca="1">IFERROR(_xludf.XLOOKUP(C697,STUDENTS!$A$5:$A$204,STUDENTS!$L$5:$L$204,""),"")</f>
        <v/>
      </c>
      <c r="F697" s="10" t="str">
        <f t="shared" si="31"/>
        <v/>
      </c>
      <c r="G697" s="8"/>
      <c r="H697" s="11" t="str">
        <f>IF(B697="","",IF(OR(F697="Saturday",F697="Sunday"),SETTINGS!$B$11,IF(G697="Vacation",SETTINGS!$B$13,0)))</f>
        <v/>
      </c>
      <c r="I697" s="12" t="str">
        <f t="shared" si="32"/>
        <v/>
      </c>
      <c r="J697" s="8"/>
    </row>
    <row r="698" spans="1:10" x14ac:dyDescent="0.2">
      <c r="A698" s="7" t="str">
        <f t="shared" si="30"/>
        <v/>
      </c>
      <c r="B698" s="9"/>
      <c r="C698" s="8"/>
      <c r="D698" s="10" t="str">
        <f ca="1">IFERROR(_xludf.XLOOKUP(C698,STUDENTS!$A$5:$A$204,STUDENTS!$C$5:$C$204,""),"")</f>
        <v/>
      </c>
      <c r="E698" s="10" t="str">
        <f ca="1">IFERROR(_xludf.XLOOKUP(C698,STUDENTS!$A$5:$A$204,STUDENTS!$L$5:$L$204,""),"")</f>
        <v/>
      </c>
      <c r="F698" s="10" t="str">
        <f t="shared" si="31"/>
        <v/>
      </c>
      <c r="G698" s="8"/>
      <c r="H698" s="11" t="str">
        <f>IF(B698="","",IF(OR(F698="Saturday",F698="Sunday"),SETTINGS!$B$11,IF(G698="Vacation",SETTINGS!$B$13,0)))</f>
        <v/>
      </c>
      <c r="I698" s="12" t="str">
        <f t="shared" si="32"/>
        <v/>
      </c>
      <c r="J698" s="8"/>
    </row>
    <row r="699" spans="1:10" x14ac:dyDescent="0.2">
      <c r="A699" s="7" t="str">
        <f t="shared" si="30"/>
        <v/>
      </c>
      <c r="B699" s="9"/>
      <c r="C699" s="8"/>
      <c r="D699" s="10" t="str">
        <f ca="1">IFERROR(_xludf.XLOOKUP(C699,STUDENTS!$A$5:$A$204,STUDENTS!$C$5:$C$204,""),"")</f>
        <v/>
      </c>
      <c r="E699" s="10" t="str">
        <f ca="1">IFERROR(_xludf.XLOOKUP(C699,STUDENTS!$A$5:$A$204,STUDENTS!$L$5:$L$204,""),"")</f>
        <v/>
      </c>
      <c r="F699" s="10" t="str">
        <f t="shared" si="31"/>
        <v/>
      </c>
      <c r="G699" s="8"/>
      <c r="H699" s="11" t="str">
        <f>IF(B699="","",IF(OR(F699="Saturday",F699="Sunday"),SETTINGS!$B$11,IF(G699="Vacation",SETTINGS!$B$13,0)))</f>
        <v/>
      </c>
      <c r="I699" s="12" t="str">
        <f t="shared" si="32"/>
        <v/>
      </c>
      <c r="J699" s="8"/>
    </row>
    <row r="700" spans="1:10" x14ac:dyDescent="0.2">
      <c r="A700" s="7" t="str">
        <f t="shared" si="30"/>
        <v/>
      </c>
      <c r="B700" s="9"/>
      <c r="C700" s="8"/>
      <c r="D700" s="10" t="str">
        <f ca="1">IFERROR(_xludf.XLOOKUP(C700,STUDENTS!$A$5:$A$204,STUDENTS!$C$5:$C$204,""),"")</f>
        <v/>
      </c>
      <c r="E700" s="10" t="str">
        <f ca="1">IFERROR(_xludf.XLOOKUP(C700,STUDENTS!$A$5:$A$204,STUDENTS!$L$5:$L$204,""),"")</f>
        <v/>
      </c>
      <c r="F700" s="10" t="str">
        <f t="shared" si="31"/>
        <v/>
      </c>
      <c r="G700" s="8"/>
      <c r="H700" s="11" t="str">
        <f>IF(B700="","",IF(OR(F700="Saturday",F700="Sunday"),SETTINGS!$B$11,IF(G700="Vacation",SETTINGS!$B$13,0)))</f>
        <v/>
      </c>
      <c r="I700" s="12" t="str">
        <f t="shared" si="32"/>
        <v/>
      </c>
      <c r="J700" s="8"/>
    </row>
    <row r="701" spans="1:10" x14ac:dyDescent="0.2">
      <c r="A701" s="7" t="str">
        <f t="shared" si="30"/>
        <v/>
      </c>
      <c r="B701" s="9"/>
      <c r="C701" s="8"/>
      <c r="D701" s="10" t="str">
        <f ca="1">IFERROR(_xludf.XLOOKUP(C701,STUDENTS!$A$5:$A$204,STUDENTS!$C$5:$C$204,""),"")</f>
        <v/>
      </c>
      <c r="E701" s="10" t="str">
        <f ca="1">IFERROR(_xludf.XLOOKUP(C701,STUDENTS!$A$5:$A$204,STUDENTS!$L$5:$L$204,""),"")</f>
        <v/>
      </c>
      <c r="F701" s="10" t="str">
        <f t="shared" si="31"/>
        <v/>
      </c>
      <c r="G701" s="8"/>
      <c r="H701" s="11" t="str">
        <f>IF(B701="","",IF(OR(F701="Saturday",F701="Sunday"),SETTINGS!$B$11,IF(G701="Vacation",SETTINGS!$B$13,0)))</f>
        <v/>
      </c>
      <c r="I701" s="12" t="str">
        <f t="shared" si="32"/>
        <v/>
      </c>
      <c r="J701" s="8"/>
    </row>
    <row r="702" spans="1:10" x14ac:dyDescent="0.2">
      <c r="A702" s="7" t="str">
        <f t="shared" si="30"/>
        <v/>
      </c>
      <c r="B702" s="9"/>
      <c r="C702" s="8"/>
      <c r="D702" s="10" t="str">
        <f ca="1">IFERROR(_xludf.XLOOKUP(C702,STUDENTS!$A$5:$A$204,STUDENTS!$C$5:$C$204,""),"")</f>
        <v/>
      </c>
      <c r="E702" s="10" t="str">
        <f ca="1">IFERROR(_xludf.XLOOKUP(C702,STUDENTS!$A$5:$A$204,STUDENTS!$L$5:$L$204,""),"")</f>
        <v/>
      </c>
      <c r="F702" s="10" t="str">
        <f t="shared" si="31"/>
        <v/>
      </c>
      <c r="G702" s="8"/>
      <c r="H702" s="11" t="str">
        <f>IF(B702="","",IF(OR(F702="Saturday",F702="Sunday"),SETTINGS!$B$11,IF(G702="Vacation",SETTINGS!$B$13,0)))</f>
        <v/>
      </c>
      <c r="I702" s="12" t="str">
        <f t="shared" si="32"/>
        <v/>
      </c>
      <c r="J702" s="8"/>
    </row>
    <row r="703" spans="1:10" x14ac:dyDescent="0.2">
      <c r="A703" s="7" t="str">
        <f t="shared" si="30"/>
        <v/>
      </c>
      <c r="B703" s="9"/>
      <c r="C703" s="8"/>
      <c r="D703" s="10" t="str">
        <f ca="1">IFERROR(_xludf.XLOOKUP(C703,STUDENTS!$A$5:$A$204,STUDENTS!$C$5:$C$204,""),"")</f>
        <v/>
      </c>
      <c r="E703" s="10" t="str">
        <f ca="1">IFERROR(_xludf.XLOOKUP(C703,STUDENTS!$A$5:$A$204,STUDENTS!$L$5:$L$204,""),"")</f>
        <v/>
      </c>
      <c r="F703" s="10" t="str">
        <f t="shared" si="31"/>
        <v/>
      </c>
      <c r="G703" s="8"/>
      <c r="H703" s="11" t="str">
        <f>IF(B703="","",IF(OR(F703="Saturday",F703="Sunday"),SETTINGS!$B$11,IF(G703="Vacation",SETTINGS!$B$13,0)))</f>
        <v/>
      </c>
      <c r="I703" s="12" t="str">
        <f t="shared" si="32"/>
        <v/>
      </c>
      <c r="J703" s="8"/>
    </row>
    <row r="704" spans="1:10" x14ac:dyDescent="0.2">
      <c r="A704" s="7" t="str">
        <f t="shared" si="30"/>
        <v/>
      </c>
      <c r="B704" s="9"/>
      <c r="C704" s="8"/>
      <c r="D704" s="10" t="str">
        <f ca="1">IFERROR(_xludf.XLOOKUP(C704,STUDENTS!$A$5:$A$204,STUDENTS!$C$5:$C$204,""),"")</f>
        <v/>
      </c>
      <c r="E704" s="10" t="str">
        <f ca="1">IFERROR(_xludf.XLOOKUP(C704,STUDENTS!$A$5:$A$204,STUDENTS!$L$5:$L$204,""),"")</f>
        <v/>
      </c>
      <c r="F704" s="10" t="str">
        <f t="shared" si="31"/>
        <v/>
      </c>
      <c r="G704" s="8"/>
      <c r="H704" s="11" t="str">
        <f>IF(B704="","",IF(OR(F704="Saturday",F704="Sunday"),SETTINGS!$B$11,IF(G704="Vacation",SETTINGS!$B$13,0)))</f>
        <v/>
      </c>
      <c r="I704" s="12" t="str">
        <f t="shared" si="32"/>
        <v/>
      </c>
      <c r="J704" s="8"/>
    </row>
    <row r="705" spans="1:10" x14ac:dyDescent="0.2">
      <c r="A705" s="7" t="str">
        <f t="shared" si="30"/>
        <v/>
      </c>
      <c r="B705" s="9"/>
      <c r="C705" s="8"/>
      <c r="D705" s="10" t="str">
        <f ca="1">IFERROR(_xludf.XLOOKUP(C705,STUDENTS!$A$5:$A$204,STUDENTS!$C$5:$C$204,""),"")</f>
        <v/>
      </c>
      <c r="E705" s="10" t="str">
        <f ca="1">IFERROR(_xludf.XLOOKUP(C705,STUDENTS!$A$5:$A$204,STUDENTS!$L$5:$L$204,""),"")</f>
        <v/>
      </c>
      <c r="F705" s="10" t="str">
        <f t="shared" si="31"/>
        <v/>
      </c>
      <c r="G705" s="8"/>
      <c r="H705" s="11" t="str">
        <f>IF(B705="","",IF(OR(F705="Saturday",F705="Sunday"),SETTINGS!$B$11,IF(G705="Vacation",SETTINGS!$B$13,0)))</f>
        <v/>
      </c>
      <c r="I705" s="12" t="str">
        <f t="shared" si="32"/>
        <v/>
      </c>
      <c r="J705" s="8"/>
    </row>
    <row r="706" spans="1:10" x14ac:dyDescent="0.2">
      <c r="A706" s="7" t="str">
        <f t="shared" si="30"/>
        <v/>
      </c>
      <c r="B706" s="9"/>
      <c r="C706" s="8"/>
      <c r="D706" s="10" t="str">
        <f ca="1">IFERROR(_xludf.XLOOKUP(C706,STUDENTS!$A$5:$A$204,STUDENTS!$C$5:$C$204,""),"")</f>
        <v/>
      </c>
      <c r="E706" s="10" t="str">
        <f ca="1">IFERROR(_xludf.XLOOKUP(C706,STUDENTS!$A$5:$A$204,STUDENTS!$L$5:$L$204,""),"")</f>
        <v/>
      </c>
      <c r="F706" s="10" t="str">
        <f t="shared" si="31"/>
        <v/>
      </c>
      <c r="G706" s="8"/>
      <c r="H706" s="11" t="str">
        <f>IF(B706="","",IF(OR(F706="Saturday",F706="Sunday"),SETTINGS!$B$11,IF(G706="Vacation",SETTINGS!$B$13,0)))</f>
        <v/>
      </c>
      <c r="I706" s="12" t="str">
        <f t="shared" si="32"/>
        <v/>
      </c>
      <c r="J706" s="8"/>
    </row>
    <row r="707" spans="1:10" x14ac:dyDescent="0.2">
      <c r="A707" s="7" t="str">
        <f t="shared" si="30"/>
        <v/>
      </c>
      <c r="B707" s="9"/>
      <c r="C707" s="8"/>
      <c r="D707" s="10" t="str">
        <f ca="1">IFERROR(_xludf.XLOOKUP(C707,STUDENTS!$A$5:$A$204,STUDENTS!$C$5:$C$204,""),"")</f>
        <v/>
      </c>
      <c r="E707" s="10" t="str">
        <f ca="1">IFERROR(_xludf.XLOOKUP(C707,STUDENTS!$A$5:$A$204,STUDENTS!$L$5:$L$204,""),"")</f>
        <v/>
      </c>
      <c r="F707" s="10" t="str">
        <f t="shared" si="31"/>
        <v/>
      </c>
      <c r="G707" s="8"/>
      <c r="H707" s="11" t="str">
        <f>IF(B707="","",IF(OR(F707="Saturday",F707="Sunday"),SETTINGS!$B$11,IF(G707="Vacation",SETTINGS!$B$13,0)))</f>
        <v/>
      </c>
      <c r="I707" s="12" t="str">
        <f t="shared" si="32"/>
        <v/>
      </c>
      <c r="J707" s="8"/>
    </row>
    <row r="708" spans="1:10" x14ac:dyDescent="0.2">
      <c r="A708" s="7" t="str">
        <f t="shared" si="30"/>
        <v/>
      </c>
      <c r="B708" s="9"/>
      <c r="C708" s="8"/>
      <c r="D708" s="10" t="str">
        <f ca="1">IFERROR(_xludf.XLOOKUP(C708,STUDENTS!$A$5:$A$204,STUDENTS!$C$5:$C$204,""),"")</f>
        <v/>
      </c>
      <c r="E708" s="10" t="str">
        <f ca="1">IFERROR(_xludf.XLOOKUP(C708,STUDENTS!$A$5:$A$204,STUDENTS!$L$5:$L$204,""),"")</f>
        <v/>
      </c>
      <c r="F708" s="10" t="str">
        <f t="shared" si="31"/>
        <v/>
      </c>
      <c r="G708" s="8"/>
      <c r="H708" s="11" t="str">
        <f>IF(B708="","",IF(OR(F708="Saturday",F708="Sunday"),SETTINGS!$B$11,IF(G708="Vacation",SETTINGS!$B$13,0)))</f>
        <v/>
      </c>
      <c r="I708" s="12" t="str">
        <f t="shared" si="32"/>
        <v/>
      </c>
      <c r="J708" s="8"/>
    </row>
    <row r="709" spans="1:10" x14ac:dyDescent="0.2">
      <c r="A709" s="7" t="str">
        <f t="shared" ref="A709:A772" si="33">IF(C709="","","F-"&amp;TEXT(ROW()-4,"00000"))</f>
        <v/>
      </c>
      <c r="B709" s="9"/>
      <c r="C709" s="8"/>
      <c r="D709" s="10" t="str">
        <f ca="1">IFERROR(_xludf.XLOOKUP(C709,STUDENTS!$A$5:$A$204,STUDENTS!$C$5:$C$204,""),"")</f>
        <v/>
      </c>
      <c r="E709" s="10" t="str">
        <f ca="1">IFERROR(_xludf.XLOOKUP(C709,STUDENTS!$A$5:$A$204,STUDENTS!$L$5:$L$204,""),"")</f>
        <v/>
      </c>
      <c r="F709" s="10" t="str">
        <f t="shared" ref="F709:F772" si="34">IF(B709="","",TEXT(B709,"dddd"))</f>
        <v/>
      </c>
      <c r="G709" s="8"/>
      <c r="H709" s="11" t="str">
        <f>IF(B709="","",IF(OR(F709="Saturday",F709="Sunday"),SETTINGS!$B$11,IF(G709="Vacation",SETTINGS!$B$13,0)))</f>
        <v/>
      </c>
      <c r="I709" s="12" t="str">
        <f t="shared" ref="I709:I772" si="35">IF(H709="","",H709)</f>
        <v/>
      </c>
      <c r="J709" s="8"/>
    </row>
    <row r="710" spans="1:10" x14ac:dyDescent="0.2">
      <c r="A710" s="7" t="str">
        <f t="shared" si="33"/>
        <v/>
      </c>
      <c r="B710" s="9"/>
      <c r="C710" s="8"/>
      <c r="D710" s="10" t="str">
        <f ca="1">IFERROR(_xludf.XLOOKUP(C710,STUDENTS!$A$5:$A$204,STUDENTS!$C$5:$C$204,""),"")</f>
        <v/>
      </c>
      <c r="E710" s="10" t="str">
        <f ca="1">IFERROR(_xludf.XLOOKUP(C710,STUDENTS!$A$5:$A$204,STUDENTS!$L$5:$L$204,""),"")</f>
        <v/>
      </c>
      <c r="F710" s="10" t="str">
        <f t="shared" si="34"/>
        <v/>
      </c>
      <c r="G710" s="8"/>
      <c r="H710" s="11" t="str">
        <f>IF(B710="","",IF(OR(F710="Saturday",F710="Sunday"),SETTINGS!$B$11,IF(G710="Vacation",SETTINGS!$B$13,0)))</f>
        <v/>
      </c>
      <c r="I710" s="12" t="str">
        <f t="shared" si="35"/>
        <v/>
      </c>
      <c r="J710" s="8"/>
    </row>
    <row r="711" spans="1:10" x14ac:dyDescent="0.2">
      <c r="A711" s="7" t="str">
        <f t="shared" si="33"/>
        <v/>
      </c>
      <c r="B711" s="9"/>
      <c r="C711" s="8"/>
      <c r="D711" s="10" t="str">
        <f ca="1">IFERROR(_xludf.XLOOKUP(C711,STUDENTS!$A$5:$A$204,STUDENTS!$C$5:$C$204,""),"")</f>
        <v/>
      </c>
      <c r="E711" s="10" t="str">
        <f ca="1">IFERROR(_xludf.XLOOKUP(C711,STUDENTS!$A$5:$A$204,STUDENTS!$L$5:$L$204,""),"")</f>
        <v/>
      </c>
      <c r="F711" s="10" t="str">
        <f t="shared" si="34"/>
        <v/>
      </c>
      <c r="G711" s="8"/>
      <c r="H711" s="11" t="str">
        <f>IF(B711="","",IF(OR(F711="Saturday",F711="Sunday"),SETTINGS!$B$11,IF(G711="Vacation",SETTINGS!$B$13,0)))</f>
        <v/>
      </c>
      <c r="I711" s="12" t="str">
        <f t="shared" si="35"/>
        <v/>
      </c>
      <c r="J711" s="8"/>
    </row>
    <row r="712" spans="1:10" x14ac:dyDescent="0.2">
      <c r="A712" s="7" t="str">
        <f t="shared" si="33"/>
        <v/>
      </c>
      <c r="B712" s="9"/>
      <c r="C712" s="8"/>
      <c r="D712" s="10" t="str">
        <f ca="1">IFERROR(_xludf.XLOOKUP(C712,STUDENTS!$A$5:$A$204,STUDENTS!$C$5:$C$204,""),"")</f>
        <v/>
      </c>
      <c r="E712" s="10" t="str">
        <f ca="1">IFERROR(_xludf.XLOOKUP(C712,STUDENTS!$A$5:$A$204,STUDENTS!$L$5:$L$204,""),"")</f>
        <v/>
      </c>
      <c r="F712" s="10" t="str">
        <f t="shared" si="34"/>
        <v/>
      </c>
      <c r="G712" s="8"/>
      <c r="H712" s="11" t="str">
        <f>IF(B712="","",IF(OR(F712="Saturday",F712="Sunday"),SETTINGS!$B$11,IF(G712="Vacation",SETTINGS!$B$13,0)))</f>
        <v/>
      </c>
      <c r="I712" s="12" t="str">
        <f t="shared" si="35"/>
        <v/>
      </c>
      <c r="J712" s="8"/>
    </row>
    <row r="713" spans="1:10" x14ac:dyDescent="0.2">
      <c r="A713" s="7" t="str">
        <f t="shared" si="33"/>
        <v/>
      </c>
      <c r="B713" s="9"/>
      <c r="C713" s="8"/>
      <c r="D713" s="10" t="str">
        <f ca="1">IFERROR(_xludf.XLOOKUP(C713,STUDENTS!$A$5:$A$204,STUDENTS!$C$5:$C$204,""),"")</f>
        <v/>
      </c>
      <c r="E713" s="10" t="str">
        <f ca="1">IFERROR(_xludf.XLOOKUP(C713,STUDENTS!$A$5:$A$204,STUDENTS!$L$5:$L$204,""),"")</f>
        <v/>
      </c>
      <c r="F713" s="10" t="str">
        <f t="shared" si="34"/>
        <v/>
      </c>
      <c r="G713" s="8"/>
      <c r="H713" s="11" t="str">
        <f>IF(B713="","",IF(OR(F713="Saturday",F713="Sunday"),SETTINGS!$B$11,IF(G713="Vacation",SETTINGS!$B$13,0)))</f>
        <v/>
      </c>
      <c r="I713" s="12" t="str">
        <f t="shared" si="35"/>
        <v/>
      </c>
      <c r="J713" s="8"/>
    </row>
    <row r="714" spans="1:10" x14ac:dyDescent="0.2">
      <c r="A714" s="7" t="str">
        <f t="shared" si="33"/>
        <v/>
      </c>
      <c r="B714" s="9"/>
      <c r="C714" s="8"/>
      <c r="D714" s="10" t="str">
        <f ca="1">IFERROR(_xludf.XLOOKUP(C714,STUDENTS!$A$5:$A$204,STUDENTS!$C$5:$C$204,""),"")</f>
        <v/>
      </c>
      <c r="E714" s="10" t="str">
        <f ca="1">IFERROR(_xludf.XLOOKUP(C714,STUDENTS!$A$5:$A$204,STUDENTS!$L$5:$L$204,""),"")</f>
        <v/>
      </c>
      <c r="F714" s="10" t="str">
        <f t="shared" si="34"/>
        <v/>
      </c>
      <c r="G714" s="8"/>
      <c r="H714" s="11" t="str">
        <f>IF(B714="","",IF(OR(F714="Saturday",F714="Sunday"),SETTINGS!$B$11,IF(G714="Vacation",SETTINGS!$B$13,0)))</f>
        <v/>
      </c>
      <c r="I714" s="12" t="str">
        <f t="shared" si="35"/>
        <v/>
      </c>
      <c r="J714" s="8"/>
    </row>
    <row r="715" spans="1:10" x14ac:dyDescent="0.2">
      <c r="A715" s="7" t="str">
        <f t="shared" si="33"/>
        <v/>
      </c>
      <c r="B715" s="9"/>
      <c r="C715" s="8"/>
      <c r="D715" s="10" t="str">
        <f ca="1">IFERROR(_xludf.XLOOKUP(C715,STUDENTS!$A$5:$A$204,STUDENTS!$C$5:$C$204,""),"")</f>
        <v/>
      </c>
      <c r="E715" s="10" t="str">
        <f ca="1">IFERROR(_xludf.XLOOKUP(C715,STUDENTS!$A$5:$A$204,STUDENTS!$L$5:$L$204,""),"")</f>
        <v/>
      </c>
      <c r="F715" s="10" t="str">
        <f t="shared" si="34"/>
        <v/>
      </c>
      <c r="G715" s="8"/>
      <c r="H715" s="11" t="str">
        <f>IF(B715="","",IF(OR(F715="Saturday",F715="Sunday"),SETTINGS!$B$11,IF(G715="Vacation",SETTINGS!$B$13,0)))</f>
        <v/>
      </c>
      <c r="I715" s="12" t="str">
        <f t="shared" si="35"/>
        <v/>
      </c>
      <c r="J715" s="8"/>
    </row>
    <row r="716" spans="1:10" x14ac:dyDescent="0.2">
      <c r="A716" s="7" t="str">
        <f t="shared" si="33"/>
        <v/>
      </c>
      <c r="B716" s="9"/>
      <c r="C716" s="8"/>
      <c r="D716" s="10" t="str">
        <f ca="1">IFERROR(_xludf.XLOOKUP(C716,STUDENTS!$A$5:$A$204,STUDENTS!$C$5:$C$204,""),"")</f>
        <v/>
      </c>
      <c r="E716" s="10" t="str">
        <f ca="1">IFERROR(_xludf.XLOOKUP(C716,STUDENTS!$A$5:$A$204,STUDENTS!$L$5:$L$204,""),"")</f>
        <v/>
      </c>
      <c r="F716" s="10" t="str">
        <f t="shared" si="34"/>
        <v/>
      </c>
      <c r="G716" s="8"/>
      <c r="H716" s="11" t="str">
        <f>IF(B716="","",IF(OR(F716="Saturday",F716="Sunday"),SETTINGS!$B$11,IF(G716="Vacation",SETTINGS!$B$13,0)))</f>
        <v/>
      </c>
      <c r="I716" s="12" t="str">
        <f t="shared" si="35"/>
        <v/>
      </c>
      <c r="J716" s="8"/>
    </row>
    <row r="717" spans="1:10" x14ac:dyDescent="0.2">
      <c r="A717" s="7" t="str">
        <f t="shared" si="33"/>
        <v/>
      </c>
      <c r="B717" s="9"/>
      <c r="C717" s="8"/>
      <c r="D717" s="10" t="str">
        <f ca="1">IFERROR(_xludf.XLOOKUP(C717,STUDENTS!$A$5:$A$204,STUDENTS!$C$5:$C$204,""),"")</f>
        <v/>
      </c>
      <c r="E717" s="10" t="str">
        <f ca="1">IFERROR(_xludf.XLOOKUP(C717,STUDENTS!$A$5:$A$204,STUDENTS!$L$5:$L$204,""),"")</f>
        <v/>
      </c>
      <c r="F717" s="10" t="str">
        <f t="shared" si="34"/>
        <v/>
      </c>
      <c r="G717" s="8"/>
      <c r="H717" s="11" t="str">
        <f>IF(B717="","",IF(OR(F717="Saturday",F717="Sunday"),SETTINGS!$B$11,IF(G717="Vacation",SETTINGS!$B$13,0)))</f>
        <v/>
      </c>
      <c r="I717" s="12" t="str">
        <f t="shared" si="35"/>
        <v/>
      </c>
      <c r="J717" s="8"/>
    </row>
    <row r="718" spans="1:10" x14ac:dyDescent="0.2">
      <c r="A718" s="7" t="str">
        <f t="shared" si="33"/>
        <v/>
      </c>
      <c r="B718" s="9"/>
      <c r="C718" s="8"/>
      <c r="D718" s="10" t="str">
        <f ca="1">IFERROR(_xludf.XLOOKUP(C718,STUDENTS!$A$5:$A$204,STUDENTS!$C$5:$C$204,""),"")</f>
        <v/>
      </c>
      <c r="E718" s="10" t="str">
        <f ca="1">IFERROR(_xludf.XLOOKUP(C718,STUDENTS!$A$5:$A$204,STUDENTS!$L$5:$L$204,""),"")</f>
        <v/>
      </c>
      <c r="F718" s="10" t="str">
        <f t="shared" si="34"/>
        <v/>
      </c>
      <c r="G718" s="8"/>
      <c r="H718" s="11" t="str">
        <f>IF(B718="","",IF(OR(F718="Saturday",F718="Sunday"),SETTINGS!$B$11,IF(G718="Vacation",SETTINGS!$B$13,0)))</f>
        <v/>
      </c>
      <c r="I718" s="12" t="str">
        <f t="shared" si="35"/>
        <v/>
      </c>
      <c r="J718" s="8"/>
    </row>
    <row r="719" spans="1:10" x14ac:dyDescent="0.2">
      <c r="A719" s="7" t="str">
        <f t="shared" si="33"/>
        <v/>
      </c>
      <c r="B719" s="9"/>
      <c r="C719" s="8"/>
      <c r="D719" s="10" t="str">
        <f ca="1">IFERROR(_xludf.XLOOKUP(C719,STUDENTS!$A$5:$A$204,STUDENTS!$C$5:$C$204,""),"")</f>
        <v/>
      </c>
      <c r="E719" s="10" t="str">
        <f ca="1">IFERROR(_xludf.XLOOKUP(C719,STUDENTS!$A$5:$A$204,STUDENTS!$L$5:$L$204,""),"")</f>
        <v/>
      </c>
      <c r="F719" s="10" t="str">
        <f t="shared" si="34"/>
        <v/>
      </c>
      <c r="G719" s="8"/>
      <c r="H719" s="11" t="str">
        <f>IF(B719="","",IF(OR(F719="Saturday",F719="Sunday"),SETTINGS!$B$11,IF(G719="Vacation",SETTINGS!$B$13,0)))</f>
        <v/>
      </c>
      <c r="I719" s="12" t="str">
        <f t="shared" si="35"/>
        <v/>
      </c>
      <c r="J719" s="8"/>
    </row>
    <row r="720" spans="1:10" x14ac:dyDescent="0.2">
      <c r="A720" s="7" t="str">
        <f t="shared" si="33"/>
        <v/>
      </c>
      <c r="B720" s="9"/>
      <c r="C720" s="8"/>
      <c r="D720" s="10" t="str">
        <f ca="1">IFERROR(_xludf.XLOOKUP(C720,STUDENTS!$A$5:$A$204,STUDENTS!$C$5:$C$204,""),"")</f>
        <v/>
      </c>
      <c r="E720" s="10" t="str">
        <f ca="1">IFERROR(_xludf.XLOOKUP(C720,STUDENTS!$A$5:$A$204,STUDENTS!$L$5:$L$204,""),"")</f>
        <v/>
      </c>
      <c r="F720" s="10" t="str">
        <f t="shared" si="34"/>
        <v/>
      </c>
      <c r="G720" s="8"/>
      <c r="H720" s="11" t="str">
        <f>IF(B720="","",IF(OR(F720="Saturday",F720="Sunday"),SETTINGS!$B$11,IF(G720="Vacation",SETTINGS!$B$13,0)))</f>
        <v/>
      </c>
      <c r="I720" s="12" t="str">
        <f t="shared" si="35"/>
        <v/>
      </c>
      <c r="J720" s="8"/>
    </row>
    <row r="721" spans="1:10" x14ac:dyDescent="0.2">
      <c r="A721" s="7" t="str">
        <f t="shared" si="33"/>
        <v/>
      </c>
      <c r="B721" s="9"/>
      <c r="C721" s="8"/>
      <c r="D721" s="10" t="str">
        <f ca="1">IFERROR(_xludf.XLOOKUP(C721,STUDENTS!$A$5:$A$204,STUDENTS!$C$5:$C$204,""),"")</f>
        <v/>
      </c>
      <c r="E721" s="10" t="str">
        <f ca="1">IFERROR(_xludf.XLOOKUP(C721,STUDENTS!$A$5:$A$204,STUDENTS!$L$5:$L$204,""),"")</f>
        <v/>
      </c>
      <c r="F721" s="10" t="str">
        <f t="shared" si="34"/>
        <v/>
      </c>
      <c r="G721" s="8"/>
      <c r="H721" s="11" t="str">
        <f>IF(B721="","",IF(OR(F721="Saturday",F721="Sunday"),SETTINGS!$B$11,IF(G721="Vacation",SETTINGS!$B$13,0)))</f>
        <v/>
      </c>
      <c r="I721" s="12" t="str">
        <f t="shared" si="35"/>
        <v/>
      </c>
      <c r="J721" s="8"/>
    </row>
    <row r="722" spans="1:10" x14ac:dyDescent="0.2">
      <c r="A722" s="7" t="str">
        <f t="shared" si="33"/>
        <v/>
      </c>
      <c r="B722" s="9"/>
      <c r="C722" s="8"/>
      <c r="D722" s="10" t="str">
        <f ca="1">IFERROR(_xludf.XLOOKUP(C722,STUDENTS!$A$5:$A$204,STUDENTS!$C$5:$C$204,""),"")</f>
        <v/>
      </c>
      <c r="E722" s="10" t="str">
        <f ca="1">IFERROR(_xludf.XLOOKUP(C722,STUDENTS!$A$5:$A$204,STUDENTS!$L$5:$L$204,""),"")</f>
        <v/>
      </c>
      <c r="F722" s="10" t="str">
        <f t="shared" si="34"/>
        <v/>
      </c>
      <c r="G722" s="8"/>
      <c r="H722" s="11" t="str">
        <f>IF(B722="","",IF(OR(F722="Saturday",F722="Sunday"),SETTINGS!$B$11,IF(G722="Vacation",SETTINGS!$B$13,0)))</f>
        <v/>
      </c>
      <c r="I722" s="12" t="str">
        <f t="shared" si="35"/>
        <v/>
      </c>
      <c r="J722" s="8"/>
    </row>
    <row r="723" spans="1:10" x14ac:dyDescent="0.2">
      <c r="A723" s="7" t="str">
        <f t="shared" si="33"/>
        <v/>
      </c>
      <c r="B723" s="9"/>
      <c r="C723" s="8"/>
      <c r="D723" s="10" t="str">
        <f ca="1">IFERROR(_xludf.XLOOKUP(C723,STUDENTS!$A$5:$A$204,STUDENTS!$C$5:$C$204,""),"")</f>
        <v/>
      </c>
      <c r="E723" s="10" t="str">
        <f ca="1">IFERROR(_xludf.XLOOKUP(C723,STUDENTS!$A$5:$A$204,STUDENTS!$L$5:$L$204,""),"")</f>
        <v/>
      </c>
      <c r="F723" s="10" t="str">
        <f t="shared" si="34"/>
        <v/>
      </c>
      <c r="G723" s="8"/>
      <c r="H723" s="11" t="str">
        <f>IF(B723="","",IF(OR(F723="Saturday",F723="Sunday"),SETTINGS!$B$11,IF(G723="Vacation",SETTINGS!$B$13,0)))</f>
        <v/>
      </c>
      <c r="I723" s="12" t="str">
        <f t="shared" si="35"/>
        <v/>
      </c>
      <c r="J723" s="8"/>
    </row>
    <row r="724" spans="1:10" x14ac:dyDescent="0.2">
      <c r="A724" s="7" t="str">
        <f t="shared" si="33"/>
        <v/>
      </c>
      <c r="B724" s="9"/>
      <c r="C724" s="8"/>
      <c r="D724" s="10" t="str">
        <f ca="1">IFERROR(_xludf.XLOOKUP(C724,STUDENTS!$A$5:$A$204,STUDENTS!$C$5:$C$204,""),"")</f>
        <v/>
      </c>
      <c r="E724" s="10" t="str">
        <f ca="1">IFERROR(_xludf.XLOOKUP(C724,STUDENTS!$A$5:$A$204,STUDENTS!$L$5:$L$204,""),"")</f>
        <v/>
      </c>
      <c r="F724" s="10" t="str">
        <f t="shared" si="34"/>
        <v/>
      </c>
      <c r="G724" s="8"/>
      <c r="H724" s="11" t="str">
        <f>IF(B724="","",IF(OR(F724="Saturday",F724="Sunday"),SETTINGS!$B$11,IF(G724="Vacation",SETTINGS!$B$13,0)))</f>
        <v/>
      </c>
      <c r="I724" s="12" t="str">
        <f t="shared" si="35"/>
        <v/>
      </c>
      <c r="J724" s="8"/>
    </row>
    <row r="725" spans="1:10" x14ac:dyDescent="0.2">
      <c r="A725" s="7" t="str">
        <f t="shared" si="33"/>
        <v/>
      </c>
      <c r="B725" s="9"/>
      <c r="C725" s="8"/>
      <c r="D725" s="10" t="str">
        <f ca="1">IFERROR(_xludf.XLOOKUP(C725,STUDENTS!$A$5:$A$204,STUDENTS!$C$5:$C$204,""),"")</f>
        <v/>
      </c>
      <c r="E725" s="10" t="str">
        <f ca="1">IFERROR(_xludf.XLOOKUP(C725,STUDENTS!$A$5:$A$204,STUDENTS!$L$5:$L$204,""),"")</f>
        <v/>
      </c>
      <c r="F725" s="10" t="str">
        <f t="shared" si="34"/>
        <v/>
      </c>
      <c r="G725" s="8"/>
      <c r="H725" s="11" t="str">
        <f>IF(B725="","",IF(OR(F725="Saturday",F725="Sunday"),SETTINGS!$B$11,IF(G725="Vacation",SETTINGS!$B$13,0)))</f>
        <v/>
      </c>
      <c r="I725" s="12" t="str">
        <f t="shared" si="35"/>
        <v/>
      </c>
      <c r="J725" s="8"/>
    </row>
    <row r="726" spans="1:10" x14ac:dyDescent="0.2">
      <c r="A726" s="7" t="str">
        <f t="shared" si="33"/>
        <v/>
      </c>
      <c r="B726" s="9"/>
      <c r="C726" s="8"/>
      <c r="D726" s="10" t="str">
        <f ca="1">IFERROR(_xludf.XLOOKUP(C726,STUDENTS!$A$5:$A$204,STUDENTS!$C$5:$C$204,""),"")</f>
        <v/>
      </c>
      <c r="E726" s="10" t="str">
        <f ca="1">IFERROR(_xludf.XLOOKUP(C726,STUDENTS!$A$5:$A$204,STUDENTS!$L$5:$L$204,""),"")</f>
        <v/>
      </c>
      <c r="F726" s="10" t="str">
        <f t="shared" si="34"/>
        <v/>
      </c>
      <c r="G726" s="8"/>
      <c r="H726" s="11" t="str">
        <f>IF(B726="","",IF(OR(F726="Saturday",F726="Sunday"),SETTINGS!$B$11,IF(G726="Vacation",SETTINGS!$B$13,0)))</f>
        <v/>
      </c>
      <c r="I726" s="12" t="str">
        <f t="shared" si="35"/>
        <v/>
      </c>
      <c r="J726" s="8"/>
    </row>
    <row r="727" spans="1:10" x14ac:dyDescent="0.2">
      <c r="A727" s="7" t="str">
        <f t="shared" si="33"/>
        <v/>
      </c>
      <c r="B727" s="9"/>
      <c r="C727" s="8"/>
      <c r="D727" s="10" t="str">
        <f ca="1">IFERROR(_xludf.XLOOKUP(C727,STUDENTS!$A$5:$A$204,STUDENTS!$C$5:$C$204,""),"")</f>
        <v/>
      </c>
      <c r="E727" s="10" t="str">
        <f ca="1">IFERROR(_xludf.XLOOKUP(C727,STUDENTS!$A$5:$A$204,STUDENTS!$L$5:$L$204,""),"")</f>
        <v/>
      </c>
      <c r="F727" s="10" t="str">
        <f t="shared" si="34"/>
        <v/>
      </c>
      <c r="G727" s="8"/>
      <c r="H727" s="11" t="str">
        <f>IF(B727="","",IF(OR(F727="Saturday",F727="Sunday"),SETTINGS!$B$11,IF(G727="Vacation",SETTINGS!$B$13,0)))</f>
        <v/>
      </c>
      <c r="I727" s="12" t="str">
        <f t="shared" si="35"/>
        <v/>
      </c>
      <c r="J727" s="8"/>
    </row>
    <row r="728" spans="1:10" x14ac:dyDescent="0.2">
      <c r="A728" s="7" t="str">
        <f t="shared" si="33"/>
        <v/>
      </c>
      <c r="B728" s="9"/>
      <c r="C728" s="8"/>
      <c r="D728" s="10" t="str">
        <f ca="1">IFERROR(_xludf.XLOOKUP(C728,STUDENTS!$A$5:$A$204,STUDENTS!$C$5:$C$204,""),"")</f>
        <v/>
      </c>
      <c r="E728" s="10" t="str">
        <f ca="1">IFERROR(_xludf.XLOOKUP(C728,STUDENTS!$A$5:$A$204,STUDENTS!$L$5:$L$204,""),"")</f>
        <v/>
      </c>
      <c r="F728" s="10" t="str">
        <f t="shared" si="34"/>
        <v/>
      </c>
      <c r="G728" s="8"/>
      <c r="H728" s="11" t="str">
        <f>IF(B728="","",IF(OR(F728="Saturday",F728="Sunday"),SETTINGS!$B$11,IF(G728="Vacation",SETTINGS!$B$13,0)))</f>
        <v/>
      </c>
      <c r="I728" s="12" t="str">
        <f t="shared" si="35"/>
        <v/>
      </c>
      <c r="J728" s="8"/>
    </row>
    <row r="729" spans="1:10" x14ac:dyDescent="0.2">
      <c r="A729" s="7" t="str">
        <f t="shared" si="33"/>
        <v/>
      </c>
      <c r="B729" s="9"/>
      <c r="C729" s="8"/>
      <c r="D729" s="10" t="str">
        <f ca="1">IFERROR(_xludf.XLOOKUP(C729,STUDENTS!$A$5:$A$204,STUDENTS!$C$5:$C$204,""),"")</f>
        <v/>
      </c>
      <c r="E729" s="10" t="str">
        <f ca="1">IFERROR(_xludf.XLOOKUP(C729,STUDENTS!$A$5:$A$204,STUDENTS!$L$5:$L$204,""),"")</f>
        <v/>
      </c>
      <c r="F729" s="10" t="str">
        <f t="shared" si="34"/>
        <v/>
      </c>
      <c r="G729" s="8"/>
      <c r="H729" s="11" t="str">
        <f>IF(B729="","",IF(OR(F729="Saturday",F729="Sunday"),SETTINGS!$B$11,IF(G729="Vacation",SETTINGS!$B$13,0)))</f>
        <v/>
      </c>
      <c r="I729" s="12" t="str">
        <f t="shared" si="35"/>
        <v/>
      </c>
      <c r="J729" s="8"/>
    </row>
    <row r="730" spans="1:10" x14ac:dyDescent="0.2">
      <c r="A730" s="7" t="str">
        <f t="shared" si="33"/>
        <v/>
      </c>
      <c r="B730" s="9"/>
      <c r="C730" s="8"/>
      <c r="D730" s="10" t="str">
        <f ca="1">IFERROR(_xludf.XLOOKUP(C730,STUDENTS!$A$5:$A$204,STUDENTS!$C$5:$C$204,""),"")</f>
        <v/>
      </c>
      <c r="E730" s="10" t="str">
        <f ca="1">IFERROR(_xludf.XLOOKUP(C730,STUDENTS!$A$5:$A$204,STUDENTS!$L$5:$L$204,""),"")</f>
        <v/>
      </c>
      <c r="F730" s="10" t="str">
        <f t="shared" si="34"/>
        <v/>
      </c>
      <c r="G730" s="8"/>
      <c r="H730" s="11" t="str">
        <f>IF(B730="","",IF(OR(F730="Saturday",F730="Sunday"),SETTINGS!$B$11,IF(G730="Vacation",SETTINGS!$B$13,0)))</f>
        <v/>
      </c>
      <c r="I730" s="12" t="str">
        <f t="shared" si="35"/>
        <v/>
      </c>
      <c r="J730" s="8"/>
    </row>
    <row r="731" spans="1:10" x14ac:dyDescent="0.2">
      <c r="A731" s="7" t="str">
        <f t="shared" si="33"/>
        <v/>
      </c>
      <c r="B731" s="9"/>
      <c r="C731" s="8"/>
      <c r="D731" s="10" t="str">
        <f ca="1">IFERROR(_xludf.XLOOKUP(C731,STUDENTS!$A$5:$A$204,STUDENTS!$C$5:$C$204,""),"")</f>
        <v/>
      </c>
      <c r="E731" s="10" t="str">
        <f ca="1">IFERROR(_xludf.XLOOKUP(C731,STUDENTS!$A$5:$A$204,STUDENTS!$L$5:$L$204,""),"")</f>
        <v/>
      </c>
      <c r="F731" s="10" t="str">
        <f t="shared" si="34"/>
        <v/>
      </c>
      <c r="G731" s="8"/>
      <c r="H731" s="11" t="str">
        <f>IF(B731="","",IF(OR(F731="Saturday",F731="Sunday"),SETTINGS!$B$11,IF(G731="Vacation",SETTINGS!$B$13,0)))</f>
        <v/>
      </c>
      <c r="I731" s="12" t="str">
        <f t="shared" si="35"/>
        <v/>
      </c>
      <c r="J731" s="8"/>
    </row>
    <row r="732" spans="1:10" x14ac:dyDescent="0.2">
      <c r="A732" s="7" t="str">
        <f t="shared" si="33"/>
        <v/>
      </c>
      <c r="B732" s="9"/>
      <c r="C732" s="8"/>
      <c r="D732" s="10" t="str">
        <f ca="1">IFERROR(_xludf.XLOOKUP(C732,STUDENTS!$A$5:$A$204,STUDENTS!$C$5:$C$204,""),"")</f>
        <v/>
      </c>
      <c r="E732" s="10" t="str">
        <f ca="1">IFERROR(_xludf.XLOOKUP(C732,STUDENTS!$A$5:$A$204,STUDENTS!$L$5:$L$204,""),"")</f>
        <v/>
      </c>
      <c r="F732" s="10" t="str">
        <f t="shared" si="34"/>
        <v/>
      </c>
      <c r="G732" s="8"/>
      <c r="H732" s="11" t="str">
        <f>IF(B732="","",IF(OR(F732="Saturday",F732="Sunday"),SETTINGS!$B$11,IF(G732="Vacation",SETTINGS!$B$13,0)))</f>
        <v/>
      </c>
      <c r="I732" s="12" t="str">
        <f t="shared" si="35"/>
        <v/>
      </c>
      <c r="J732" s="8"/>
    </row>
    <row r="733" spans="1:10" x14ac:dyDescent="0.2">
      <c r="A733" s="7" t="str">
        <f t="shared" si="33"/>
        <v/>
      </c>
      <c r="B733" s="9"/>
      <c r="C733" s="8"/>
      <c r="D733" s="10" t="str">
        <f ca="1">IFERROR(_xludf.XLOOKUP(C733,STUDENTS!$A$5:$A$204,STUDENTS!$C$5:$C$204,""),"")</f>
        <v/>
      </c>
      <c r="E733" s="10" t="str">
        <f ca="1">IFERROR(_xludf.XLOOKUP(C733,STUDENTS!$A$5:$A$204,STUDENTS!$L$5:$L$204,""),"")</f>
        <v/>
      </c>
      <c r="F733" s="10" t="str">
        <f t="shared" si="34"/>
        <v/>
      </c>
      <c r="G733" s="8"/>
      <c r="H733" s="11" t="str">
        <f>IF(B733="","",IF(OR(F733="Saturday",F733="Sunday"),SETTINGS!$B$11,IF(G733="Vacation",SETTINGS!$B$13,0)))</f>
        <v/>
      </c>
      <c r="I733" s="12" t="str">
        <f t="shared" si="35"/>
        <v/>
      </c>
      <c r="J733" s="8"/>
    </row>
    <row r="734" spans="1:10" x14ac:dyDescent="0.2">
      <c r="A734" s="7" t="str">
        <f t="shared" si="33"/>
        <v/>
      </c>
      <c r="B734" s="9"/>
      <c r="C734" s="8"/>
      <c r="D734" s="10" t="str">
        <f ca="1">IFERROR(_xludf.XLOOKUP(C734,STUDENTS!$A$5:$A$204,STUDENTS!$C$5:$C$204,""),"")</f>
        <v/>
      </c>
      <c r="E734" s="10" t="str">
        <f ca="1">IFERROR(_xludf.XLOOKUP(C734,STUDENTS!$A$5:$A$204,STUDENTS!$L$5:$L$204,""),"")</f>
        <v/>
      </c>
      <c r="F734" s="10" t="str">
        <f t="shared" si="34"/>
        <v/>
      </c>
      <c r="G734" s="8"/>
      <c r="H734" s="11" t="str">
        <f>IF(B734="","",IF(OR(F734="Saturday",F734="Sunday"),SETTINGS!$B$11,IF(G734="Vacation",SETTINGS!$B$13,0)))</f>
        <v/>
      </c>
      <c r="I734" s="12" t="str">
        <f t="shared" si="35"/>
        <v/>
      </c>
      <c r="J734" s="8"/>
    </row>
    <row r="735" spans="1:10" x14ac:dyDescent="0.2">
      <c r="A735" s="7" t="str">
        <f t="shared" si="33"/>
        <v/>
      </c>
      <c r="B735" s="9"/>
      <c r="C735" s="8"/>
      <c r="D735" s="10" t="str">
        <f ca="1">IFERROR(_xludf.XLOOKUP(C735,STUDENTS!$A$5:$A$204,STUDENTS!$C$5:$C$204,""),"")</f>
        <v/>
      </c>
      <c r="E735" s="10" t="str">
        <f ca="1">IFERROR(_xludf.XLOOKUP(C735,STUDENTS!$A$5:$A$204,STUDENTS!$L$5:$L$204,""),"")</f>
        <v/>
      </c>
      <c r="F735" s="10" t="str">
        <f t="shared" si="34"/>
        <v/>
      </c>
      <c r="G735" s="8"/>
      <c r="H735" s="11" t="str">
        <f>IF(B735="","",IF(OR(F735="Saturday",F735="Sunday"),SETTINGS!$B$11,IF(G735="Vacation",SETTINGS!$B$13,0)))</f>
        <v/>
      </c>
      <c r="I735" s="12" t="str">
        <f t="shared" si="35"/>
        <v/>
      </c>
      <c r="J735" s="8"/>
    </row>
    <row r="736" spans="1:10" x14ac:dyDescent="0.2">
      <c r="A736" s="7" t="str">
        <f t="shared" si="33"/>
        <v/>
      </c>
      <c r="B736" s="9"/>
      <c r="C736" s="8"/>
      <c r="D736" s="10" t="str">
        <f ca="1">IFERROR(_xludf.XLOOKUP(C736,STUDENTS!$A$5:$A$204,STUDENTS!$C$5:$C$204,""),"")</f>
        <v/>
      </c>
      <c r="E736" s="10" t="str">
        <f ca="1">IFERROR(_xludf.XLOOKUP(C736,STUDENTS!$A$5:$A$204,STUDENTS!$L$5:$L$204,""),"")</f>
        <v/>
      </c>
      <c r="F736" s="10" t="str">
        <f t="shared" si="34"/>
        <v/>
      </c>
      <c r="G736" s="8"/>
      <c r="H736" s="11" t="str">
        <f>IF(B736="","",IF(OR(F736="Saturday",F736="Sunday"),SETTINGS!$B$11,IF(G736="Vacation",SETTINGS!$B$13,0)))</f>
        <v/>
      </c>
      <c r="I736" s="12" t="str">
        <f t="shared" si="35"/>
        <v/>
      </c>
      <c r="J736" s="8"/>
    </row>
    <row r="737" spans="1:10" x14ac:dyDescent="0.2">
      <c r="A737" s="7" t="str">
        <f t="shared" si="33"/>
        <v/>
      </c>
      <c r="B737" s="9"/>
      <c r="C737" s="8"/>
      <c r="D737" s="10" t="str">
        <f ca="1">IFERROR(_xludf.XLOOKUP(C737,STUDENTS!$A$5:$A$204,STUDENTS!$C$5:$C$204,""),"")</f>
        <v/>
      </c>
      <c r="E737" s="10" t="str">
        <f ca="1">IFERROR(_xludf.XLOOKUP(C737,STUDENTS!$A$5:$A$204,STUDENTS!$L$5:$L$204,""),"")</f>
        <v/>
      </c>
      <c r="F737" s="10" t="str">
        <f t="shared" si="34"/>
        <v/>
      </c>
      <c r="G737" s="8"/>
      <c r="H737" s="11" t="str">
        <f>IF(B737="","",IF(OR(F737="Saturday",F737="Sunday"),SETTINGS!$B$11,IF(G737="Vacation",SETTINGS!$B$13,0)))</f>
        <v/>
      </c>
      <c r="I737" s="12" t="str">
        <f t="shared" si="35"/>
        <v/>
      </c>
      <c r="J737" s="8"/>
    </row>
    <row r="738" spans="1:10" x14ac:dyDescent="0.2">
      <c r="A738" s="7" t="str">
        <f t="shared" si="33"/>
        <v/>
      </c>
      <c r="B738" s="9"/>
      <c r="C738" s="8"/>
      <c r="D738" s="10" t="str">
        <f ca="1">IFERROR(_xludf.XLOOKUP(C738,STUDENTS!$A$5:$A$204,STUDENTS!$C$5:$C$204,""),"")</f>
        <v/>
      </c>
      <c r="E738" s="10" t="str">
        <f ca="1">IFERROR(_xludf.XLOOKUP(C738,STUDENTS!$A$5:$A$204,STUDENTS!$L$5:$L$204,""),"")</f>
        <v/>
      </c>
      <c r="F738" s="10" t="str">
        <f t="shared" si="34"/>
        <v/>
      </c>
      <c r="G738" s="8"/>
      <c r="H738" s="11" t="str">
        <f>IF(B738="","",IF(OR(F738="Saturday",F738="Sunday"),SETTINGS!$B$11,IF(G738="Vacation",SETTINGS!$B$13,0)))</f>
        <v/>
      </c>
      <c r="I738" s="12" t="str">
        <f t="shared" si="35"/>
        <v/>
      </c>
      <c r="J738" s="8"/>
    </row>
    <row r="739" spans="1:10" x14ac:dyDescent="0.2">
      <c r="A739" s="7" t="str">
        <f t="shared" si="33"/>
        <v/>
      </c>
      <c r="B739" s="9"/>
      <c r="C739" s="8"/>
      <c r="D739" s="10" t="str">
        <f ca="1">IFERROR(_xludf.XLOOKUP(C739,STUDENTS!$A$5:$A$204,STUDENTS!$C$5:$C$204,""),"")</f>
        <v/>
      </c>
      <c r="E739" s="10" t="str">
        <f ca="1">IFERROR(_xludf.XLOOKUP(C739,STUDENTS!$A$5:$A$204,STUDENTS!$L$5:$L$204,""),"")</f>
        <v/>
      </c>
      <c r="F739" s="10" t="str">
        <f t="shared" si="34"/>
        <v/>
      </c>
      <c r="G739" s="8"/>
      <c r="H739" s="11" t="str">
        <f>IF(B739="","",IF(OR(F739="Saturday",F739="Sunday"),SETTINGS!$B$11,IF(G739="Vacation",SETTINGS!$B$13,0)))</f>
        <v/>
      </c>
      <c r="I739" s="12" t="str">
        <f t="shared" si="35"/>
        <v/>
      </c>
      <c r="J739" s="8"/>
    </row>
    <row r="740" spans="1:10" x14ac:dyDescent="0.2">
      <c r="A740" s="7" t="str">
        <f t="shared" si="33"/>
        <v/>
      </c>
      <c r="B740" s="9"/>
      <c r="C740" s="8"/>
      <c r="D740" s="10" t="str">
        <f ca="1">IFERROR(_xludf.XLOOKUP(C740,STUDENTS!$A$5:$A$204,STUDENTS!$C$5:$C$204,""),"")</f>
        <v/>
      </c>
      <c r="E740" s="10" t="str">
        <f ca="1">IFERROR(_xludf.XLOOKUP(C740,STUDENTS!$A$5:$A$204,STUDENTS!$L$5:$L$204,""),"")</f>
        <v/>
      </c>
      <c r="F740" s="10" t="str">
        <f t="shared" si="34"/>
        <v/>
      </c>
      <c r="G740" s="8"/>
      <c r="H740" s="11" t="str">
        <f>IF(B740="","",IF(OR(F740="Saturday",F740="Sunday"),SETTINGS!$B$11,IF(G740="Vacation",SETTINGS!$B$13,0)))</f>
        <v/>
      </c>
      <c r="I740" s="12" t="str">
        <f t="shared" si="35"/>
        <v/>
      </c>
      <c r="J740" s="8"/>
    </row>
    <row r="741" spans="1:10" x14ac:dyDescent="0.2">
      <c r="A741" s="7" t="str">
        <f t="shared" si="33"/>
        <v/>
      </c>
      <c r="B741" s="9"/>
      <c r="C741" s="8"/>
      <c r="D741" s="10" t="str">
        <f ca="1">IFERROR(_xludf.XLOOKUP(C741,STUDENTS!$A$5:$A$204,STUDENTS!$C$5:$C$204,""),"")</f>
        <v/>
      </c>
      <c r="E741" s="10" t="str">
        <f ca="1">IFERROR(_xludf.XLOOKUP(C741,STUDENTS!$A$5:$A$204,STUDENTS!$L$5:$L$204,""),"")</f>
        <v/>
      </c>
      <c r="F741" s="10" t="str">
        <f t="shared" si="34"/>
        <v/>
      </c>
      <c r="G741" s="8"/>
      <c r="H741" s="11" t="str">
        <f>IF(B741="","",IF(OR(F741="Saturday",F741="Sunday"),SETTINGS!$B$11,IF(G741="Vacation",SETTINGS!$B$13,0)))</f>
        <v/>
      </c>
      <c r="I741" s="12" t="str">
        <f t="shared" si="35"/>
        <v/>
      </c>
      <c r="J741" s="8"/>
    </row>
    <row r="742" spans="1:10" x14ac:dyDescent="0.2">
      <c r="A742" s="7" t="str">
        <f t="shared" si="33"/>
        <v/>
      </c>
      <c r="B742" s="9"/>
      <c r="C742" s="8"/>
      <c r="D742" s="10" t="str">
        <f ca="1">IFERROR(_xludf.XLOOKUP(C742,STUDENTS!$A$5:$A$204,STUDENTS!$C$5:$C$204,""),"")</f>
        <v/>
      </c>
      <c r="E742" s="10" t="str">
        <f ca="1">IFERROR(_xludf.XLOOKUP(C742,STUDENTS!$A$5:$A$204,STUDENTS!$L$5:$L$204,""),"")</f>
        <v/>
      </c>
      <c r="F742" s="10" t="str">
        <f t="shared" si="34"/>
        <v/>
      </c>
      <c r="G742" s="8"/>
      <c r="H742" s="11" t="str">
        <f>IF(B742="","",IF(OR(F742="Saturday",F742="Sunday"),SETTINGS!$B$11,IF(G742="Vacation",SETTINGS!$B$13,0)))</f>
        <v/>
      </c>
      <c r="I742" s="12" t="str">
        <f t="shared" si="35"/>
        <v/>
      </c>
      <c r="J742" s="8"/>
    </row>
    <row r="743" spans="1:10" x14ac:dyDescent="0.2">
      <c r="A743" s="7" t="str">
        <f t="shared" si="33"/>
        <v/>
      </c>
      <c r="B743" s="9"/>
      <c r="C743" s="8"/>
      <c r="D743" s="10" t="str">
        <f ca="1">IFERROR(_xludf.XLOOKUP(C743,STUDENTS!$A$5:$A$204,STUDENTS!$C$5:$C$204,""),"")</f>
        <v/>
      </c>
      <c r="E743" s="10" t="str">
        <f ca="1">IFERROR(_xludf.XLOOKUP(C743,STUDENTS!$A$5:$A$204,STUDENTS!$L$5:$L$204,""),"")</f>
        <v/>
      </c>
      <c r="F743" s="10" t="str">
        <f t="shared" si="34"/>
        <v/>
      </c>
      <c r="G743" s="8"/>
      <c r="H743" s="11" t="str">
        <f>IF(B743="","",IF(OR(F743="Saturday",F743="Sunday"),SETTINGS!$B$11,IF(G743="Vacation",SETTINGS!$B$13,0)))</f>
        <v/>
      </c>
      <c r="I743" s="12" t="str">
        <f t="shared" si="35"/>
        <v/>
      </c>
      <c r="J743" s="8"/>
    </row>
    <row r="744" spans="1:10" x14ac:dyDescent="0.2">
      <c r="A744" s="7" t="str">
        <f t="shared" si="33"/>
        <v/>
      </c>
      <c r="B744" s="9"/>
      <c r="C744" s="8"/>
      <c r="D744" s="10" t="str">
        <f ca="1">IFERROR(_xludf.XLOOKUP(C744,STUDENTS!$A$5:$A$204,STUDENTS!$C$5:$C$204,""),"")</f>
        <v/>
      </c>
      <c r="E744" s="10" t="str">
        <f ca="1">IFERROR(_xludf.XLOOKUP(C744,STUDENTS!$A$5:$A$204,STUDENTS!$L$5:$L$204,""),"")</f>
        <v/>
      </c>
      <c r="F744" s="10" t="str">
        <f t="shared" si="34"/>
        <v/>
      </c>
      <c r="G744" s="8"/>
      <c r="H744" s="11" t="str">
        <f>IF(B744="","",IF(OR(F744="Saturday",F744="Sunday"),SETTINGS!$B$11,IF(G744="Vacation",SETTINGS!$B$13,0)))</f>
        <v/>
      </c>
      <c r="I744" s="12" t="str">
        <f t="shared" si="35"/>
        <v/>
      </c>
      <c r="J744" s="8"/>
    </row>
    <row r="745" spans="1:10" x14ac:dyDescent="0.2">
      <c r="A745" s="7" t="str">
        <f t="shared" si="33"/>
        <v/>
      </c>
      <c r="B745" s="9"/>
      <c r="C745" s="8"/>
      <c r="D745" s="10" t="str">
        <f ca="1">IFERROR(_xludf.XLOOKUP(C745,STUDENTS!$A$5:$A$204,STUDENTS!$C$5:$C$204,""),"")</f>
        <v/>
      </c>
      <c r="E745" s="10" t="str">
        <f ca="1">IFERROR(_xludf.XLOOKUP(C745,STUDENTS!$A$5:$A$204,STUDENTS!$L$5:$L$204,""),"")</f>
        <v/>
      </c>
      <c r="F745" s="10" t="str">
        <f t="shared" si="34"/>
        <v/>
      </c>
      <c r="G745" s="8"/>
      <c r="H745" s="11" t="str">
        <f>IF(B745="","",IF(OR(F745="Saturday",F745="Sunday"),SETTINGS!$B$11,IF(G745="Vacation",SETTINGS!$B$13,0)))</f>
        <v/>
      </c>
      <c r="I745" s="12" t="str">
        <f t="shared" si="35"/>
        <v/>
      </c>
      <c r="J745" s="8"/>
    </row>
    <row r="746" spans="1:10" x14ac:dyDescent="0.2">
      <c r="A746" s="7" t="str">
        <f t="shared" si="33"/>
        <v/>
      </c>
      <c r="B746" s="9"/>
      <c r="C746" s="8"/>
      <c r="D746" s="10" t="str">
        <f ca="1">IFERROR(_xludf.XLOOKUP(C746,STUDENTS!$A$5:$A$204,STUDENTS!$C$5:$C$204,""),"")</f>
        <v/>
      </c>
      <c r="E746" s="10" t="str">
        <f ca="1">IFERROR(_xludf.XLOOKUP(C746,STUDENTS!$A$5:$A$204,STUDENTS!$L$5:$L$204,""),"")</f>
        <v/>
      </c>
      <c r="F746" s="10" t="str">
        <f t="shared" si="34"/>
        <v/>
      </c>
      <c r="G746" s="8"/>
      <c r="H746" s="11" t="str">
        <f>IF(B746="","",IF(OR(F746="Saturday",F746="Sunday"),SETTINGS!$B$11,IF(G746="Vacation",SETTINGS!$B$13,0)))</f>
        <v/>
      </c>
      <c r="I746" s="12" t="str">
        <f t="shared" si="35"/>
        <v/>
      </c>
      <c r="J746" s="8"/>
    </row>
    <row r="747" spans="1:10" x14ac:dyDescent="0.2">
      <c r="A747" s="7" t="str">
        <f t="shared" si="33"/>
        <v/>
      </c>
      <c r="B747" s="9"/>
      <c r="C747" s="8"/>
      <c r="D747" s="10" t="str">
        <f ca="1">IFERROR(_xludf.XLOOKUP(C747,STUDENTS!$A$5:$A$204,STUDENTS!$C$5:$C$204,""),"")</f>
        <v/>
      </c>
      <c r="E747" s="10" t="str">
        <f ca="1">IFERROR(_xludf.XLOOKUP(C747,STUDENTS!$A$5:$A$204,STUDENTS!$L$5:$L$204,""),"")</f>
        <v/>
      </c>
      <c r="F747" s="10" t="str">
        <f t="shared" si="34"/>
        <v/>
      </c>
      <c r="G747" s="8"/>
      <c r="H747" s="11" t="str">
        <f>IF(B747="","",IF(OR(F747="Saturday",F747="Sunday"),SETTINGS!$B$11,IF(G747="Vacation",SETTINGS!$B$13,0)))</f>
        <v/>
      </c>
      <c r="I747" s="12" t="str">
        <f t="shared" si="35"/>
        <v/>
      </c>
      <c r="J747" s="8"/>
    </row>
    <row r="748" spans="1:10" x14ac:dyDescent="0.2">
      <c r="A748" s="7" t="str">
        <f t="shared" si="33"/>
        <v/>
      </c>
      <c r="B748" s="9"/>
      <c r="C748" s="8"/>
      <c r="D748" s="10" t="str">
        <f ca="1">IFERROR(_xludf.XLOOKUP(C748,STUDENTS!$A$5:$A$204,STUDENTS!$C$5:$C$204,""),"")</f>
        <v/>
      </c>
      <c r="E748" s="10" t="str">
        <f ca="1">IFERROR(_xludf.XLOOKUP(C748,STUDENTS!$A$5:$A$204,STUDENTS!$L$5:$L$204,""),"")</f>
        <v/>
      </c>
      <c r="F748" s="10" t="str">
        <f t="shared" si="34"/>
        <v/>
      </c>
      <c r="G748" s="8"/>
      <c r="H748" s="11" t="str">
        <f>IF(B748="","",IF(OR(F748="Saturday",F748="Sunday"),SETTINGS!$B$11,IF(G748="Vacation",SETTINGS!$B$13,0)))</f>
        <v/>
      </c>
      <c r="I748" s="12" t="str">
        <f t="shared" si="35"/>
        <v/>
      </c>
      <c r="J748" s="8"/>
    </row>
    <row r="749" spans="1:10" x14ac:dyDescent="0.2">
      <c r="A749" s="7" t="str">
        <f t="shared" si="33"/>
        <v/>
      </c>
      <c r="B749" s="9"/>
      <c r="C749" s="8"/>
      <c r="D749" s="10" t="str">
        <f ca="1">IFERROR(_xludf.XLOOKUP(C749,STUDENTS!$A$5:$A$204,STUDENTS!$C$5:$C$204,""),"")</f>
        <v/>
      </c>
      <c r="E749" s="10" t="str">
        <f ca="1">IFERROR(_xludf.XLOOKUP(C749,STUDENTS!$A$5:$A$204,STUDENTS!$L$5:$L$204,""),"")</f>
        <v/>
      </c>
      <c r="F749" s="10" t="str">
        <f t="shared" si="34"/>
        <v/>
      </c>
      <c r="G749" s="8"/>
      <c r="H749" s="11" t="str">
        <f>IF(B749="","",IF(OR(F749="Saturday",F749="Sunday"),SETTINGS!$B$11,IF(G749="Vacation",SETTINGS!$B$13,0)))</f>
        <v/>
      </c>
      <c r="I749" s="12" t="str">
        <f t="shared" si="35"/>
        <v/>
      </c>
      <c r="J749" s="8"/>
    </row>
    <row r="750" spans="1:10" x14ac:dyDescent="0.2">
      <c r="A750" s="7" t="str">
        <f t="shared" si="33"/>
        <v/>
      </c>
      <c r="B750" s="9"/>
      <c r="C750" s="8"/>
      <c r="D750" s="10" t="str">
        <f ca="1">IFERROR(_xludf.XLOOKUP(C750,STUDENTS!$A$5:$A$204,STUDENTS!$C$5:$C$204,""),"")</f>
        <v/>
      </c>
      <c r="E750" s="10" t="str">
        <f ca="1">IFERROR(_xludf.XLOOKUP(C750,STUDENTS!$A$5:$A$204,STUDENTS!$L$5:$L$204,""),"")</f>
        <v/>
      </c>
      <c r="F750" s="10" t="str">
        <f t="shared" si="34"/>
        <v/>
      </c>
      <c r="G750" s="8"/>
      <c r="H750" s="11" t="str">
        <f>IF(B750="","",IF(OR(F750="Saturday",F750="Sunday"),SETTINGS!$B$11,IF(G750="Vacation",SETTINGS!$B$13,0)))</f>
        <v/>
      </c>
      <c r="I750" s="12" t="str">
        <f t="shared" si="35"/>
        <v/>
      </c>
      <c r="J750" s="8"/>
    </row>
    <row r="751" spans="1:10" x14ac:dyDescent="0.2">
      <c r="A751" s="7" t="str">
        <f t="shared" si="33"/>
        <v/>
      </c>
      <c r="B751" s="9"/>
      <c r="C751" s="8"/>
      <c r="D751" s="10" t="str">
        <f ca="1">IFERROR(_xludf.XLOOKUP(C751,STUDENTS!$A$5:$A$204,STUDENTS!$C$5:$C$204,""),"")</f>
        <v/>
      </c>
      <c r="E751" s="10" t="str">
        <f ca="1">IFERROR(_xludf.XLOOKUP(C751,STUDENTS!$A$5:$A$204,STUDENTS!$L$5:$L$204,""),"")</f>
        <v/>
      </c>
      <c r="F751" s="10" t="str">
        <f t="shared" si="34"/>
        <v/>
      </c>
      <c r="G751" s="8"/>
      <c r="H751" s="11" t="str">
        <f>IF(B751="","",IF(OR(F751="Saturday",F751="Sunday"),SETTINGS!$B$11,IF(G751="Vacation",SETTINGS!$B$13,0)))</f>
        <v/>
      </c>
      <c r="I751" s="12" t="str">
        <f t="shared" si="35"/>
        <v/>
      </c>
      <c r="J751" s="8"/>
    </row>
    <row r="752" spans="1:10" x14ac:dyDescent="0.2">
      <c r="A752" s="7" t="str">
        <f t="shared" si="33"/>
        <v/>
      </c>
      <c r="B752" s="9"/>
      <c r="C752" s="8"/>
      <c r="D752" s="10" t="str">
        <f ca="1">IFERROR(_xludf.XLOOKUP(C752,STUDENTS!$A$5:$A$204,STUDENTS!$C$5:$C$204,""),"")</f>
        <v/>
      </c>
      <c r="E752" s="10" t="str">
        <f ca="1">IFERROR(_xludf.XLOOKUP(C752,STUDENTS!$A$5:$A$204,STUDENTS!$L$5:$L$204,""),"")</f>
        <v/>
      </c>
      <c r="F752" s="10" t="str">
        <f t="shared" si="34"/>
        <v/>
      </c>
      <c r="G752" s="8"/>
      <c r="H752" s="11" t="str">
        <f>IF(B752="","",IF(OR(F752="Saturday",F752="Sunday"),SETTINGS!$B$11,IF(G752="Vacation",SETTINGS!$B$13,0)))</f>
        <v/>
      </c>
      <c r="I752" s="12" t="str">
        <f t="shared" si="35"/>
        <v/>
      </c>
      <c r="J752" s="8"/>
    </row>
    <row r="753" spans="1:10" x14ac:dyDescent="0.2">
      <c r="A753" s="7" t="str">
        <f t="shared" si="33"/>
        <v/>
      </c>
      <c r="B753" s="9"/>
      <c r="C753" s="8"/>
      <c r="D753" s="10" t="str">
        <f ca="1">IFERROR(_xludf.XLOOKUP(C753,STUDENTS!$A$5:$A$204,STUDENTS!$C$5:$C$204,""),"")</f>
        <v/>
      </c>
      <c r="E753" s="10" t="str">
        <f ca="1">IFERROR(_xludf.XLOOKUP(C753,STUDENTS!$A$5:$A$204,STUDENTS!$L$5:$L$204,""),"")</f>
        <v/>
      </c>
      <c r="F753" s="10" t="str">
        <f t="shared" si="34"/>
        <v/>
      </c>
      <c r="G753" s="8"/>
      <c r="H753" s="11" t="str">
        <f>IF(B753="","",IF(OR(F753="Saturday",F753="Sunday"),SETTINGS!$B$11,IF(G753="Vacation",SETTINGS!$B$13,0)))</f>
        <v/>
      </c>
      <c r="I753" s="12" t="str">
        <f t="shared" si="35"/>
        <v/>
      </c>
      <c r="J753" s="8"/>
    </row>
    <row r="754" spans="1:10" x14ac:dyDescent="0.2">
      <c r="A754" s="7" t="str">
        <f t="shared" si="33"/>
        <v/>
      </c>
      <c r="B754" s="9"/>
      <c r="C754" s="8"/>
      <c r="D754" s="10" t="str">
        <f ca="1">IFERROR(_xludf.XLOOKUP(C754,STUDENTS!$A$5:$A$204,STUDENTS!$C$5:$C$204,""),"")</f>
        <v/>
      </c>
      <c r="E754" s="10" t="str">
        <f ca="1">IFERROR(_xludf.XLOOKUP(C754,STUDENTS!$A$5:$A$204,STUDENTS!$L$5:$L$204,""),"")</f>
        <v/>
      </c>
      <c r="F754" s="10" t="str">
        <f t="shared" si="34"/>
        <v/>
      </c>
      <c r="G754" s="8"/>
      <c r="H754" s="11" t="str">
        <f>IF(B754="","",IF(OR(F754="Saturday",F754="Sunday"),SETTINGS!$B$11,IF(G754="Vacation",SETTINGS!$B$13,0)))</f>
        <v/>
      </c>
      <c r="I754" s="12" t="str">
        <f t="shared" si="35"/>
        <v/>
      </c>
      <c r="J754" s="8"/>
    </row>
    <row r="755" spans="1:10" x14ac:dyDescent="0.2">
      <c r="A755" s="7" t="str">
        <f t="shared" si="33"/>
        <v/>
      </c>
      <c r="B755" s="9"/>
      <c r="C755" s="8"/>
      <c r="D755" s="10" t="str">
        <f ca="1">IFERROR(_xludf.XLOOKUP(C755,STUDENTS!$A$5:$A$204,STUDENTS!$C$5:$C$204,""),"")</f>
        <v/>
      </c>
      <c r="E755" s="10" t="str">
        <f ca="1">IFERROR(_xludf.XLOOKUP(C755,STUDENTS!$A$5:$A$204,STUDENTS!$L$5:$L$204,""),"")</f>
        <v/>
      </c>
      <c r="F755" s="10" t="str">
        <f t="shared" si="34"/>
        <v/>
      </c>
      <c r="G755" s="8"/>
      <c r="H755" s="11" t="str">
        <f>IF(B755="","",IF(OR(F755="Saturday",F755="Sunday"),SETTINGS!$B$11,IF(G755="Vacation",SETTINGS!$B$13,0)))</f>
        <v/>
      </c>
      <c r="I755" s="12" t="str">
        <f t="shared" si="35"/>
        <v/>
      </c>
      <c r="J755" s="8"/>
    </row>
    <row r="756" spans="1:10" x14ac:dyDescent="0.2">
      <c r="A756" s="7" t="str">
        <f t="shared" si="33"/>
        <v/>
      </c>
      <c r="B756" s="9"/>
      <c r="C756" s="8"/>
      <c r="D756" s="10" t="str">
        <f ca="1">IFERROR(_xludf.XLOOKUP(C756,STUDENTS!$A$5:$A$204,STUDENTS!$C$5:$C$204,""),"")</f>
        <v/>
      </c>
      <c r="E756" s="10" t="str">
        <f ca="1">IFERROR(_xludf.XLOOKUP(C756,STUDENTS!$A$5:$A$204,STUDENTS!$L$5:$L$204,""),"")</f>
        <v/>
      </c>
      <c r="F756" s="10" t="str">
        <f t="shared" si="34"/>
        <v/>
      </c>
      <c r="G756" s="8"/>
      <c r="H756" s="11" t="str">
        <f>IF(B756="","",IF(OR(F756="Saturday",F756="Sunday"),SETTINGS!$B$11,IF(G756="Vacation",SETTINGS!$B$13,0)))</f>
        <v/>
      </c>
      <c r="I756" s="12" t="str">
        <f t="shared" si="35"/>
        <v/>
      </c>
      <c r="J756" s="8"/>
    </row>
    <row r="757" spans="1:10" x14ac:dyDescent="0.2">
      <c r="A757" s="7" t="str">
        <f t="shared" si="33"/>
        <v/>
      </c>
      <c r="B757" s="9"/>
      <c r="C757" s="8"/>
      <c r="D757" s="10" t="str">
        <f ca="1">IFERROR(_xludf.XLOOKUP(C757,STUDENTS!$A$5:$A$204,STUDENTS!$C$5:$C$204,""),"")</f>
        <v/>
      </c>
      <c r="E757" s="10" t="str">
        <f ca="1">IFERROR(_xludf.XLOOKUP(C757,STUDENTS!$A$5:$A$204,STUDENTS!$L$5:$L$204,""),"")</f>
        <v/>
      </c>
      <c r="F757" s="10" t="str">
        <f t="shared" si="34"/>
        <v/>
      </c>
      <c r="G757" s="8"/>
      <c r="H757" s="11" t="str">
        <f>IF(B757="","",IF(OR(F757="Saturday",F757="Sunday"),SETTINGS!$B$11,IF(G757="Vacation",SETTINGS!$B$13,0)))</f>
        <v/>
      </c>
      <c r="I757" s="12" t="str">
        <f t="shared" si="35"/>
        <v/>
      </c>
      <c r="J757" s="8"/>
    </row>
    <row r="758" spans="1:10" x14ac:dyDescent="0.2">
      <c r="A758" s="7" t="str">
        <f t="shared" si="33"/>
        <v/>
      </c>
      <c r="B758" s="9"/>
      <c r="C758" s="8"/>
      <c r="D758" s="10" t="str">
        <f ca="1">IFERROR(_xludf.XLOOKUP(C758,STUDENTS!$A$5:$A$204,STUDENTS!$C$5:$C$204,""),"")</f>
        <v/>
      </c>
      <c r="E758" s="10" t="str">
        <f ca="1">IFERROR(_xludf.XLOOKUP(C758,STUDENTS!$A$5:$A$204,STUDENTS!$L$5:$L$204,""),"")</f>
        <v/>
      </c>
      <c r="F758" s="10" t="str">
        <f t="shared" si="34"/>
        <v/>
      </c>
      <c r="G758" s="8"/>
      <c r="H758" s="11" t="str">
        <f>IF(B758="","",IF(OR(F758="Saturday",F758="Sunday"),SETTINGS!$B$11,IF(G758="Vacation",SETTINGS!$B$13,0)))</f>
        <v/>
      </c>
      <c r="I758" s="12" t="str">
        <f t="shared" si="35"/>
        <v/>
      </c>
      <c r="J758" s="8"/>
    </row>
    <row r="759" spans="1:10" x14ac:dyDescent="0.2">
      <c r="A759" s="7" t="str">
        <f t="shared" si="33"/>
        <v/>
      </c>
      <c r="B759" s="9"/>
      <c r="C759" s="8"/>
      <c r="D759" s="10" t="str">
        <f ca="1">IFERROR(_xludf.XLOOKUP(C759,STUDENTS!$A$5:$A$204,STUDENTS!$C$5:$C$204,""),"")</f>
        <v/>
      </c>
      <c r="E759" s="10" t="str">
        <f ca="1">IFERROR(_xludf.XLOOKUP(C759,STUDENTS!$A$5:$A$204,STUDENTS!$L$5:$L$204,""),"")</f>
        <v/>
      </c>
      <c r="F759" s="10" t="str">
        <f t="shared" si="34"/>
        <v/>
      </c>
      <c r="G759" s="8"/>
      <c r="H759" s="11" t="str">
        <f>IF(B759="","",IF(OR(F759="Saturday",F759="Sunday"),SETTINGS!$B$11,IF(G759="Vacation",SETTINGS!$B$13,0)))</f>
        <v/>
      </c>
      <c r="I759" s="12" t="str">
        <f t="shared" si="35"/>
        <v/>
      </c>
      <c r="J759" s="8"/>
    </row>
    <row r="760" spans="1:10" x14ac:dyDescent="0.2">
      <c r="A760" s="7" t="str">
        <f t="shared" si="33"/>
        <v/>
      </c>
      <c r="B760" s="9"/>
      <c r="C760" s="8"/>
      <c r="D760" s="10" t="str">
        <f ca="1">IFERROR(_xludf.XLOOKUP(C760,STUDENTS!$A$5:$A$204,STUDENTS!$C$5:$C$204,""),"")</f>
        <v/>
      </c>
      <c r="E760" s="10" t="str">
        <f ca="1">IFERROR(_xludf.XLOOKUP(C760,STUDENTS!$A$5:$A$204,STUDENTS!$L$5:$L$204,""),"")</f>
        <v/>
      </c>
      <c r="F760" s="10" t="str">
        <f t="shared" si="34"/>
        <v/>
      </c>
      <c r="G760" s="8"/>
      <c r="H760" s="11" t="str">
        <f>IF(B760="","",IF(OR(F760="Saturday",F760="Sunday"),SETTINGS!$B$11,IF(G760="Vacation",SETTINGS!$B$13,0)))</f>
        <v/>
      </c>
      <c r="I760" s="12" t="str">
        <f t="shared" si="35"/>
        <v/>
      </c>
      <c r="J760" s="8"/>
    </row>
    <row r="761" spans="1:10" x14ac:dyDescent="0.2">
      <c r="A761" s="7" t="str">
        <f t="shared" si="33"/>
        <v/>
      </c>
      <c r="B761" s="9"/>
      <c r="C761" s="8"/>
      <c r="D761" s="10" t="str">
        <f ca="1">IFERROR(_xludf.XLOOKUP(C761,STUDENTS!$A$5:$A$204,STUDENTS!$C$5:$C$204,""),"")</f>
        <v/>
      </c>
      <c r="E761" s="10" t="str">
        <f ca="1">IFERROR(_xludf.XLOOKUP(C761,STUDENTS!$A$5:$A$204,STUDENTS!$L$5:$L$204,""),"")</f>
        <v/>
      </c>
      <c r="F761" s="10" t="str">
        <f t="shared" si="34"/>
        <v/>
      </c>
      <c r="G761" s="8"/>
      <c r="H761" s="11" t="str">
        <f>IF(B761="","",IF(OR(F761="Saturday",F761="Sunday"),SETTINGS!$B$11,IF(G761="Vacation",SETTINGS!$B$13,0)))</f>
        <v/>
      </c>
      <c r="I761" s="12" t="str">
        <f t="shared" si="35"/>
        <v/>
      </c>
      <c r="J761" s="8"/>
    </row>
    <row r="762" spans="1:10" x14ac:dyDescent="0.2">
      <c r="A762" s="7" t="str">
        <f t="shared" si="33"/>
        <v/>
      </c>
      <c r="B762" s="9"/>
      <c r="C762" s="8"/>
      <c r="D762" s="10" t="str">
        <f ca="1">IFERROR(_xludf.XLOOKUP(C762,STUDENTS!$A$5:$A$204,STUDENTS!$C$5:$C$204,""),"")</f>
        <v/>
      </c>
      <c r="E762" s="10" t="str">
        <f ca="1">IFERROR(_xludf.XLOOKUP(C762,STUDENTS!$A$5:$A$204,STUDENTS!$L$5:$L$204,""),"")</f>
        <v/>
      </c>
      <c r="F762" s="10" t="str">
        <f t="shared" si="34"/>
        <v/>
      </c>
      <c r="G762" s="8"/>
      <c r="H762" s="11" t="str">
        <f>IF(B762="","",IF(OR(F762="Saturday",F762="Sunday"),SETTINGS!$B$11,IF(G762="Vacation",SETTINGS!$B$13,0)))</f>
        <v/>
      </c>
      <c r="I762" s="12" t="str">
        <f t="shared" si="35"/>
        <v/>
      </c>
      <c r="J762" s="8"/>
    </row>
    <row r="763" spans="1:10" x14ac:dyDescent="0.2">
      <c r="A763" s="7" t="str">
        <f t="shared" si="33"/>
        <v/>
      </c>
      <c r="B763" s="9"/>
      <c r="C763" s="8"/>
      <c r="D763" s="10" t="str">
        <f ca="1">IFERROR(_xludf.XLOOKUP(C763,STUDENTS!$A$5:$A$204,STUDENTS!$C$5:$C$204,""),"")</f>
        <v/>
      </c>
      <c r="E763" s="10" t="str">
        <f ca="1">IFERROR(_xludf.XLOOKUP(C763,STUDENTS!$A$5:$A$204,STUDENTS!$L$5:$L$204,""),"")</f>
        <v/>
      </c>
      <c r="F763" s="10" t="str">
        <f t="shared" si="34"/>
        <v/>
      </c>
      <c r="G763" s="8"/>
      <c r="H763" s="11" t="str">
        <f>IF(B763="","",IF(OR(F763="Saturday",F763="Sunday"),SETTINGS!$B$11,IF(G763="Vacation",SETTINGS!$B$13,0)))</f>
        <v/>
      </c>
      <c r="I763" s="12" t="str">
        <f t="shared" si="35"/>
        <v/>
      </c>
      <c r="J763" s="8"/>
    </row>
    <row r="764" spans="1:10" x14ac:dyDescent="0.2">
      <c r="A764" s="7" t="str">
        <f t="shared" si="33"/>
        <v/>
      </c>
      <c r="B764" s="9"/>
      <c r="C764" s="8"/>
      <c r="D764" s="10" t="str">
        <f ca="1">IFERROR(_xludf.XLOOKUP(C764,STUDENTS!$A$5:$A$204,STUDENTS!$C$5:$C$204,""),"")</f>
        <v/>
      </c>
      <c r="E764" s="10" t="str">
        <f ca="1">IFERROR(_xludf.XLOOKUP(C764,STUDENTS!$A$5:$A$204,STUDENTS!$L$5:$L$204,""),"")</f>
        <v/>
      </c>
      <c r="F764" s="10" t="str">
        <f t="shared" si="34"/>
        <v/>
      </c>
      <c r="G764" s="8"/>
      <c r="H764" s="11" t="str">
        <f>IF(B764="","",IF(OR(F764="Saturday",F764="Sunday"),SETTINGS!$B$11,IF(G764="Vacation",SETTINGS!$B$13,0)))</f>
        <v/>
      </c>
      <c r="I764" s="12" t="str">
        <f t="shared" si="35"/>
        <v/>
      </c>
      <c r="J764" s="8"/>
    </row>
    <row r="765" spans="1:10" x14ac:dyDescent="0.2">
      <c r="A765" s="7" t="str">
        <f t="shared" si="33"/>
        <v/>
      </c>
      <c r="B765" s="9"/>
      <c r="C765" s="8"/>
      <c r="D765" s="10" t="str">
        <f ca="1">IFERROR(_xludf.XLOOKUP(C765,STUDENTS!$A$5:$A$204,STUDENTS!$C$5:$C$204,""),"")</f>
        <v/>
      </c>
      <c r="E765" s="10" t="str">
        <f ca="1">IFERROR(_xludf.XLOOKUP(C765,STUDENTS!$A$5:$A$204,STUDENTS!$L$5:$L$204,""),"")</f>
        <v/>
      </c>
      <c r="F765" s="10" t="str">
        <f t="shared" si="34"/>
        <v/>
      </c>
      <c r="G765" s="8"/>
      <c r="H765" s="11" t="str">
        <f>IF(B765="","",IF(OR(F765="Saturday",F765="Sunday"),SETTINGS!$B$11,IF(G765="Vacation",SETTINGS!$B$13,0)))</f>
        <v/>
      </c>
      <c r="I765" s="12" t="str">
        <f t="shared" si="35"/>
        <v/>
      </c>
      <c r="J765" s="8"/>
    </row>
    <row r="766" spans="1:10" x14ac:dyDescent="0.2">
      <c r="A766" s="7" t="str">
        <f t="shared" si="33"/>
        <v/>
      </c>
      <c r="B766" s="9"/>
      <c r="C766" s="8"/>
      <c r="D766" s="10" t="str">
        <f ca="1">IFERROR(_xludf.XLOOKUP(C766,STUDENTS!$A$5:$A$204,STUDENTS!$C$5:$C$204,""),"")</f>
        <v/>
      </c>
      <c r="E766" s="10" t="str">
        <f ca="1">IFERROR(_xludf.XLOOKUP(C766,STUDENTS!$A$5:$A$204,STUDENTS!$L$5:$L$204,""),"")</f>
        <v/>
      </c>
      <c r="F766" s="10" t="str">
        <f t="shared" si="34"/>
        <v/>
      </c>
      <c r="G766" s="8"/>
      <c r="H766" s="11" t="str">
        <f>IF(B766="","",IF(OR(F766="Saturday",F766="Sunday"),SETTINGS!$B$11,IF(G766="Vacation",SETTINGS!$B$13,0)))</f>
        <v/>
      </c>
      <c r="I766" s="12" t="str">
        <f t="shared" si="35"/>
        <v/>
      </c>
      <c r="J766" s="8"/>
    </row>
    <row r="767" spans="1:10" x14ac:dyDescent="0.2">
      <c r="A767" s="7" t="str">
        <f t="shared" si="33"/>
        <v/>
      </c>
      <c r="B767" s="9"/>
      <c r="C767" s="8"/>
      <c r="D767" s="10" t="str">
        <f ca="1">IFERROR(_xludf.XLOOKUP(C767,STUDENTS!$A$5:$A$204,STUDENTS!$C$5:$C$204,""),"")</f>
        <v/>
      </c>
      <c r="E767" s="10" t="str">
        <f ca="1">IFERROR(_xludf.XLOOKUP(C767,STUDENTS!$A$5:$A$204,STUDENTS!$L$5:$L$204,""),"")</f>
        <v/>
      </c>
      <c r="F767" s="10" t="str">
        <f t="shared" si="34"/>
        <v/>
      </c>
      <c r="G767" s="8"/>
      <c r="H767" s="11" t="str">
        <f>IF(B767="","",IF(OR(F767="Saturday",F767="Sunday"),SETTINGS!$B$11,IF(G767="Vacation",SETTINGS!$B$13,0)))</f>
        <v/>
      </c>
      <c r="I767" s="12" t="str">
        <f t="shared" si="35"/>
        <v/>
      </c>
      <c r="J767" s="8"/>
    </row>
    <row r="768" spans="1:10" x14ac:dyDescent="0.2">
      <c r="A768" s="7" t="str">
        <f t="shared" si="33"/>
        <v/>
      </c>
      <c r="B768" s="9"/>
      <c r="C768" s="8"/>
      <c r="D768" s="10" t="str">
        <f ca="1">IFERROR(_xludf.XLOOKUP(C768,STUDENTS!$A$5:$A$204,STUDENTS!$C$5:$C$204,""),"")</f>
        <v/>
      </c>
      <c r="E768" s="10" t="str">
        <f ca="1">IFERROR(_xludf.XLOOKUP(C768,STUDENTS!$A$5:$A$204,STUDENTS!$L$5:$L$204,""),"")</f>
        <v/>
      </c>
      <c r="F768" s="10" t="str">
        <f t="shared" si="34"/>
        <v/>
      </c>
      <c r="G768" s="8"/>
      <c r="H768" s="11" t="str">
        <f>IF(B768="","",IF(OR(F768="Saturday",F768="Sunday"),SETTINGS!$B$11,IF(G768="Vacation",SETTINGS!$B$13,0)))</f>
        <v/>
      </c>
      <c r="I768" s="12" t="str">
        <f t="shared" si="35"/>
        <v/>
      </c>
      <c r="J768" s="8"/>
    </row>
    <row r="769" spans="1:10" x14ac:dyDescent="0.2">
      <c r="A769" s="7" t="str">
        <f t="shared" si="33"/>
        <v/>
      </c>
      <c r="B769" s="9"/>
      <c r="C769" s="8"/>
      <c r="D769" s="10" t="str">
        <f ca="1">IFERROR(_xludf.XLOOKUP(C769,STUDENTS!$A$5:$A$204,STUDENTS!$C$5:$C$204,""),"")</f>
        <v/>
      </c>
      <c r="E769" s="10" t="str">
        <f ca="1">IFERROR(_xludf.XLOOKUP(C769,STUDENTS!$A$5:$A$204,STUDENTS!$L$5:$L$204,""),"")</f>
        <v/>
      </c>
      <c r="F769" s="10" t="str">
        <f t="shared" si="34"/>
        <v/>
      </c>
      <c r="G769" s="8"/>
      <c r="H769" s="11" t="str">
        <f>IF(B769="","",IF(OR(F769="Saturday",F769="Sunday"),SETTINGS!$B$11,IF(G769="Vacation",SETTINGS!$B$13,0)))</f>
        <v/>
      </c>
      <c r="I769" s="12" t="str">
        <f t="shared" si="35"/>
        <v/>
      </c>
      <c r="J769" s="8"/>
    </row>
    <row r="770" spans="1:10" x14ac:dyDescent="0.2">
      <c r="A770" s="7" t="str">
        <f t="shared" si="33"/>
        <v/>
      </c>
      <c r="B770" s="9"/>
      <c r="C770" s="8"/>
      <c r="D770" s="10" t="str">
        <f ca="1">IFERROR(_xludf.XLOOKUP(C770,STUDENTS!$A$5:$A$204,STUDENTS!$C$5:$C$204,""),"")</f>
        <v/>
      </c>
      <c r="E770" s="10" t="str">
        <f ca="1">IFERROR(_xludf.XLOOKUP(C770,STUDENTS!$A$5:$A$204,STUDENTS!$L$5:$L$204,""),"")</f>
        <v/>
      </c>
      <c r="F770" s="10" t="str">
        <f t="shared" si="34"/>
        <v/>
      </c>
      <c r="G770" s="8"/>
      <c r="H770" s="11" t="str">
        <f>IF(B770="","",IF(OR(F770="Saturday",F770="Sunday"),SETTINGS!$B$11,IF(G770="Vacation",SETTINGS!$B$13,0)))</f>
        <v/>
      </c>
      <c r="I770" s="12" t="str">
        <f t="shared" si="35"/>
        <v/>
      </c>
      <c r="J770" s="8"/>
    </row>
    <row r="771" spans="1:10" x14ac:dyDescent="0.2">
      <c r="A771" s="7" t="str">
        <f t="shared" si="33"/>
        <v/>
      </c>
      <c r="B771" s="9"/>
      <c r="C771" s="8"/>
      <c r="D771" s="10" t="str">
        <f ca="1">IFERROR(_xludf.XLOOKUP(C771,STUDENTS!$A$5:$A$204,STUDENTS!$C$5:$C$204,""),"")</f>
        <v/>
      </c>
      <c r="E771" s="10" t="str">
        <f ca="1">IFERROR(_xludf.XLOOKUP(C771,STUDENTS!$A$5:$A$204,STUDENTS!$L$5:$L$204,""),"")</f>
        <v/>
      </c>
      <c r="F771" s="10" t="str">
        <f t="shared" si="34"/>
        <v/>
      </c>
      <c r="G771" s="8"/>
      <c r="H771" s="11" t="str">
        <f>IF(B771="","",IF(OR(F771="Saturday",F771="Sunday"),SETTINGS!$B$11,IF(G771="Vacation",SETTINGS!$B$13,0)))</f>
        <v/>
      </c>
      <c r="I771" s="12" t="str">
        <f t="shared" si="35"/>
        <v/>
      </c>
      <c r="J771" s="8"/>
    </row>
    <row r="772" spans="1:10" x14ac:dyDescent="0.2">
      <c r="A772" s="7" t="str">
        <f t="shared" si="33"/>
        <v/>
      </c>
      <c r="B772" s="9"/>
      <c r="C772" s="8"/>
      <c r="D772" s="10" t="str">
        <f ca="1">IFERROR(_xludf.XLOOKUP(C772,STUDENTS!$A$5:$A$204,STUDENTS!$C$5:$C$204,""),"")</f>
        <v/>
      </c>
      <c r="E772" s="10" t="str">
        <f ca="1">IFERROR(_xludf.XLOOKUP(C772,STUDENTS!$A$5:$A$204,STUDENTS!$L$5:$L$204,""),"")</f>
        <v/>
      </c>
      <c r="F772" s="10" t="str">
        <f t="shared" si="34"/>
        <v/>
      </c>
      <c r="G772" s="8"/>
      <c r="H772" s="11" t="str">
        <f>IF(B772="","",IF(OR(F772="Saturday",F772="Sunday"),SETTINGS!$B$11,IF(G772="Vacation",SETTINGS!$B$13,0)))</f>
        <v/>
      </c>
      <c r="I772" s="12" t="str">
        <f t="shared" si="35"/>
        <v/>
      </c>
      <c r="J772" s="8"/>
    </row>
    <row r="773" spans="1:10" x14ac:dyDescent="0.2">
      <c r="A773" s="7" t="str">
        <f t="shared" ref="A773:A836" si="36">IF(C773="","","F-"&amp;TEXT(ROW()-4,"00000"))</f>
        <v/>
      </c>
      <c r="B773" s="9"/>
      <c r="C773" s="8"/>
      <c r="D773" s="10" t="str">
        <f ca="1">IFERROR(_xludf.XLOOKUP(C773,STUDENTS!$A$5:$A$204,STUDENTS!$C$5:$C$204,""),"")</f>
        <v/>
      </c>
      <c r="E773" s="10" t="str">
        <f ca="1">IFERROR(_xludf.XLOOKUP(C773,STUDENTS!$A$5:$A$204,STUDENTS!$L$5:$L$204,""),"")</f>
        <v/>
      </c>
      <c r="F773" s="10" t="str">
        <f t="shared" ref="F773:F836" si="37">IF(B773="","",TEXT(B773,"dddd"))</f>
        <v/>
      </c>
      <c r="G773" s="8"/>
      <c r="H773" s="11" t="str">
        <f>IF(B773="","",IF(OR(F773="Saturday",F773="Sunday"),SETTINGS!$B$11,IF(G773="Vacation",SETTINGS!$B$13,0)))</f>
        <v/>
      </c>
      <c r="I773" s="12" t="str">
        <f t="shared" ref="I773:I836" si="38">IF(H773="","",H773)</f>
        <v/>
      </c>
      <c r="J773" s="8"/>
    </row>
    <row r="774" spans="1:10" x14ac:dyDescent="0.2">
      <c r="A774" s="7" t="str">
        <f t="shared" si="36"/>
        <v/>
      </c>
      <c r="B774" s="9"/>
      <c r="C774" s="8"/>
      <c r="D774" s="10" t="str">
        <f ca="1">IFERROR(_xludf.XLOOKUP(C774,STUDENTS!$A$5:$A$204,STUDENTS!$C$5:$C$204,""),"")</f>
        <v/>
      </c>
      <c r="E774" s="10" t="str">
        <f ca="1">IFERROR(_xludf.XLOOKUP(C774,STUDENTS!$A$5:$A$204,STUDENTS!$L$5:$L$204,""),"")</f>
        <v/>
      </c>
      <c r="F774" s="10" t="str">
        <f t="shared" si="37"/>
        <v/>
      </c>
      <c r="G774" s="8"/>
      <c r="H774" s="11" t="str">
        <f>IF(B774="","",IF(OR(F774="Saturday",F774="Sunday"),SETTINGS!$B$11,IF(G774="Vacation",SETTINGS!$B$13,0)))</f>
        <v/>
      </c>
      <c r="I774" s="12" t="str">
        <f t="shared" si="38"/>
        <v/>
      </c>
      <c r="J774" s="8"/>
    </row>
    <row r="775" spans="1:10" x14ac:dyDescent="0.2">
      <c r="A775" s="7" t="str">
        <f t="shared" si="36"/>
        <v/>
      </c>
      <c r="B775" s="9"/>
      <c r="C775" s="8"/>
      <c r="D775" s="10" t="str">
        <f ca="1">IFERROR(_xludf.XLOOKUP(C775,STUDENTS!$A$5:$A$204,STUDENTS!$C$5:$C$204,""),"")</f>
        <v/>
      </c>
      <c r="E775" s="10" t="str">
        <f ca="1">IFERROR(_xludf.XLOOKUP(C775,STUDENTS!$A$5:$A$204,STUDENTS!$L$5:$L$204,""),"")</f>
        <v/>
      </c>
      <c r="F775" s="10" t="str">
        <f t="shared" si="37"/>
        <v/>
      </c>
      <c r="G775" s="8"/>
      <c r="H775" s="11" t="str">
        <f>IF(B775="","",IF(OR(F775="Saturday",F775="Sunday"),SETTINGS!$B$11,IF(G775="Vacation",SETTINGS!$B$13,0)))</f>
        <v/>
      </c>
      <c r="I775" s="12" t="str">
        <f t="shared" si="38"/>
        <v/>
      </c>
      <c r="J775" s="8"/>
    </row>
    <row r="776" spans="1:10" x14ac:dyDescent="0.2">
      <c r="A776" s="7" t="str">
        <f t="shared" si="36"/>
        <v/>
      </c>
      <c r="B776" s="9"/>
      <c r="C776" s="8"/>
      <c r="D776" s="10" t="str">
        <f ca="1">IFERROR(_xludf.XLOOKUP(C776,STUDENTS!$A$5:$A$204,STUDENTS!$C$5:$C$204,""),"")</f>
        <v/>
      </c>
      <c r="E776" s="10" t="str">
        <f ca="1">IFERROR(_xludf.XLOOKUP(C776,STUDENTS!$A$5:$A$204,STUDENTS!$L$5:$L$204,""),"")</f>
        <v/>
      </c>
      <c r="F776" s="10" t="str">
        <f t="shared" si="37"/>
        <v/>
      </c>
      <c r="G776" s="8"/>
      <c r="H776" s="11" t="str">
        <f>IF(B776="","",IF(OR(F776="Saturday",F776="Sunday"),SETTINGS!$B$11,IF(G776="Vacation",SETTINGS!$B$13,0)))</f>
        <v/>
      </c>
      <c r="I776" s="12" t="str">
        <f t="shared" si="38"/>
        <v/>
      </c>
      <c r="J776" s="8"/>
    </row>
    <row r="777" spans="1:10" x14ac:dyDescent="0.2">
      <c r="A777" s="7" t="str">
        <f t="shared" si="36"/>
        <v/>
      </c>
      <c r="B777" s="9"/>
      <c r="C777" s="8"/>
      <c r="D777" s="10" t="str">
        <f ca="1">IFERROR(_xludf.XLOOKUP(C777,STUDENTS!$A$5:$A$204,STUDENTS!$C$5:$C$204,""),"")</f>
        <v/>
      </c>
      <c r="E777" s="10" t="str">
        <f ca="1">IFERROR(_xludf.XLOOKUP(C777,STUDENTS!$A$5:$A$204,STUDENTS!$L$5:$L$204,""),"")</f>
        <v/>
      </c>
      <c r="F777" s="10" t="str">
        <f t="shared" si="37"/>
        <v/>
      </c>
      <c r="G777" s="8"/>
      <c r="H777" s="11" t="str">
        <f>IF(B777="","",IF(OR(F777="Saturday",F777="Sunday"),SETTINGS!$B$11,IF(G777="Vacation",SETTINGS!$B$13,0)))</f>
        <v/>
      </c>
      <c r="I777" s="12" t="str">
        <f t="shared" si="38"/>
        <v/>
      </c>
      <c r="J777" s="8"/>
    </row>
    <row r="778" spans="1:10" x14ac:dyDescent="0.2">
      <c r="A778" s="7" t="str">
        <f t="shared" si="36"/>
        <v/>
      </c>
      <c r="B778" s="9"/>
      <c r="C778" s="8"/>
      <c r="D778" s="10" t="str">
        <f ca="1">IFERROR(_xludf.XLOOKUP(C778,STUDENTS!$A$5:$A$204,STUDENTS!$C$5:$C$204,""),"")</f>
        <v/>
      </c>
      <c r="E778" s="10" t="str">
        <f ca="1">IFERROR(_xludf.XLOOKUP(C778,STUDENTS!$A$5:$A$204,STUDENTS!$L$5:$L$204,""),"")</f>
        <v/>
      </c>
      <c r="F778" s="10" t="str">
        <f t="shared" si="37"/>
        <v/>
      </c>
      <c r="G778" s="8"/>
      <c r="H778" s="11" t="str">
        <f>IF(B778="","",IF(OR(F778="Saturday",F778="Sunday"),SETTINGS!$B$11,IF(G778="Vacation",SETTINGS!$B$13,0)))</f>
        <v/>
      </c>
      <c r="I778" s="12" t="str">
        <f t="shared" si="38"/>
        <v/>
      </c>
      <c r="J778" s="8"/>
    </row>
    <row r="779" spans="1:10" x14ac:dyDescent="0.2">
      <c r="A779" s="7" t="str">
        <f t="shared" si="36"/>
        <v/>
      </c>
      <c r="B779" s="9"/>
      <c r="C779" s="8"/>
      <c r="D779" s="10" t="str">
        <f ca="1">IFERROR(_xludf.XLOOKUP(C779,STUDENTS!$A$5:$A$204,STUDENTS!$C$5:$C$204,""),"")</f>
        <v/>
      </c>
      <c r="E779" s="10" t="str">
        <f ca="1">IFERROR(_xludf.XLOOKUP(C779,STUDENTS!$A$5:$A$204,STUDENTS!$L$5:$L$204,""),"")</f>
        <v/>
      </c>
      <c r="F779" s="10" t="str">
        <f t="shared" si="37"/>
        <v/>
      </c>
      <c r="G779" s="8"/>
      <c r="H779" s="11" t="str">
        <f>IF(B779="","",IF(OR(F779="Saturday",F779="Sunday"),SETTINGS!$B$11,IF(G779="Vacation",SETTINGS!$B$13,0)))</f>
        <v/>
      </c>
      <c r="I779" s="12" t="str">
        <f t="shared" si="38"/>
        <v/>
      </c>
      <c r="J779" s="8"/>
    </row>
    <row r="780" spans="1:10" x14ac:dyDescent="0.2">
      <c r="A780" s="7" t="str">
        <f t="shared" si="36"/>
        <v/>
      </c>
      <c r="B780" s="9"/>
      <c r="C780" s="8"/>
      <c r="D780" s="10" t="str">
        <f ca="1">IFERROR(_xludf.XLOOKUP(C780,STUDENTS!$A$5:$A$204,STUDENTS!$C$5:$C$204,""),"")</f>
        <v/>
      </c>
      <c r="E780" s="10" t="str">
        <f ca="1">IFERROR(_xludf.XLOOKUP(C780,STUDENTS!$A$5:$A$204,STUDENTS!$L$5:$L$204,""),"")</f>
        <v/>
      </c>
      <c r="F780" s="10" t="str">
        <f t="shared" si="37"/>
        <v/>
      </c>
      <c r="G780" s="8"/>
      <c r="H780" s="11" t="str">
        <f>IF(B780="","",IF(OR(F780="Saturday",F780="Sunday"),SETTINGS!$B$11,IF(G780="Vacation",SETTINGS!$B$13,0)))</f>
        <v/>
      </c>
      <c r="I780" s="12" t="str">
        <f t="shared" si="38"/>
        <v/>
      </c>
      <c r="J780" s="8"/>
    </row>
    <row r="781" spans="1:10" x14ac:dyDescent="0.2">
      <c r="A781" s="7" t="str">
        <f t="shared" si="36"/>
        <v/>
      </c>
      <c r="B781" s="9"/>
      <c r="C781" s="8"/>
      <c r="D781" s="10" t="str">
        <f ca="1">IFERROR(_xludf.XLOOKUP(C781,STUDENTS!$A$5:$A$204,STUDENTS!$C$5:$C$204,""),"")</f>
        <v/>
      </c>
      <c r="E781" s="10" t="str">
        <f ca="1">IFERROR(_xludf.XLOOKUP(C781,STUDENTS!$A$5:$A$204,STUDENTS!$L$5:$L$204,""),"")</f>
        <v/>
      </c>
      <c r="F781" s="10" t="str">
        <f t="shared" si="37"/>
        <v/>
      </c>
      <c r="G781" s="8"/>
      <c r="H781" s="11" t="str">
        <f>IF(B781="","",IF(OR(F781="Saturday",F781="Sunday"),SETTINGS!$B$11,IF(G781="Vacation",SETTINGS!$B$13,0)))</f>
        <v/>
      </c>
      <c r="I781" s="12" t="str">
        <f t="shared" si="38"/>
        <v/>
      </c>
      <c r="J781" s="8"/>
    </row>
    <row r="782" spans="1:10" x14ac:dyDescent="0.2">
      <c r="A782" s="7" t="str">
        <f t="shared" si="36"/>
        <v/>
      </c>
      <c r="B782" s="9"/>
      <c r="C782" s="8"/>
      <c r="D782" s="10" t="str">
        <f ca="1">IFERROR(_xludf.XLOOKUP(C782,STUDENTS!$A$5:$A$204,STUDENTS!$C$5:$C$204,""),"")</f>
        <v/>
      </c>
      <c r="E782" s="10" t="str">
        <f ca="1">IFERROR(_xludf.XLOOKUP(C782,STUDENTS!$A$5:$A$204,STUDENTS!$L$5:$L$204,""),"")</f>
        <v/>
      </c>
      <c r="F782" s="10" t="str">
        <f t="shared" si="37"/>
        <v/>
      </c>
      <c r="G782" s="8"/>
      <c r="H782" s="11" t="str">
        <f>IF(B782="","",IF(OR(F782="Saturday",F782="Sunday"),SETTINGS!$B$11,IF(G782="Vacation",SETTINGS!$B$13,0)))</f>
        <v/>
      </c>
      <c r="I782" s="12" t="str">
        <f t="shared" si="38"/>
        <v/>
      </c>
      <c r="J782" s="8"/>
    </row>
    <row r="783" spans="1:10" x14ac:dyDescent="0.2">
      <c r="A783" s="7" t="str">
        <f t="shared" si="36"/>
        <v/>
      </c>
      <c r="B783" s="9"/>
      <c r="C783" s="8"/>
      <c r="D783" s="10" t="str">
        <f ca="1">IFERROR(_xludf.XLOOKUP(C783,STUDENTS!$A$5:$A$204,STUDENTS!$C$5:$C$204,""),"")</f>
        <v/>
      </c>
      <c r="E783" s="10" t="str">
        <f ca="1">IFERROR(_xludf.XLOOKUP(C783,STUDENTS!$A$5:$A$204,STUDENTS!$L$5:$L$204,""),"")</f>
        <v/>
      </c>
      <c r="F783" s="10" t="str">
        <f t="shared" si="37"/>
        <v/>
      </c>
      <c r="G783" s="8"/>
      <c r="H783" s="11" t="str">
        <f>IF(B783="","",IF(OR(F783="Saturday",F783="Sunday"),SETTINGS!$B$11,IF(G783="Vacation",SETTINGS!$B$13,0)))</f>
        <v/>
      </c>
      <c r="I783" s="12" t="str">
        <f t="shared" si="38"/>
        <v/>
      </c>
      <c r="J783" s="8"/>
    </row>
    <row r="784" spans="1:10" x14ac:dyDescent="0.2">
      <c r="A784" s="7" t="str">
        <f t="shared" si="36"/>
        <v/>
      </c>
      <c r="B784" s="9"/>
      <c r="C784" s="8"/>
      <c r="D784" s="10" t="str">
        <f ca="1">IFERROR(_xludf.XLOOKUP(C784,STUDENTS!$A$5:$A$204,STUDENTS!$C$5:$C$204,""),"")</f>
        <v/>
      </c>
      <c r="E784" s="10" t="str">
        <f ca="1">IFERROR(_xludf.XLOOKUP(C784,STUDENTS!$A$5:$A$204,STUDENTS!$L$5:$L$204,""),"")</f>
        <v/>
      </c>
      <c r="F784" s="10" t="str">
        <f t="shared" si="37"/>
        <v/>
      </c>
      <c r="G784" s="8"/>
      <c r="H784" s="11" t="str">
        <f>IF(B784="","",IF(OR(F784="Saturday",F784="Sunday"),SETTINGS!$B$11,IF(G784="Vacation",SETTINGS!$B$13,0)))</f>
        <v/>
      </c>
      <c r="I784" s="12" t="str">
        <f t="shared" si="38"/>
        <v/>
      </c>
      <c r="J784" s="8"/>
    </row>
    <row r="785" spans="1:10" x14ac:dyDescent="0.2">
      <c r="A785" s="7" t="str">
        <f t="shared" si="36"/>
        <v/>
      </c>
      <c r="B785" s="9"/>
      <c r="C785" s="8"/>
      <c r="D785" s="10" t="str">
        <f ca="1">IFERROR(_xludf.XLOOKUP(C785,STUDENTS!$A$5:$A$204,STUDENTS!$C$5:$C$204,""),"")</f>
        <v/>
      </c>
      <c r="E785" s="10" t="str">
        <f ca="1">IFERROR(_xludf.XLOOKUP(C785,STUDENTS!$A$5:$A$204,STUDENTS!$L$5:$L$204,""),"")</f>
        <v/>
      </c>
      <c r="F785" s="10" t="str">
        <f t="shared" si="37"/>
        <v/>
      </c>
      <c r="G785" s="8"/>
      <c r="H785" s="11" t="str">
        <f>IF(B785="","",IF(OR(F785="Saturday",F785="Sunday"),SETTINGS!$B$11,IF(G785="Vacation",SETTINGS!$B$13,0)))</f>
        <v/>
      </c>
      <c r="I785" s="12" t="str">
        <f t="shared" si="38"/>
        <v/>
      </c>
      <c r="J785" s="8"/>
    </row>
    <row r="786" spans="1:10" x14ac:dyDescent="0.2">
      <c r="A786" s="7" t="str">
        <f t="shared" si="36"/>
        <v/>
      </c>
      <c r="B786" s="9"/>
      <c r="C786" s="8"/>
      <c r="D786" s="10" t="str">
        <f ca="1">IFERROR(_xludf.XLOOKUP(C786,STUDENTS!$A$5:$A$204,STUDENTS!$C$5:$C$204,""),"")</f>
        <v/>
      </c>
      <c r="E786" s="10" t="str">
        <f ca="1">IFERROR(_xludf.XLOOKUP(C786,STUDENTS!$A$5:$A$204,STUDENTS!$L$5:$L$204,""),"")</f>
        <v/>
      </c>
      <c r="F786" s="10" t="str">
        <f t="shared" si="37"/>
        <v/>
      </c>
      <c r="G786" s="8"/>
      <c r="H786" s="11" t="str">
        <f>IF(B786="","",IF(OR(F786="Saturday",F786="Sunday"),SETTINGS!$B$11,IF(G786="Vacation",SETTINGS!$B$13,0)))</f>
        <v/>
      </c>
      <c r="I786" s="12" t="str">
        <f t="shared" si="38"/>
        <v/>
      </c>
      <c r="J786" s="8"/>
    </row>
    <row r="787" spans="1:10" x14ac:dyDescent="0.2">
      <c r="A787" s="7" t="str">
        <f t="shared" si="36"/>
        <v/>
      </c>
      <c r="B787" s="9"/>
      <c r="C787" s="8"/>
      <c r="D787" s="10" t="str">
        <f ca="1">IFERROR(_xludf.XLOOKUP(C787,STUDENTS!$A$5:$A$204,STUDENTS!$C$5:$C$204,""),"")</f>
        <v/>
      </c>
      <c r="E787" s="10" t="str">
        <f ca="1">IFERROR(_xludf.XLOOKUP(C787,STUDENTS!$A$5:$A$204,STUDENTS!$L$5:$L$204,""),"")</f>
        <v/>
      </c>
      <c r="F787" s="10" t="str">
        <f t="shared" si="37"/>
        <v/>
      </c>
      <c r="G787" s="8"/>
      <c r="H787" s="11" t="str">
        <f>IF(B787="","",IF(OR(F787="Saturday",F787="Sunday"),SETTINGS!$B$11,IF(G787="Vacation",SETTINGS!$B$13,0)))</f>
        <v/>
      </c>
      <c r="I787" s="12" t="str">
        <f t="shared" si="38"/>
        <v/>
      </c>
      <c r="J787" s="8"/>
    </row>
    <row r="788" spans="1:10" x14ac:dyDescent="0.2">
      <c r="A788" s="7" t="str">
        <f t="shared" si="36"/>
        <v/>
      </c>
      <c r="B788" s="9"/>
      <c r="C788" s="8"/>
      <c r="D788" s="10" t="str">
        <f ca="1">IFERROR(_xludf.XLOOKUP(C788,STUDENTS!$A$5:$A$204,STUDENTS!$C$5:$C$204,""),"")</f>
        <v/>
      </c>
      <c r="E788" s="10" t="str">
        <f ca="1">IFERROR(_xludf.XLOOKUP(C788,STUDENTS!$A$5:$A$204,STUDENTS!$L$5:$L$204,""),"")</f>
        <v/>
      </c>
      <c r="F788" s="10" t="str">
        <f t="shared" si="37"/>
        <v/>
      </c>
      <c r="G788" s="8"/>
      <c r="H788" s="11" t="str">
        <f>IF(B788="","",IF(OR(F788="Saturday",F788="Sunday"),SETTINGS!$B$11,IF(G788="Vacation",SETTINGS!$B$13,0)))</f>
        <v/>
      </c>
      <c r="I788" s="12" t="str">
        <f t="shared" si="38"/>
        <v/>
      </c>
      <c r="J788" s="8"/>
    </row>
    <row r="789" spans="1:10" x14ac:dyDescent="0.2">
      <c r="A789" s="7" t="str">
        <f t="shared" si="36"/>
        <v/>
      </c>
      <c r="B789" s="9"/>
      <c r="C789" s="8"/>
      <c r="D789" s="10" t="str">
        <f ca="1">IFERROR(_xludf.XLOOKUP(C789,STUDENTS!$A$5:$A$204,STUDENTS!$C$5:$C$204,""),"")</f>
        <v/>
      </c>
      <c r="E789" s="10" t="str">
        <f ca="1">IFERROR(_xludf.XLOOKUP(C789,STUDENTS!$A$5:$A$204,STUDENTS!$L$5:$L$204,""),"")</f>
        <v/>
      </c>
      <c r="F789" s="10" t="str">
        <f t="shared" si="37"/>
        <v/>
      </c>
      <c r="G789" s="8"/>
      <c r="H789" s="11" t="str">
        <f>IF(B789="","",IF(OR(F789="Saturday",F789="Sunday"),SETTINGS!$B$11,IF(G789="Vacation",SETTINGS!$B$13,0)))</f>
        <v/>
      </c>
      <c r="I789" s="12" t="str">
        <f t="shared" si="38"/>
        <v/>
      </c>
      <c r="J789" s="8"/>
    </row>
    <row r="790" spans="1:10" x14ac:dyDescent="0.2">
      <c r="A790" s="7" t="str">
        <f t="shared" si="36"/>
        <v/>
      </c>
      <c r="B790" s="9"/>
      <c r="C790" s="8"/>
      <c r="D790" s="10" t="str">
        <f ca="1">IFERROR(_xludf.XLOOKUP(C790,STUDENTS!$A$5:$A$204,STUDENTS!$C$5:$C$204,""),"")</f>
        <v/>
      </c>
      <c r="E790" s="10" t="str">
        <f ca="1">IFERROR(_xludf.XLOOKUP(C790,STUDENTS!$A$5:$A$204,STUDENTS!$L$5:$L$204,""),"")</f>
        <v/>
      </c>
      <c r="F790" s="10" t="str">
        <f t="shared" si="37"/>
        <v/>
      </c>
      <c r="G790" s="8"/>
      <c r="H790" s="11" t="str">
        <f>IF(B790="","",IF(OR(F790="Saturday",F790="Sunday"),SETTINGS!$B$11,IF(G790="Vacation",SETTINGS!$B$13,0)))</f>
        <v/>
      </c>
      <c r="I790" s="12" t="str">
        <f t="shared" si="38"/>
        <v/>
      </c>
      <c r="J790" s="8"/>
    </row>
    <row r="791" spans="1:10" x14ac:dyDescent="0.2">
      <c r="A791" s="7" t="str">
        <f t="shared" si="36"/>
        <v/>
      </c>
      <c r="B791" s="9"/>
      <c r="C791" s="8"/>
      <c r="D791" s="10" t="str">
        <f ca="1">IFERROR(_xludf.XLOOKUP(C791,STUDENTS!$A$5:$A$204,STUDENTS!$C$5:$C$204,""),"")</f>
        <v/>
      </c>
      <c r="E791" s="10" t="str">
        <f ca="1">IFERROR(_xludf.XLOOKUP(C791,STUDENTS!$A$5:$A$204,STUDENTS!$L$5:$L$204,""),"")</f>
        <v/>
      </c>
      <c r="F791" s="10" t="str">
        <f t="shared" si="37"/>
        <v/>
      </c>
      <c r="G791" s="8"/>
      <c r="H791" s="11" t="str">
        <f>IF(B791="","",IF(OR(F791="Saturday",F791="Sunday"),SETTINGS!$B$11,IF(G791="Vacation",SETTINGS!$B$13,0)))</f>
        <v/>
      </c>
      <c r="I791" s="12" t="str">
        <f t="shared" si="38"/>
        <v/>
      </c>
      <c r="J791" s="8"/>
    </row>
    <row r="792" spans="1:10" x14ac:dyDescent="0.2">
      <c r="A792" s="7" t="str">
        <f t="shared" si="36"/>
        <v/>
      </c>
      <c r="B792" s="9"/>
      <c r="C792" s="8"/>
      <c r="D792" s="10" t="str">
        <f ca="1">IFERROR(_xludf.XLOOKUP(C792,STUDENTS!$A$5:$A$204,STUDENTS!$C$5:$C$204,""),"")</f>
        <v/>
      </c>
      <c r="E792" s="10" t="str">
        <f ca="1">IFERROR(_xludf.XLOOKUP(C792,STUDENTS!$A$5:$A$204,STUDENTS!$L$5:$L$204,""),"")</f>
        <v/>
      </c>
      <c r="F792" s="10" t="str">
        <f t="shared" si="37"/>
        <v/>
      </c>
      <c r="G792" s="8"/>
      <c r="H792" s="11" t="str">
        <f>IF(B792="","",IF(OR(F792="Saturday",F792="Sunday"),SETTINGS!$B$11,IF(G792="Vacation",SETTINGS!$B$13,0)))</f>
        <v/>
      </c>
      <c r="I792" s="12" t="str">
        <f t="shared" si="38"/>
        <v/>
      </c>
      <c r="J792" s="8"/>
    </row>
    <row r="793" spans="1:10" x14ac:dyDescent="0.2">
      <c r="A793" s="7" t="str">
        <f t="shared" si="36"/>
        <v/>
      </c>
      <c r="B793" s="9"/>
      <c r="C793" s="8"/>
      <c r="D793" s="10" t="str">
        <f ca="1">IFERROR(_xludf.XLOOKUP(C793,STUDENTS!$A$5:$A$204,STUDENTS!$C$5:$C$204,""),"")</f>
        <v/>
      </c>
      <c r="E793" s="10" t="str">
        <f ca="1">IFERROR(_xludf.XLOOKUP(C793,STUDENTS!$A$5:$A$204,STUDENTS!$L$5:$L$204,""),"")</f>
        <v/>
      </c>
      <c r="F793" s="10" t="str">
        <f t="shared" si="37"/>
        <v/>
      </c>
      <c r="G793" s="8"/>
      <c r="H793" s="11" t="str">
        <f>IF(B793="","",IF(OR(F793="Saturday",F793="Sunday"),SETTINGS!$B$11,IF(G793="Vacation",SETTINGS!$B$13,0)))</f>
        <v/>
      </c>
      <c r="I793" s="12" t="str">
        <f t="shared" si="38"/>
        <v/>
      </c>
      <c r="J793" s="8"/>
    </row>
    <row r="794" spans="1:10" x14ac:dyDescent="0.2">
      <c r="A794" s="7" t="str">
        <f t="shared" si="36"/>
        <v/>
      </c>
      <c r="B794" s="9"/>
      <c r="C794" s="8"/>
      <c r="D794" s="10" t="str">
        <f ca="1">IFERROR(_xludf.XLOOKUP(C794,STUDENTS!$A$5:$A$204,STUDENTS!$C$5:$C$204,""),"")</f>
        <v/>
      </c>
      <c r="E794" s="10" t="str">
        <f ca="1">IFERROR(_xludf.XLOOKUP(C794,STUDENTS!$A$5:$A$204,STUDENTS!$L$5:$L$204,""),"")</f>
        <v/>
      </c>
      <c r="F794" s="10" t="str">
        <f t="shared" si="37"/>
        <v/>
      </c>
      <c r="G794" s="8"/>
      <c r="H794" s="11" t="str">
        <f>IF(B794="","",IF(OR(F794="Saturday",F794="Sunday"),SETTINGS!$B$11,IF(G794="Vacation",SETTINGS!$B$13,0)))</f>
        <v/>
      </c>
      <c r="I794" s="12" t="str">
        <f t="shared" si="38"/>
        <v/>
      </c>
      <c r="J794" s="8"/>
    </row>
    <row r="795" spans="1:10" x14ac:dyDescent="0.2">
      <c r="A795" s="7" t="str">
        <f t="shared" si="36"/>
        <v/>
      </c>
      <c r="B795" s="9"/>
      <c r="C795" s="8"/>
      <c r="D795" s="10" t="str">
        <f ca="1">IFERROR(_xludf.XLOOKUP(C795,STUDENTS!$A$5:$A$204,STUDENTS!$C$5:$C$204,""),"")</f>
        <v/>
      </c>
      <c r="E795" s="10" t="str">
        <f ca="1">IFERROR(_xludf.XLOOKUP(C795,STUDENTS!$A$5:$A$204,STUDENTS!$L$5:$L$204,""),"")</f>
        <v/>
      </c>
      <c r="F795" s="10" t="str">
        <f t="shared" si="37"/>
        <v/>
      </c>
      <c r="G795" s="8"/>
      <c r="H795" s="11" t="str">
        <f>IF(B795="","",IF(OR(F795="Saturday",F795="Sunday"),SETTINGS!$B$11,IF(G795="Vacation",SETTINGS!$B$13,0)))</f>
        <v/>
      </c>
      <c r="I795" s="12" t="str">
        <f t="shared" si="38"/>
        <v/>
      </c>
      <c r="J795" s="8"/>
    </row>
    <row r="796" spans="1:10" x14ac:dyDescent="0.2">
      <c r="A796" s="7" t="str">
        <f t="shared" si="36"/>
        <v/>
      </c>
      <c r="B796" s="9"/>
      <c r="C796" s="8"/>
      <c r="D796" s="10" t="str">
        <f ca="1">IFERROR(_xludf.XLOOKUP(C796,STUDENTS!$A$5:$A$204,STUDENTS!$C$5:$C$204,""),"")</f>
        <v/>
      </c>
      <c r="E796" s="10" t="str">
        <f ca="1">IFERROR(_xludf.XLOOKUP(C796,STUDENTS!$A$5:$A$204,STUDENTS!$L$5:$L$204,""),"")</f>
        <v/>
      </c>
      <c r="F796" s="10" t="str">
        <f t="shared" si="37"/>
        <v/>
      </c>
      <c r="G796" s="8"/>
      <c r="H796" s="11" t="str">
        <f>IF(B796="","",IF(OR(F796="Saturday",F796="Sunday"),SETTINGS!$B$11,IF(G796="Vacation",SETTINGS!$B$13,0)))</f>
        <v/>
      </c>
      <c r="I796" s="12" t="str">
        <f t="shared" si="38"/>
        <v/>
      </c>
      <c r="J796" s="8"/>
    </row>
    <row r="797" spans="1:10" x14ac:dyDescent="0.2">
      <c r="A797" s="7" t="str">
        <f t="shared" si="36"/>
        <v/>
      </c>
      <c r="B797" s="9"/>
      <c r="C797" s="8"/>
      <c r="D797" s="10" t="str">
        <f ca="1">IFERROR(_xludf.XLOOKUP(C797,STUDENTS!$A$5:$A$204,STUDENTS!$C$5:$C$204,""),"")</f>
        <v/>
      </c>
      <c r="E797" s="10" t="str">
        <f ca="1">IFERROR(_xludf.XLOOKUP(C797,STUDENTS!$A$5:$A$204,STUDENTS!$L$5:$L$204,""),"")</f>
        <v/>
      </c>
      <c r="F797" s="10" t="str">
        <f t="shared" si="37"/>
        <v/>
      </c>
      <c r="G797" s="8"/>
      <c r="H797" s="11" t="str">
        <f>IF(B797="","",IF(OR(F797="Saturday",F797="Sunday"),SETTINGS!$B$11,IF(G797="Vacation",SETTINGS!$B$13,0)))</f>
        <v/>
      </c>
      <c r="I797" s="12" t="str">
        <f t="shared" si="38"/>
        <v/>
      </c>
      <c r="J797" s="8"/>
    </row>
    <row r="798" spans="1:10" x14ac:dyDescent="0.2">
      <c r="A798" s="7" t="str">
        <f t="shared" si="36"/>
        <v/>
      </c>
      <c r="B798" s="9"/>
      <c r="C798" s="8"/>
      <c r="D798" s="10" t="str">
        <f ca="1">IFERROR(_xludf.XLOOKUP(C798,STUDENTS!$A$5:$A$204,STUDENTS!$C$5:$C$204,""),"")</f>
        <v/>
      </c>
      <c r="E798" s="10" t="str">
        <f ca="1">IFERROR(_xludf.XLOOKUP(C798,STUDENTS!$A$5:$A$204,STUDENTS!$L$5:$L$204,""),"")</f>
        <v/>
      </c>
      <c r="F798" s="10" t="str">
        <f t="shared" si="37"/>
        <v/>
      </c>
      <c r="G798" s="8"/>
      <c r="H798" s="11" t="str">
        <f>IF(B798="","",IF(OR(F798="Saturday",F798="Sunday"),SETTINGS!$B$11,IF(G798="Vacation",SETTINGS!$B$13,0)))</f>
        <v/>
      </c>
      <c r="I798" s="12" t="str">
        <f t="shared" si="38"/>
        <v/>
      </c>
      <c r="J798" s="8"/>
    </row>
    <row r="799" spans="1:10" x14ac:dyDescent="0.2">
      <c r="A799" s="7" t="str">
        <f t="shared" si="36"/>
        <v/>
      </c>
      <c r="B799" s="9"/>
      <c r="C799" s="8"/>
      <c r="D799" s="10" t="str">
        <f ca="1">IFERROR(_xludf.XLOOKUP(C799,STUDENTS!$A$5:$A$204,STUDENTS!$C$5:$C$204,""),"")</f>
        <v/>
      </c>
      <c r="E799" s="10" t="str">
        <f ca="1">IFERROR(_xludf.XLOOKUP(C799,STUDENTS!$A$5:$A$204,STUDENTS!$L$5:$L$204,""),"")</f>
        <v/>
      </c>
      <c r="F799" s="10" t="str">
        <f t="shared" si="37"/>
        <v/>
      </c>
      <c r="G799" s="8"/>
      <c r="H799" s="11" t="str">
        <f>IF(B799="","",IF(OR(F799="Saturday",F799="Sunday"),SETTINGS!$B$11,IF(G799="Vacation",SETTINGS!$B$13,0)))</f>
        <v/>
      </c>
      <c r="I799" s="12" t="str">
        <f t="shared" si="38"/>
        <v/>
      </c>
      <c r="J799" s="8"/>
    </row>
    <row r="800" spans="1:10" x14ac:dyDescent="0.2">
      <c r="A800" s="7" t="str">
        <f t="shared" si="36"/>
        <v/>
      </c>
      <c r="B800" s="9"/>
      <c r="C800" s="8"/>
      <c r="D800" s="10" t="str">
        <f ca="1">IFERROR(_xludf.XLOOKUP(C800,STUDENTS!$A$5:$A$204,STUDENTS!$C$5:$C$204,""),"")</f>
        <v/>
      </c>
      <c r="E800" s="10" t="str">
        <f ca="1">IFERROR(_xludf.XLOOKUP(C800,STUDENTS!$A$5:$A$204,STUDENTS!$L$5:$L$204,""),"")</f>
        <v/>
      </c>
      <c r="F800" s="10" t="str">
        <f t="shared" si="37"/>
        <v/>
      </c>
      <c r="G800" s="8"/>
      <c r="H800" s="11" t="str">
        <f>IF(B800="","",IF(OR(F800="Saturday",F800="Sunday"),SETTINGS!$B$11,IF(G800="Vacation",SETTINGS!$B$13,0)))</f>
        <v/>
      </c>
      <c r="I800" s="12" t="str">
        <f t="shared" si="38"/>
        <v/>
      </c>
      <c r="J800" s="8"/>
    </row>
    <row r="801" spans="1:10" x14ac:dyDescent="0.2">
      <c r="A801" s="7" t="str">
        <f t="shared" si="36"/>
        <v/>
      </c>
      <c r="B801" s="9"/>
      <c r="C801" s="8"/>
      <c r="D801" s="10" t="str">
        <f ca="1">IFERROR(_xludf.XLOOKUP(C801,STUDENTS!$A$5:$A$204,STUDENTS!$C$5:$C$204,""),"")</f>
        <v/>
      </c>
      <c r="E801" s="10" t="str">
        <f ca="1">IFERROR(_xludf.XLOOKUP(C801,STUDENTS!$A$5:$A$204,STUDENTS!$L$5:$L$204,""),"")</f>
        <v/>
      </c>
      <c r="F801" s="10" t="str">
        <f t="shared" si="37"/>
        <v/>
      </c>
      <c r="G801" s="8"/>
      <c r="H801" s="11" t="str">
        <f>IF(B801="","",IF(OR(F801="Saturday",F801="Sunday"),SETTINGS!$B$11,IF(G801="Vacation",SETTINGS!$B$13,0)))</f>
        <v/>
      </c>
      <c r="I801" s="12" t="str">
        <f t="shared" si="38"/>
        <v/>
      </c>
      <c r="J801" s="8"/>
    </row>
    <row r="802" spans="1:10" x14ac:dyDescent="0.2">
      <c r="A802" s="7" t="str">
        <f t="shared" si="36"/>
        <v/>
      </c>
      <c r="B802" s="9"/>
      <c r="C802" s="8"/>
      <c r="D802" s="10" t="str">
        <f ca="1">IFERROR(_xludf.XLOOKUP(C802,STUDENTS!$A$5:$A$204,STUDENTS!$C$5:$C$204,""),"")</f>
        <v/>
      </c>
      <c r="E802" s="10" t="str">
        <f ca="1">IFERROR(_xludf.XLOOKUP(C802,STUDENTS!$A$5:$A$204,STUDENTS!$L$5:$L$204,""),"")</f>
        <v/>
      </c>
      <c r="F802" s="10" t="str">
        <f t="shared" si="37"/>
        <v/>
      </c>
      <c r="G802" s="8"/>
      <c r="H802" s="11" t="str">
        <f>IF(B802="","",IF(OR(F802="Saturday",F802="Sunday"),SETTINGS!$B$11,IF(G802="Vacation",SETTINGS!$B$13,0)))</f>
        <v/>
      </c>
      <c r="I802" s="12" t="str">
        <f t="shared" si="38"/>
        <v/>
      </c>
      <c r="J802" s="8"/>
    </row>
    <row r="803" spans="1:10" x14ac:dyDescent="0.2">
      <c r="A803" s="7" t="str">
        <f t="shared" si="36"/>
        <v/>
      </c>
      <c r="B803" s="9"/>
      <c r="C803" s="8"/>
      <c r="D803" s="10" t="str">
        <f ca="1">IFERROR(_xludf.XLOOKUP(C803,STUDENTS!$A$5:$A$204,STUDENTS!$C$5:$C$204,""),"")</f>
        <v/>
      </c>
      <c r="E803" s="10" t="str">
        <f ca="1">IFERROR(_xludf.XLOOKUP(C803,STUDENTS!$A$5:$A$204,STUDENTS!$L$5:$L$204,""),"")</f>
        <v/>
      </c>
      <c r="F803" s="10" t="str">
        <f t="shared" si="37"/>
        <v/>
      </c>
      <c r="G803" s="8"/>
      <c r="H803" s="11" t="str">
        <f>IF(B803="","",IF(OR(F803="Saturday",F803="Sunday"),SETTINGS!$B$11,IF(G803="Vacation",SETTINGS!$B$13,0)))</f>
        <v/>
      </c>
      <c r="I803" s="12" t="str">
        <f t="shared" si="38"/>
        <v/>
      </c>
      <c r="J803" s="8"/>
    </row>
    <row r="804" spans="1:10" x14ac:dyDescent="0.2">
      <c r="A804" s="7" t="str">
        <f t="shared" si="36"/>
        <v/>
      </c>
      <c r="B804" s="9"/>
      <c r="C804" s="8"/>
      <c r="D804" s="10" t="str">
        <f ca="1">IFERROR(_xludf.XLOOKUP(C804,STUDENTS!$A$5:$A$204,STUDENTS!$C$5:$C$204,""),"")</f>
        <v/>
      </c>
      <c r="E804" s="10" t="str">
        <f ca="1">IFERROR(_xludf.XLOOKUP(C804,STUDENTS!$A$5:$A$204,STUDENTS!$L$5:$L$204,""),"")</f>
        <v/>
      </c>
      <c r="F804" s="10" t="str">
        <f t="shared" si="37"/>
        <v/>
      </c>
      <c r="G804" s="8"/>
      <c r="H804" s="11" t="str">
        <f>IF(B804="","",IF(OR(F804="Saturday",F804="Sunday"),SETTINGS!$B$11,IF(G804="Vacation",SETTINGS!$B$13,0)))</f>
        <v/>
      </c>
      <c r="I804" s="12" t="str">
        <f t="shared" si="38"/>
        <v/>
      </c>
      <c r="J804" s="8"/>
    </row>
    <row r="805" spans="1:10" x14ac:dyDescent="0.2">
      <c r="A805" s="7" t="str">
        <f t="shared" si="36"/>
        <v/>
      </c>
      <c r="B805" s="9"/>
      <c r="C805" s="8"/>
      <c r="D805" s="10" t="str">
        <f ca="1">IFERROR(_xludf.XLOOKUP(C805,STUDENTS!$A$5:$A$204,STUDENTS!$C$5:$C$204,""),"")</f>
        <v/>
      </c>
      <c r="E805" s="10" t="str">
        <f ca="1">IFERROR(_xludf.XLOOKUP(C805,STUDENTS!$A$5:$A$204,STUDENTS!$L$5:$L$204,""),"")</f>
        <v/>
      </c>
      <c r="F805" s="10" t="str">
        <f t="shared" si="37"/>
        <v/>
      </c>
      <c r="G805" s="8"/>
      <c r="H805" s="11" t="str">
        <f>IF(B805="","",IF(OR(F805="Saturday",F805="Sunday"),SETTINGS!$B$11,IF(G805="Vacation",SETTINGS!$B$13,0)))</f>
        <v/>
      </c>
      <c r="I805" s="12" t="str">
        <f t="shared" si="38"/>
        <v/>
      </c>
      <c r="J805" s="8"/>
    </row>
    <row r="806" spans="1:10" x14ac:dyDescent="0.2">
      <c r="A806" s="7" t="str">
        <f t="shared" si="36"/>
        <v/>
      </c>
      <c r="B806" s="9"/>
      <c r="C806" s="8"/>
      <c r="D806" s="10" t="str">
        <f ca="1">IFERROR(_xludf.XLOOKUP(C806,STUDENTS!$A$5:$A$204,STUDENTS!$C$5:$C$204,""),"")</f>
        <v/>
      </c>
      <c r="E806" s="10" t="str">
        <f ca="1">IFERROR(_xludf.XLOOKUP(C806,STUDENTS!$A$5:$A$204,STUDENTS!$L$5:$L$204,""),"")</f>
        <v/>
      </c>
      <c r="F806" s="10" t="str">
        <f t="shared" si="37"/>
        <v/>
      </c>
      <c r="G806" s="8"/>
      <c r="H806" s="11" t="str">
        <f>IF(B806="","",IF(OR(F806="Saturday",F806="Sunday"),SETTINGS!$B$11,IF(G806="Vacation",SETTINGS!$B$13,0)))</f>
        <v/>
      </c>
      <c r="I806" s="12" t="str">
        <f t="shared" si="38"/>
        <v/>
      </c>
      <c r="J806" s="8"/>
    </row>
    <row r="807" spans="1:10" x14ac:dyDescent="0.2">
      <c r="A807" s="7" t="str">
        <f t="shared" si="36"/>
        <v/>
      </c>
      <c r="B807" s="9"/>
      <c r="C807" s="8"/>
      <c r="D807" s="10" t="str">
        <f ca="1">IFERROR(_xludf.XLOOKUP(C807,STUDENTS!$A$5:$A$204,STUDENTS!$C$5:$C$204,""),"")</f>
        <v/>
      </c>
      <c r="E807" s="10" t="str">
        <f ca="1">IFERROR(_xludf.XLOOKUP(C807,STUDENTS!$A$5:$A$204,STUDENTS!$L$5:$L$204,""),"")</f>
        <v/>
      </c>
      <c r="F807" s="10" t="str">
        <f t="shared" si="37"/>
        <v/>
      </c>
      <c r="G807" s="8"/>
      <c r="H807" s="11" t="str">
        <f>IF(B807="","",IF(OR(F807="Saturday",F807="Sunday"),SETTINGS!$B$11,IF(G807="Vacation",SETTINGS!$B$13,0)))</f>
        <v/>
      </c>
      <c r="I807" s="12" t="str">
        <f t="shared" si="38"/>
        <v/>
      </c>
      <c r="J807" s="8"/>
    </row>
    <row r="808" spans="1:10" x14ac:dyDescent="0.2">
      <c r="A808" s="7" t="str">
        <f t="shared" si="36"/>
        <v/>
      </c>
      <c r="B808" s="9"/>
      <c r="C808" s="8"/>
      <c r="D808" s="10" t="str">
        <f ca="1">IFERROR(_xludf.XLOOKUP(C808,STUDENTS!$A$5:$A$204,STUDENTS!$C$5:$C$204,""),"")</f>
        <v/>
      </c>
      <c r="E808" s="10" t="str">
        <f ca="1">IFERROR(_xludf.XLOOKUP(C808,STUDENTS!$A$5:$A$204,STUDENTS!$L$5:$L$204,""),"")</f>
        <v/>
      </c>
      <c r="F808" s="10" t="str">
        <f t="shared" si="37"/>
        <v/>
      </c>
      <c r="G808" s="8"/>
      <c r="H808" s="11" t="str">
        <f>IF(B808="","",IF(OR(F808="Saturday",F808="Sunday"),SETTINGS!$B$11,IF(G808="Vacation",SETTINGS!$B$13,0)))</f>
        <v/>
      </c>
      <c r="I808" s="12" t="str">
        <f t="shared" si="38"/>
        <v/>
      </c>
      <c r="J808" s="8"/>
    </row>
    <row r="809" spans="1:10" x14ac:dyDescent="0.2">
      <c r="A809" s="7" t="str">
        <f t="shared" si="36"/>
        <v/>
      </c>
      <c r="B809" s="9"/>
      <c r="C809" s="8"/>
      <c r="D809" s="10" t="str">
        <f ca="1">IFERROR(_xludf.XLOOKUP(C809,STUDENTS!$A$5:$A$204,STUDENTS!$C$5:$C$204,""),"")</f>
        <v/>
      </c>
      <c r="E809" s="10" t="str">
        <f ca="1">IFERROR(_xludf.XLOOKUP(C809,STUDENTS!$A$5:$A$204,STUDENTS!$L$5:$L$204,""),"")</f>
        <v/>
      </c>
      <c r="F809" s="10" t="str">
        <f t="shared" si="37"/>
        <v/>
      </c>
      <c r="G809" s="8"/>
      <c r="H809" s="11" t="str">
        <f>IF(B809="","",IF(OR(F809="Saturday",F809="Sunday"),SETTINGS!$B$11,IF(G809="Vacation",SETTINGS!$B$13,0)))</f>
        <v/>
      </c>
      <c r="I809" s="12" t="str">
        <f t="shared" si="38"/>
        <v/>
      </c>
      <c r="J809" s="8"/>
    </row>
    <row r="810" spans="1:10" x14ac:dyDescent="0.2">
      <c r="A810" s="7" t="str">
        <f t="shared" si="36"/>
        <v/>
      </c>
      <c r="B810" s="9"/>
      <c r="C810" s="8"/>
      <c r="D810" s="10" t="str">
        <f ca="1">IFERROR(_xludf.XLOOKUP(C810,STUDENTS!$A$5:$A$204,STUDENTS!$C$5:$C$204,""),"")</f>
        <v/>
      </c>
      <c r="E810" s="10" t="str">
        <f ca="1">IFERROR(_xludf.XLOOKUP(C810,STUDENTS!$A$5:$A$204,STUDENTS!$L$5:$L$204,""),"")</f>
        <v/>
      </c>
      <c r="F810" s="10" t="str">
        <f t="shared" si="37"/>
        <v/>
      </c>
      <c r="G810" s="8"/>
      <c r="H810" s="11" t="str">
        <f>IF(B810="","",IF(OR(F810="Saturday",F810="Sunday"),SETTINGS!$B$11,IF(G810="Vacation",SETTINGS!$B$13,0)))</f>
        <v/>
      </c>
      <c r="I810" s="12" t="str">
        <f t="shared" si="38"/>
        <v/>
      </c>
      <c r="J810" s="8"/>
    </row>
    <row r="811" spans="1:10" x14ac:dyDescent="0.2">
      <c r="A811" s="7" t="str">
        <f t="shared" si="36"/>
        <v/>
      </c>
      <c r="B811" s="9"/>
      <c r="C811" s="8"/>
      <c r="D811" s="10" t="str">
        <f ca="1">IFERROR(_xludf.XLOOKUP(C811,STUDENTS!$A$5:$A$204,STUDENTS!$C$5:$C$204,""),"")</f>
        <v/>
      </c>
      <c r="E811" s="10" t="str">
        <f ca="1">IFERROR(_xludf.XLOOKUP(C811,STUDENTS!$A$5:$A$204,STUDENTS!$L$5:$L$204,""),"")</f>
        <v/>
      </c>
      <c r="F811" s="10" t="str">
        <f t="shared" si="37"/>
        <v/>
      </c>
      <c r="G811" s="8"/>
      <c r="H811" s="11" t="str">
        <f>IF(B811="","",IF(OR(F811="Saturday",F811="Sunday"),SETTINGS!$B$11,IF(G811="Vacation",SETTINGS!$B$13,0)))</f>
        <v/>
      </c>
      <c r="I811" s="12" t="str">
        <f t="shared" si="38"/>
        <v/>
      </c>
      <c r="J811" s="8"/>
    </row>
    <row r="812" spans="1:10" x14ac:dyDescent="0.2">
      <c r="A812" s="7" t="str">
        <f t="shared" si="36"/>
        <v/>
      </c>
      <c r="B812" s="9"/>
      <c r="C812" s="8"/>
      <c r="D812" s="10" t="str">
        <f ca="1">IFERROR(_xludf.XLOOKUP(C812,STUDENTS!$A$5:$A$204,STUDENTS!$C$5:$C$204,""),"")</f>
        <v/>
      </c>
      <c r="E812" s="10" t="str">
        <f ca="1">IFERROR(_xludf.XLOOKUP(C812,STUDENTS!$A$5:$A$204,STUDENTS!$L$5:$L$204,""),"")</f>
        <v/>
      </c>
      <c r="F812" s="10" t="str">
        <f t="shared" si="37"/>
        <v/>
      </c>
      <c r="G812" s="8"/>
      <c r="H812" s="11" t="str">
        <f>IF(B812="","",IF(OR(F812="Saturday",F812="Sunday"),SETTINGS!$B$11,IF(G812="Vacation",SETTINGS!$B$13,0)))</f>
        <v/>
      </c>
      <c r="I812" s="12" t="str">
        <f t="shared" si="38"/>
        <v/>
      </c>
      <c r="J812" s="8"/>
    </row>
    <row r="813" spans="1:10" x14ac:dyDescent="0.2">
      <c r="A813" s="7" t="str">
        <f t="shared" si="36"/>
        <v/>
      </c>
      <c r="B813" s="9"/>
      <c r="C813" s="8"/>
      <c r="D813" s="10" t="str">
        <f ca="1">IFERROR(_xludf.XLOOKUP(C813,STUDENTS!$A$5:$A$204,STUDENTS!$C$5:$C$204,""),"")</f>
        <v/>
      </c>
      <c r="E813" s="10" t="str">
        <f ca="1">IFERROR(_xludf.XLOOKUP(C813,STUDENTS!$A$5:$A$204,STUDENTS!$L$5:$L$204,""),"")</f>
        <v/>
      </c>
      <c r="F813" s="10" t="str">
        <f t="shared" si="37"/>
        <v/>
      </c>
      <c r="G813" s="8"/>
      <c r="H813" s="11" t="str">
        <f>IF(B813="","",IF(OR(F813="Saturday",F813="Sunday"),SETTINGS!$B$11,IF(G813="Vacation",SETTINGS!$B$13,0)))</f>
        <v/>
      </c>
      <c r="I813" s="12" t="str">
        <f t="shared" si="38"/>
        <v/>
      </c>
      <c r="J813" s="8"/>
    </row>
    <row r="814" spans="1:10" x14ac:dyDescent="0.2">
      <c r="A814" s="7" t="str">
        <f t="shared" si="36"/>
        <v/>
      </c>
      <c r="B814" s="9"/>
      <c r="C814" s="8"/>
      <c r="D814" s="10" t="str">
        <f ca="1">IFERROR(_xludf.XLOOKUP(C814,STUDENTS!$A$5:$A$204,STUDENTS!$C$5:$C$204,""),"")</f>
        <v/>
      </c>
      <c r="E814" s="10" t="str">
        <f ca="1">IFERROR(_xludf.XLOOKUP(C814,STUDENTS!$A$5:$A$204,STUDENTS!$L$5:$L$204,""),"")</f>
        <v/>
      </c>
      <c r="F814" s="10" t="str">
        <f t="shared" si="37"/>
        <v/>
      </c>
      <c r="G814" s="8"/>
      <c r="H814" s="11" t="str">
        <f>IF(B814="","",IF(OR(F814="Saturday",F814="Sunday"),SETTINGS!$B$11,IF(G814="Vacation",SETTINGS!$B$13,0)))</f>
        <v/>
      </c>
      <c r="I814" s="12" t="str">
        <f t="shared" si="38"/>
        <v/>
      </c>
      <c r="J814" s="8"/>
    </row>
    <row r="815" spans="1:10" x14ac:dyDescent="0.2">
      <c r="A815" s="7" t="str">
        <f t="shared" si="36"/>
        <v/>
      </c>
      <c r="B815" s="9"/>
      <c r="C815" s="8"/>
      <c r="D815" s="10" t="str">
        <f ca="1">IFERROR(_xludf.XLOOKUP(C815,STUDENTS!$A$5:$A$204,STUDENTS!$C$5:$C$204,""),"")</f>
        <v/>
      </c>
      <c r="E815" s="10" t="str">
        <f ca="1">IFERROR(_xludf.XLOOKUP(C815,STUDENTS!$A$5:$A$204,STUDENTS!$L$5:$L$204,""),"")</f>
        <v/>
      </c>
      <c r="F815" s="10" t="str">
        <f t="shared" si="37"/>
        <v/>
      </c>
      <c r="G815" s="8"/>
      <c r="H815" s="11" t="str">
        <f>IF(B815="","",IF(OR(F815="Saturday",F815="Sunday"),SETTINGS!$B$11,IF(G815="Vacation",SETTINGS!$B$13,0)))</f>
        <v/>
      </c>
      <c r="I815" s="12" t="str">
        <f t="shared" si="38"/>
        <v/>
      </c>
      <c r="J815" s="8"/>
    </row>
    <row r="816" spans="1:10" x14ac:dyDescent="0.2">
      <c r="A816" s="7" t="str">
        <f t="shared" si="36"/>
        <v/>
      </c>
      <c r="B816" s="9"/>
      <c r="C816" s="8"/>
      <c r="D816" s="10" t="str">
        <f ca="1">IFERROR(_xludf.XLOOKUP(C816,STUDENTS!$A$5:$A$204,STUDENTS!$C$5:$C$204,""),"")</f>
        <v/>
      </c>
      <c r="E816" s="10" t="str">
        <f ca="1">IFERROR(_xludf.XLOOKUP(C816,STUDENTS!$A$5:$A$204,STUDENTS!$L$5:$L$204,""),"")</f>
        <v/>
      </c>
      <c r="F816" s="10" t="str">
        <f t="shared" si="37"/>
        <v/>
      </c>
      <c r="G816" s="8"/>
      <c r="H816" s="11" t="str">
        <f>IF(B816="","",IF(OR(F816="Saturday",F816="Sunday"),SETTINGS!$B$11,IF(G816="Vacation",SETTINGS!$B$13,0)))</f>
        <v/>
      </c>
      <c r="I816" s="12" t="str">
        <f t="shared" si="38"/>
        <v/>
      </c>
      <c r="J816" s="8"/>
    </row>
    <row r="817" spans="1:10" x14ac:dyDescent="0.2">
      <c r="A817" s="7" t="str">
        <f t="shared" si="36"/>
        <v/>
      </c>
      <c r="B817" s="9"/>
      <c r="C817" s="8"/>
      <c r="D817" s="10" t="str">
        <f ca="1">IFERROR(_xludf.XLOOKUP(C817,STUDENTS!$A$5:$A$204,STUDENTS!$C$5:$C$204,""),"")</f>
        <v/>
      </c>
      <c r="E817" s="10" t="str">
        <f ca="1">IFERROR(_xludf.XLOOKUP(C817,STUDENTS!$A$5:$A$204,STUDENTS!$L$5:$L$204,""),"")</f>
        <v/>
      </c>
      <c r="F817" s="10" t="str">
        <f t="shared" si="37"/>
        <v/>
      </c>
      <c r="G817" s="8"/>
      <c r="H817" s="11" t="str">
        <f>IF(B817="","",IF(OR(F817="Saturday",F817="Sunday"),SETTINGS!$B$11,IF(G817="Vacation",SETTINGS!$B$13,0)))</f>
        <v/>
      </c>
      <c r="I817" s="12" t="str">
        <f t="shared" si="38"/>
        <v/>
      </c>
      <c r="J817" s="8"/>
    </row>
    <row r="818" spans="1:10" x14ac:dyDescent="0.2">
      <c r="A818" s="7" t="str">
        <f t="shared" si="36"/>
        <v/>
      </c>
      <c r="B818" s="9"/>
      <c r="C818" s="8"/>
      <c r="D818" s="10" t="str">
        <f ca="1">IFERROR(_xludf.XLOOKUP(C818,STUDENTS!$A$5:$A$204,STUDENTS!$C$5:$C$204,""),"")</f>
        <v/>
      </c>
      <c r="E818" s="10" t="str">
        <f ca="1">IFERROR(_xludf.XLOOKUP(C818,STUDENTS!$A$5:$A$204,STUDENTS!$L$5:$L$204,""),"")</f>
        <v/>
      </c>
      <c r="F818" s="10" t="str">
        <f t="shared" si="37"/>
        <v/>
      </c>
      <c r="G818" s="8"/>
      <c r="H818" s="11" t="str">
        <f>IF(B818="","",IF(OR(F818="Saturday",F818="Sunday"),SETTINGS!$B$11,IF(G818="Vacation",SETTINGS!$B$13,0)))</f>
        <v/>
      </c>
      <c r="I818" s="12" t="str">
        <f t="shared" si="38"/>
        <v/>
      </c>
      <c r="J818" s="8"/>
    </row>
    <row r="819" spans="1:10" x14ac:dyDescent="0.2">
      <c r="A819" s="7" t="str">
        <f t="shared" si="36"/>
        <v/>
      </c>
      <c r="B819" s="9"/>
      <c r="C819" s="8"/>
      <c r="D819" s="10" t="str">
        <f ca="1">IFERROR(_xludf.XLOOKUP(C819,STUDENTS!$A$5:$A$204,STUDENTS!$C$5:$C$204,""),"")</f>
        <v/>
      </c>
      <c r="E819" s="10" t="str">
        <f ca="1">IFERROR(_xludf.XLOOKUP(C819,STUDENTS!$A$5:$A$204,STUDENTS!$L$5:$L$204,""),"")</f>
        <v/>
      </c>
      <c r="F819" s="10" t="str">
        <f t="shared" si="37"/>
        <v/>
      </c>
      <c r="G819" s="8"/>
      <c r="H819" s="11" t="str">
        <f>IF(B819="","",IF(OR(F819="Saturday",F819="Sunday"),SETTINGS!$B$11,IF(G819="Vacation",SETTINGS!$B$13,0)))</f>
        <v/>
      </c>
      <c r="I819" s="12" t="str">
        <f t="shared" si="38"/>
        <v/>
      </c>
      <c r="J819" s="8"/>
    </row>
    <row r="820" spans="1:10" x14ac:dyDescent="0.2">
      <c r="A820" s="7" t="str">
        <f t="shared" si="36"/>
        <v/>
      </c>
      <c r="B820" s="9"/>
      <c r="C820" s="8"/>
      <c r="D820" s="10" t="str">
        <f ca="1">IFERROR(_xludf.XLOOKUP(C820,STUDENTS!$A$5:$A$204,STUDENTS!$C$5:$C$204,""),"")</f>
        <v/>
      </c>
      <c r="E820" s="10" t="str">
        <f ca="1">IFERROR(_xludf.XLOOKUP(C820,STUDENTS!$A$5:$A$204,STUDENTS!$L$5:$L$204,""),"")</f>
        <v/>
      </c>
      <c r="F820" s="10" t="str">
        <f t="shared" si="37"/>
        <v/>
      </c>
      <c r="G820" s="8"/>
      <c r="H820" s="11" t="str">
        <f>IF(B820="","",IF(OR(F820="Saturday",F820="Sunday"),SETTINGS!$B$11,IF(G820="Vacation",SETTINGS!$B$13,0)))</f>
        <v/>
      </c>
      <c r="I820" s="12" t="str">
        <f t="shared" si="38"/>
        <v/>
      </c>
      <c r="J820" s="8"/>
    </row>
    <row r="821" spans="1:10" x14ac:dyDescent="0.2">
      <c r="A821" s="7" t="str">
        <f t="shared" si="36"/>
        <v/>
      </c>
      <c r="B821" s="9"/>
      <c r="C821" s="8"/>
      <c r="D821" s="10" t="str">
        <f ca="1">IFERROR(_xludf.XLOOKUP(C821,STUDENTS!$A$5:$A$204,STUDENTS!$C$5:$C$204,""),"")</f>
        <v/>
      </c>
      <c r="E821" s="10" t="str">
        <f ca="1">IFERROR(_xludf.XLOOKUP(C821,STUDENTS!$A$5:$A$204,STUDENTS!$L$5:$L$204,""),"")</f>
        <v/>
      </c>
      <c r="F821" s="10" t="str">
        <f t="shared" si="37"/>
        <v/>
      </c>
      <c r="G821" s="8"/>
      <c r="H821" s="11" t="str">
        <f>IF(B821="","",IF(OR(F821="Saturday",F821="Sunday"),SETTINGS!$B$11,IF(G821="Vacation",SETTINGS!$B$13,0)))</f>
        <v/>
      </c>
      <c r="I821" s="12" t="str">
        <f t="shared" si="38"/>
        <v/>
      </c>
      <c r="J821" s="8"/>
    </row>
    <row r="822" spans="1:10" x14ac:dyDescent="0.2">
      <c r="A822" s="7" t="str">
        <f t="shared" si="36"/>
        <v/>
      </c>
      <c r="B822" s="9"/>
      <c r="C822" s="8"/>
      <c r="D822" s="10" t="str">
        <f ca="1">IFERROR(_xludf.XLOOKUP(C822,STUDENTS!$A$5:$A$204,STUDENTS!$C$5:$C$204,""),"")</f>
        <v/>
      </c>
      <c r="E822" s="10" t="str">
        <f ca="1">IFERROR(_xludf.XLOOKUP(C822,STUDENTS!$A$5:$A$204,STUDENTS!$L$5:$L$204,""),"")</f>
        <v/>
      </c>
      <c r="F822" s="10" t="str">
        <f t="shared" si="37"/>
        <v/>
      </c>
      <c r="G822" s="8"/>
      <c r="H822" s="11" t="str">
        <f>IF(B822="","",IF(OR(F822="Saturday",F822="Sunday"),SETTINGS!$B$11,IF(G822="Vacation",SETTINGS!$B$13,0)))</f>
        <v/>
      </c>
      <c r="I822" s="12" t="str">
        <f t="shared" si="38"/>
        <v/>
      </c>
      <c r="J822" s="8"/>
    </row>
    <row r="823" spans="1:10" x14ac:dyDescent="0.2">
      <c r="A823" s="7" t="str">
        <f t="shared" si="36"/>
        <v/>
      </c>
      <c r="B823" s="9"/>
      <c r="C823" s="8"/>
      <c r="D823" s="10" t="str">
        <f ca="1">IFERROR(_xludf.XLOOKUP(C823,STUDENTS!$A$5:$A$204,STUDENTS!$C$5:$C$204,""),"")</f>
        <v/>
      </c>
      <c r="E823" s="10" t="str">
        <f ca="1">IFERROR(_xludf.XLOOKUP(C823,STUDENTS!$A$5:$A$204,STUDENTS!$L$5:$L$204,""),"")</f>
        <v/>
      </c>
      <c r="F823" s="10" t="str">
        <f t="shared" si="37"/>
        <v/>
      </c>
      <c r="G823" s="8"/>
      <c r="H823" s="11" t="str">
        <f>IF(B823="","",IF(OR(F823="Saturday",F823="Sunday"),SETTINGS!$B$11,IF(G823="Vacation",SETTINGS!$B$13,0)))</f>
        <v/>
      </c>
      <c r="I823" s="12" t="str">
        <f t="shared" si="38"/>
        <v/>
      </c>
      <c r="J823" s="8"/>
    </row>
    <row r="824" spans="1:10" x14ac:dyDescent="0.2">
      <c r="A824" s="7" t="str">
        <f t="shared" si="36"/>
        <v/>
      </c>
      <c r="B824" s="9"/>
      <c r="C824" s="8"/>
      <c r="D824" s="10" t="str">
        <f ca="1">IFERROR(_xludf.XLOOKUP(C824,STUDENTS!$A$5:$A$204,STUDENTS!$C$5:$C$204,""),"")</f>
        <v/>
      </c>
      <c r="E824" s="10" t="str">
        <f ca="1">IFERROR(_xludf.XLOOKUP(C824,STUDENTS!$A$5:$A$204,STUDENTS!$L$5:$L$204,""),"")</f>
        <v/>
      </c>
      <c r="F824" s="10" t="str">
        <f t="shared" si="37"/>
        <v/>
      </c>
      <c r="G824" s="8"/>
      <c r="H824" s="11" t="str">
        <f>IF(B824="","",IF(OR(F824="Saturday",F824="Sunday"),SETTINGS!$B$11,IF(G824="Vacation",SETTINGS!$B$13,0)))</f>
        <v/>
      </c>
      <c r="I824" s="12" t="str">
        <f t="shared" si="38"/>
        <v/>
      </c>
      <c r="J824" s="8"/>
    </row>
    <row r="825" spans="1:10" x14ac:dyDescent="0.2">
      <c r="A825" s="7" t="str">
        <f t="shared" si="36"/>
        <v/>
      </c>
      <c r="B825" s="9"/>
      <c r="C825" s="8"/>
      <c r="D825" s="10" t="str">
        <f ca="1">IFERROR(_xludf.XLOOKUP(C825,STUDENTS!$A$5:$A$204,STUDENTS!$C$5:$C$204,""),"")</f>
        <v/>
      </c>
      <c r="E825" s="10" t="str">
        <f ca="1">IFERROR(_xludf.XLOOKUP(C825,STUDENTS!$A$5:$A$204,STUDENTS!$L$5:$L$204,""),"")</f>
        <v/>
      </c>
      <c r="F825" s="10" t="str">
        <f t="shared" si="37"/>
        <v/>
      </c>
      <c r="G825" s="8"/>
      <c r="H825" s="11" t="str">
        <f>IF(B825="","",IF(OR(F825="Saturday",F825="Sunday"),SETTINGS!$B$11,IF(G825="Vacation",SETTINGS!$B$13,0)))</f>
        <v/>
      </c>
      <c r="I825" s="12" t="str">
        <f t="shared" si="38"/>
        <v/>
      </c>
      <c r="J825" s="8"/>
    </row>
    <row r="826" spans="1:10" x14ac:dyDescent="0.2">
      <c r="A826" s="7" t="str">
        <f t="shared" si="36"/>
        <v/>
      </c>
      <c r="B826" s="9"/>
      <c r="C826" s="8"/>
      <c r="D826" s="10" t="str">
        <f ca="1">IFERROR(_xludf.XLOOKUP(C826,STUDENTS!$A$5:$A$204,STUDENTS!$C$5:$C$204,""),"")</f>
        <v/>
      </c>
      <c r="E826" s="10" t="str">
        <f ca="1">IFERROR(_xludf.XLOOKUP(C826,STUDENTS!$A$5:$A$204,STUDENTS!$L$5:$L$204,""),"")</f>
        <v/>
      </c>
      <c r="F826" s="10" t="str">
        <f t="shared" si="37"/>
        <v/>
      </c>
      <c r="G826" s="8"/>
      <c r="H826" s="11" t="str">
        <f>IF(B826="","",IF(OR(F826="Saturday",F826="Sunday"),SETTINGS!$B$11,IF(G826="Vacation",SETTINGS!$B$13,0)))</f>
        <v/>
      </c>
      <c r="I826" s="12" t="str">
        <f t="shared" si="38"/>
        <v/>
      </c>
      <c r="J826" s="8"/>
    </row>
    <row r="827" spans="1:10" x14ac:dyDescent="0.2">
      <c r="A827" s="7" t="str">
        <f t="shared" si="36"/>
        <v/>
      </c>
      <c r="B827" s="9"/>
      <c r="C827" s="8"/>
      <c r="D827" s="10" t="str">
        <f ca="1">IFERROR(_xludf.XLOOKUP(C827,STUDENTS!$A$5:$A$204,STUDENTS!$C$5:$C$204,""),"")</f>
        <v/>
      </c>
      <c r="E827" s="10" t="str">
        <f ca="1">IFERROR(_xludf.XLOOKUP(C827,STUDENTS!$A$5:$A$204,STUDENTS!$L$5:$L$204,""),"")</f>
        <v/>
      </c>
      <c r="F827" s="10" t="str">
        <f t="shared" si="37"/>
        <v/>
      </c>
      <c r="G827" s="8"/>
      <c r="H827" s="11" t="str">
        <f>IF(B827="","",IF(OR(F827="Saturday",F827="Sunday"),SETTINGS!$B$11,IF(G827="Vacation",SETTINGS!$B$13,0)))</f>
        <v/>
      </c>
      <c r="I827" s="12" t="str">
        <f t="shared" si="38"/>
        <v/>
      </c>
      <c r="J827" s="8"/>
    </row>
    <row r="828" spans="1:10" x14ac:dyDescent="0.2">
      <c r="A828" s="7" t="str">
        <f t="shared" si="36"/>
        <v/>
      </c>
      <c r="B828" s="9"/>
      <c r="C828" s="8"/>
      <c r="D828" s="10" t="str">
        <f ca="1">IFERROR(_xludf.XLOOKUP(C828,STUDENTS!$A$5:$A$204,STUDENTS!$C$5:$C$204,""),"")</f>
        <v/>
      </c>
      <c r="E828" s="10" t="str">
        <f ca="1">IFERROR(_xludf.XLOOKUP(C828,STUDENTS!$A$5:$A$204,STUDENTS!$L$5:$L$204,""),"")</f>
        <v/>
      </c>
      <c r="F828" s="10" t="str">
        <f t="shared" si="37"/>
        <v/>
      </c>
      <c r="G828" s="8"/>
      <c r="H828" s="11" t="str">
        <f>IF(B828="","",IF(OR(F828="Saturday",F828="Sunday"),SETTINGS!$B$11,IF(G828="Vacation",SETTINGS!$B$13,0)))</f>
        <v/>
      </c>
      <c r="I828" s="12" t="str">
        <f t="shared" si="38"/>
        <v/>
      </c>
      <c r="J828" s="8"/>
    </row>
    <row r="829" spans="1:10" x14ac:dyDescent="0.2">
      <c r="A829" s="7" t="str">
        <f t="shared" si="36"/>
        <v/>
      </c>
      <c r="B829" s="9"/>
      <c r="C829" s="8"/>
      <c r="D829" s="10" t="str">
        <f ca="1">IFERROR(_xludf.XLOOKUP(C829,STUDENTS!$A$5:$A$204,STUDENTS!$C$5:$C$204,""),"")</f>
        <v/>
      </c>
      <c r="E829" s="10" t="str">
        <f ca="1">IFERROR(_xludf.XLOOKUP(C829,STUDENTS!$A$5:$A$204,STUDENTS!$L$5:$L$204,""),"")</f>
        <v/>
      </c>
      <c r="F829" s="10" t="str">
        <f t="shared" si="37"/>
        <v/>
      </c>
      <c r="G829" s="8"/>
      <c r="H829" s="11" t="str">
        <f>IF(B829="","",IF(OR(F829="Saturday",F829="Sunday"),SETTINGS!$B$11,IF(G829="Vacation",SETTINGS!$B$13,0)))</f>
        <v/>
      </c>
      <c r="I829" s="12" t="str">
        <f t="shared" si="38"/>
        <v/>
      </c>
      <c r="J829" s="8"/>
    </row>
    <row r="830" spans="1:10" x14ac:dyDescent="0.2">
      <c r="A830" s="7" t="str">
        <f t="shared" si="36"/>
        <v/>
      </c>
      <c r="B830" s="9"/>
      <c r="C830" s="8"/>
      <c r="D830" s="10" t="str">
        <f ca="1">IFERROR(_xludf.XLOOKUP(C830,STUDENTS!$A$5:$A$204,STUDENTS!$C$5:$C$204,""),"")</f>
        <v/>
      </c>
      <c r="E830" s="10" t="str">
        <f ca="1">IFERROR(_xludf.XLOOKUP(C830,STUDENTS!$A$5:$A$204,STUDENTS!$L$5:$L$204,""),"")</f>
        <v/>
      </c>
      <c r="F830" s="10" t="str">
        <f t="shared" si="37"/>
        <v/>
      </c>
      <c r="G830" s="8"/>
      <c r="H830" s="11" t="str">
        <f>IF(B830="","",IF(OR(F830="Saturday",F830="Sunday"),SETTINGS!$B$11,IF(G830="Vacation",SETTINGS!$B$13,0)))</f>
        <v/>
      </c>
      <c r="I830" s="12" t="str">
        <f t="shared" si="38"/>
        <v/>
      </c>
      <c r="J830" s="8"/>
    </row>
    <row r="831" spans="1:10" x14ac:dyDescent="0.2">
      <c r="A831" s="7" t="str">
        <f t="shared" si="36"/>
        <v/>
      </c>
      <c r="B831" s="9"/>
      <c r="C831" s="8"/>
      <c r="D831" s="10" t="str">
        <f ca="1">IFERROR(_xludf.XLOOKUP(C831,STUDENTS!$A$5:$A$204,STUDENTS!$C$5:$C$204,""),"")</f>
        <v/>
      </c>
      <c r="E831" s="10" t="str">
        <f ca="1">IFERROR(_xludf.XLOOKUP(C831,STUDENTS!$A$5:$A$204,STUDENTS!$L$5:$L$204,""),"")</f>
        <v/>
      </c>
      <c r="F831" s="10" t="str">
        <f t="shared" si="37"/>
        <v/>
      </c>
      <c r="G831" s="8"/>
      <c r="H831" s="11" t="str">
        <f>IF(B831="","",IF(OR(F831="Saturday",F831="Sunday"),SETTINGS!$B$11,IF(G831="Vacation",SETTINGS!$B$13,0)))</f>
        <v/>
      </c>
      <c r="I831" s="12" t="str">
        <f t="shared" si="38"/>
        <v/>
      </c>
      <c r="J831" s="8"/>
    </row>
    <row r="832" spans="1:10" x14ac:dyDescent="0.2">
      <c r="A832" s="7" t="str">
        <f t="shared" si="36"/>
        <v/>
      </c>
      <c r="B832" s="9"/>
      <c r="C832" s="8"/>
      <c r="D832" s="10" t="str">
        <f ca="1">IFERROR(_xludf.XLOOKUP(C832,STUDENTS!$A$5:$A$204,STUDENTS!$C$5:$C$204,""),"")</f>
        <v/>
      </c>
      <c r="E832" s="10" t="str">
        <f ca="1">IFERROR(_xludf.XLOOKUP(C832,STUDENTS!$A$5:$A$204,STUDENTS!$L$5:$L$204,""),"")</f>
        <v/>
      </c>
      <c r="F832" s="10" t="str">
        <f t="shared" si="37"/>
        <v/>
      </c>
      <c r="G832" s="8"/>
      <c r="H832" s="11" t="str">
        <f>IF(B832="","",IF(OR(F832="Saturday",F832="Sunday"),SETTINGS!$B$11,IF(G832="Vacation",SETTINGS!$B$13,0)))</f>
        <v/>
      </c>
      <c r="I832" s="12" t="str">
        <f t="shared" si="38"/>
        <v/>
      </c>
      <c r="J832" s="8"/>
    </row>
    <row r="833" spans="1:10" x14ac:dyDescent="0.2">
      <c r="A833" s="7" t="str">
        <f t="shared" si="36"/>
        <v/>
      </c>
      <c r="B833" s="9"/>
      <c r="C833" s="8"/>
      <c r="D833" s="10" t="str">
        <f ca="1">IFERROR(_xludf.XLOOKUP(C833,STUDENTS!$A$5:$A$204,STUDENTS!$C$5:$C$204,""),"")</f>
        <v/>
      </c>
      <c r="E833" s="10" t="str">
        <f ca="1">IFERROR(_xludf.XLOOKUP(C833,STUDENTS!$A$5:$A$204,STUDENTS!$L$5:$L$204,""),"")</f>
        <v/>
      </c>
      <c r="F833" s="10" t="str">
        <f t="shared" si="37"/>
        <v/>
      </c>
      <c r="G833" s="8"/>
      <c r="H833" s="11" t="str">
        <f>IF(B833="","",IF(OR(F833="Saturday",F833="Sunday"),SETTINGS!$B$11,IF(G833="Vacation",SETTINGS!$B$13,0)))</f>
        <v/>
      </c>
      <c r="I833" s="12" t="str">
        <f t="shared" si="38"/>
        <v/>
      </c>
      <c r="J833" s="8"/>
    </row>
    <row r="834" spans="1:10" x14ac:dyDescent="0.2">
      <c r="A834" s="7" t="str">
        <f t="shared" si="36"/>
        <v/>
      </c>
      <c r="B834" s="9"/>
      <c r="C834" s="8"/>
      <c r="D834" s="10" t="str">
        <f ca="1">IFERROR(_xludf.XLOOKUP(C834,STUDENTS!$A$5:$A$204,STUDENTS!$C$5:$C$204,""),"")</f>
        <v/>
      </c>
      <c r="E834" s="10" t="str">
        <f ca="1">IFERROR(_xludf.XLOOKUP(C834,STUDENTS!$A$5:$A$204,STUDENTS!$L$5:$L$204,""),"")</f>
        <v/>
      </c>
      <c r="F834" s="10" t="str">
        <f t="shared" si="37"/>
        <v/>
      </c>
      <c r="G834" s="8"/>
      <c r="H834" s="11" t="str">
        <f>IF(B834="","",IF(OR(F834="Saturday",F834="Sunday"),SETTINGS!$B$11,IF(G834="Vacation",SETTINGS!$B$13,0)))</f>
        <v/>
      </c>
      <c r="I834" s="12" t="str">
        <f t="shared" si="38"/>
        <v/>
      </c>
      <c r="J834" s="8"/>
    </row>
    <row r="835" spans="1:10" x14ac:dyDescent="0.2">
      <c r="A835" s="7" t="str">
        <f t="shared" si="36"/>
        <v/>
      </c>
      <c r="B835" s="9"/>
      <c r="C835" s="8"/>
      <c r="D835" s="10" t="str">
        <f ca="1">IFERROR(_xludf.XLOOKUP(C835,STUDENTS!$A$5:$A$204,STUDENTS!$C$5:$C$204,""),"")</f>
        <v/>
      </c>
      <c r="E835" s="10" t="str">
        <f ca="1">IFERROR(_xludf.XLOOKUP(C835,STUDENTS!$A$5:$A$204,STUDENTS!$L$5:$L$204,""),"")</f>
        <v/>
      </c>
      <c r="F835" s="10" t="str">
        <f t="shared" si="37"/>
        <v/>
      </c>
      <c r="G835" s="8"/>
      <c r="H835" s="11" t="str">
        <f>IF(B835="","",IF(OR(F835="Saturday",F835="Sunday"),SETTINGS!$B$11,IF(G835="Vacation",SETTINGS!$B$13,0)))</f>
        <v/>
      </c>
      <c r="I835" s="12" t="str">
        <f t="shared" si="38"/>
        <v/>
      </c>
      <c r="J835" s="8"/>
    </row>
    <row r="836" spans="1:10" x14ac:dyDescent="0.2">
      <c r="A836" s="7" t="str">
        <f t="shared" si="36"/>
        <v/>
      </c>
      <c r="B836" s="9"/>
      <c r="C836" s="8"/>
      <c r="D836" s="10" t="str">
        <f ca="1">IFERROR(_xludf.XLOOKUP(C836,STUDENTS!$A$5:$A$204,STUDENTS!$C$5:$C$204,""),"")</f>
        <v/>
      </c>
      <c r="E836" s="10" t="str">
        <f ca="1">IFERROR(_xludf.XLOOKUP(C836,STUDENTS!$A$5:$A$204,STUDENTS!$L$5:$L$204,""),"")</f>
        <v/>
      </c>
      <c r="F836" s="10" t="str">
        <f t="shared" si="37"/>
        <v/>
      </c>
      <c r="G836" s="8"/>
      <c r="H836" s="11" t="str">
        <f>IF(B836="","",IF(OR(F836="Saturday",F836="Sunday"),SETTINGS!$B$11,IF(G836="Vacation",SETTINGS!$B$13,0)))</f>
        <v/>
      </c>
      <c r="I836" s="12" t="str">
        <f t="shared" si="38"/>
        <v/>
      </c>
      <c r="J836" s="8"/>
    </row>
    <row r="837" spans="1:10" x14ac:dyDescent="0.2">
      <c r="A837" s="7" t="str">
        <f t="shared" ref="A837:A900" si="39">IF(C837="","","F-"&amp;TEXT(ROW()-4,"00000"))</f>
        <v/>
      </c>
      <c r="B837" s="9"/>
      <c r="C837" s="8"/>
      <c r="D837" s="10" t="str">
        <f ca="1">IFERROR(_xludf.XLOOKUP(C837,STUDENTS!$A$5:$A$204,STUDENTS!$C$5:$C$204,""),"")</f>
        <v/>
      </c>
      <c r="E837" s="10" t="str">
        <f ca="1">IFERROR(_xludf.XLOOKUP(C837,STUDENTS!$A$5:$A$204,STUDENTS!$L$5:$L$204,""),"")</f>
        <v/>
      </c>
      <c r="F837" s="10" t="str">
        <f t="shared" ref="F837:F900" si="40">IF(B837="","",TEXT(B837,"dddd"))</f>
        <v/>
      </c>
      <c r="G837" s="8"/>
      <c r="H837" s="11" t="str">
        <f>IF(B837="","",IF(OR(F837="Saturday",F837="Sunday"),SETTINGS!$B$11,IF(G837="Vacation",SETTINGS!$B$13,0)))</f>
        <v/>
      </c>
      <c r="I837" s="12" t="str">
        <f t="shared" ref="I837:I900" si="41">IF(H837="","",H837)</f>
        <v/>
      </c>
      <c r="J837" s="8"/>
    </row>
    <row r="838" spans="1:10" x14ac:dyDescent="0.2">
      <c r="A838" s="7" t="str">
        <f t="shared" si="39"/>
        <v/>
      </c>
      <c r="B838" s="9"/>
      <c r="C838" s="8"/>
      <c r="D838" s="10" t="str">
        <f ca="1">IFERROR(_xludf.XLOOKUP(C838,STUDENTS!$A$5:$A$204,STUDENTS!$C$5:$C$204,""),"")</f>
        <v/>
      </c>
      <c r="E838" s="10" t="str">
        <f ca="1">IFERROR(_xludf.XLOOKUP(C838,STUDENTS!$A$5:$A$204,STUDENTS!$L$5:$L$204,""),"")</f>
        <v/>
      </c>
      <c r="F838" s="10" t="str">
        <f t="shared" si="40"/>
        <v/>
      </c>
      <c r="G838" s="8"/>
      <c r="H838" s="11" t="str">
        <f>IF(B838="","",IF(OR(F838="Saturday",F838="Sunday"),SETTINGS!$B$11,IF(G838="Vacation",SETTINGS!$B$13,0)))</f>
        <v/>
      </c>
      <c r="I838" s="12" t="str">
        <f t="shared" si="41"/>
        <v/>
      </c>
      <c r="J838" s="8"/>
    </row>
    <row r="839" spans="1:10" x14ac:dyDescent="0.2">
      <c r="A839" s="7" t="str">
        <f t="shared" si="39"/>
        <v/>
      </c>
      <c r="B839" s="9"/>
      <c r="C839" s="8"/>
      <c r="D839" s="10" t="str">
        <f ca="1">IFERROR(_xludf.XLOOKUP(C839,STUDENTS!$A$5:$A$204,STUDENTS!$C$5:$C$204,""),"")</f>
        <v/>
      </c>
      <c r="E839" s="10" t="str">
        <f ca="1">IFERROR(_xludf.XLOOKUP(C839,STUDENTS!$A$5:$A$204,STUDENTS!$L$5:$L$204,""),"")</f>
        <v/>
      </c>
      <c r="F839" s="10" t="str">
        <f t="shared" si="40"/>
        <v/>
      </c>
      <c r="G839" s="8"/>
      <c r="H839" s="11" t="str">
        <f>IF(B839="","",IF(OR(F839="Saturday",F839="Sunday"),SETTINGS!$B$11,IF(G839="Vacation",SETTINGS!$B$13,0)))</f>
        <v/>
      </c>
      <c r="I839" s="12" t="str">
        <f t="shared" si="41"/>
        <v/>
      </c>
      <c r="J839" s="8"/>
    </row>
    <row r="840" spans="1:10" x14ac:dyDescent="0.2">
      <c r="A840" s="7" t="str">
        <f t="shared" si="39"/>
        <v/>
      </c>
      <c r="B840" s="9"/>
      <c r="C840" s="8"/>
      <c r="D840" s="10" t="str">
        <f ca="1">IFERROR(_xludf.XLOOKUP(C840,STUDENTS!$A$5:$A$204,STUDENTS!$C$5:$C$204,""),"")</f>
        <v/>
      </c>
      <c r="E840" s="10" t="str">
        <f ca="1">IFERROR(_xludf.XLOOKUP(C840,STUDENTS!$A$5:$A$204,STUDENTS!$L$5:$L$204,""),"")</f>
        <v/>
      </c>
      <c r="F840" s="10" t="str">
        <f t="shared" si="40"/>
        <v/>
      </c>
      <c r="G840" s="8"/>
      <c r="H840" s="11" t="str">
        <f>IF(B840="","",IF(OR(F840="Saturday",F840="Sunday"),SETTINGS!$B$11,IF(G840="Vacation",SETTINGS!$B$13,0)))</f>
        <v/>
      </c>
      <c r="I840" s="12" t="str">
        <f t="shared" si="41"/>
        <v/>
      </c>
      <c r="J840" s="8"/>
    </row>
    <row r="841" spans="1:10" x14ac:dyDescent="0.2">
      <c r="A841" s="7" t="str">
        <f t="shared" si="39"/>
        <v/>
      </c>
      <c r="B841" s="9"/>
      <c r="C841" s="8"/>
      <c r="D841" s="10" t="str">
        <f ca="1">IFERROR(_xludf.XLOOKUP(C841,STUDENTS!$A$5:$A$204,STUDENTS!$C$5:$C$204,""),"")</f>
        <v/>
      </c>
      <c r="E841" s="10" t="str">
        <f ca="1">IFERROR(_xludf.XLOOKUP(C841,STUDENTS!$A$5:$A$204,STUDENTS!$L$5:$L$204,""),"")</f>
        <v/>
      </c>
      <c r="F841" s="10" t="str">
        <f t="shared" si="40"/>
        <v/>
      </c>
      <c r="G841" s="8"/>
      <c r="H841" s="11" t="str">
        <f>IF(B841="","",IF(OR(F841="Saturday",F841="Sunday"),SETTINGS!$B$11,IF(G841="Vacation",SETTINGS!$B$13,0)))</f>
        <v/>
      </c>
      <c r="I841" s="12" t="str">
        <f t="shared" si="41"/>
        <v/>
      </c>
      <c r="J841" s="8"/>
    </row>
    <row r="842" spans="1:10" x14ac:dyDescent="0.2">
      <c r="A842" s="7" t="str">
        <f t="shared" si="39"/>
        <v/>
      </c>
      <c r="B842" s="9"/>
      <c r="C842" s="8"/>
      <c r="D842" s="10" t="str">
        <f ca="1">IFERROR(_xludf.XLOOKUP(C842,STUDENTS!$A$5:$A$204,STUDENTS!$C$5:$C$204,""),"")</f>
        <v/>
      </c>
      <c r="E842" s="10" t="str">
        <f ca="1">IFERROR(_xludf.XLOOKUP(C842,STUDENTS!$A$5:$A$204,STUDENTS!$L$5:$L$204,""),"")</f>
        <v/>
      </c>
      <c r="F842" s="10" t="str">
        <f t="shared" si="40"/>
        <v/>
      </c>
      <c r="G842" s="8"/>
      <c r="H842" s="11" t="str">
        <f>IF(B842="","",IF(OR(F842="Saturday",F842="Sunday"),SETTINGS!$B$11,IF(G842="Vacation",SETTINGS!$B$13,0)))</f>
        <v/>
      </c>
      <c r="I842" s="12" t="str">
        <f t="shared" si="41"/>
        <v/>
      </c>
      <c r="J842" s="8"/>
    </row>
    <row r="843" spans="1:10" x14ac:dyDescent="0.2">
      <c r="A843" s="7" t="str">
        <f t="shared" si="39"/>
        <v/>
      </c>
      <c r="B843" s="9"/>
      <c r="C843" s="8"/>
      <c r="D843" s="10" t="str">
        <f ca="1">IFERROR(_xludf.XLOOKUP(C843,STUDENTS!$A$5:$A$204,STUDENTS!$C$5:$C$204,""),"")</f>
        <v/>
      </c>
      <c r="E843" s="10" t="str">
        <f ca="1">IFERROR(_xludf.XLOOKUP(C843,STUDENTS!$A$5:$A$204,STUDENTS!$L$5:$L$204,""),"")</f>
        <v/>
      </c>
      <c r="F843" s="10" t="str">
        <f t="shared" si="40"/>
        <v/>
      </c>
      <c r="G843" s="8"/>
      <c r="H843" s="11" t="str">
        <f>IF(B843="","",IF(OR(F843="Saturday",F843="Sunday"),SETTINGS!$B$11,IF(G843="Vacation",SETTINGS!$B$13,0)))</f>
        <v/>
      </c>
      <c r="I843" s="12" t="str">
        <f t="shared" si="41"/>
        <v/>
      </c>
      <c r="J843" s="8"/>
    </row>
    <row r="844" spans="1:10" x14ac:dyDescent="0.2">
      <c r="A844" s="7" t="str">
        <f t="shared" si="39"/>
        <v/>
      </c>
      <c r="B844" s="9"/>
      <c r="C844" s="8"/>
      <c r="D844" s="10" t="str">
        <f ca="1">IFERROR(_xludf.XLOOKUP(C844,STUDENTS!$A$5:$A$204,STUDENTS!$C$5:$C$204,""),"")</f>
        <v/>
      </c>
      <c r="E844" s="10" t="str">
        <f ca="1">IFERROR(_xludf.XLOOKUP(C844,STUDENTS!$A$5:$A$204,STUDENTS!$L$5:$L$204,""),"")</f>
        <v/>
      </c>
      <c r="F844" s="10" t="str">
        <f t="shared" si="40"/>
        <v/>
      </c>
      <c r="G844" s="8"/>
      <c r="H844" s="11" t="str">
        <f>IF(B844="","",IF(OR(F844="Saturday",F844="Sunday"),SETTINGS!$B$11,IF(G844="Vacation",SETTINGS!$B$13,0)))</f>
        <v/>
      </c>
      <c r="I844" s="12" t="str">
        <f t="shared" si="41"/>
        <v/>
      </c>
      <c r="J844" s="8"/>
    </row>
    <row r="845" spans="1:10" x14ac:dyDescent="0.2">
      <c r="A845" s="7" t="str">
        <f t="shared" si="39"/>
        <v/>
      </c>
      <c r="B845" s="9"/>
      <c r="C845" s="8"/>
      <c r="D845" s="10" t="str">
        <f ca="1">IFERROR(_xludf.XLOOKUP(C845,STUDENTS!$A$5:$A$204,STUDENTS!$C$5:$C$204,""),"")</f>
        <v/>
      </c>
      <c r="E845" s="10" t="str">
        <f ca="1">IFERROR(_xludf.XLOOKUP(C845,STUDENTS!$A$5:$A$204,STUDENTS!$L$5:$L$204,""),"")</f>
        <v/>
      </c>
      <c r="F845" s="10" t="str">
        <f t="shared" si="40"/>
        <v/>
      </c>
      <c r="G845" s="8"/>
      <c r="H845" s="11" t="str">
        <f>IF(B845="","",IF(OR(F845="Saturday",F845="Sunday"),SETTINGS!$B$11,IF(G845="Vacation",SETTINGS!$B$13,0)))</f>
        <v/>
      </c>
      <c r="I845" s="12" t="str">
        <f t="shared" si="41"/>
        <v/>
      </c>
      <c r="J845" s="8"/>
    </row>
    <row r="846" spans="1:10" x14ac:dyDescent="0.2">
      <c r="A846" s="7" t="str">
        <f t="shared" si="39"/>
        <v/>
      </c>
      <c r="B846" s="9"/>
      <c r="C846" s="8"/>
      <c r="D846" s="10" t="str">
        <f ca="1">IFERROR(_xludf.XLOOKUP(C846,STUDENTS!$A$5:$A$204,STUDENTS!$C$5:$C$204,""),"")</f>
        <v/>
      </c>
      <c r="E846" s="10" t="str">
        <f ca="1">IFERROR(_xludf.XLOOKUP(C846,STUDENTS!$A$5:$A$204,STUDENTS!$L$5:$L$204,""),"")</f>
        <v/>
      </c>
      <c r="F846" s="10" t="str">
        <f t="shared" si="40"/>
        <v/>
      </c>
      <c r="G846" s="8"/>
      <c r="H846" s="11" t="str">
        <f>IF(B846="","",IF(OR(F846="Saturday",F846="Sunday"),SETTINGS!$B$11,IF(G846="Vacation",SETTINGS!$B$13,0)))</f>
        <v/>
      </c>
      <c r="I846" s="12" t="str">
        <f t="shared" si="41"/>
        <v/>
      </c>
      <c r="J846" s="8"/>
    </row>
    <row r="847" spans="1:10" x14ac:dyDescent="0.2">
      <c r="A847" s="7" t="str">
        <f t="shared" si="39"/>
        <v/>
      </c>
      <c r="B847" s="9"/>
      <c r="C847" s="8"/>
      <c r="D847" s="10" t="str">
        <f ca="1">IFERROR(_xludf.XLOOKUP(C847,STUDENTS!$A$5:$A$204,STUDENTS!$C$5:$C$204,""),"")</f>
        <v/>
      </c>
      <c r="E847" s="10" t="str">
        <f ca="1">IFERROR(_xludf.XLOOKUP(C847,STUDENTS!$A$5:$A$204,STUDENTS!$L$5:$L$204,""),"")</f>
        <v/>
      </c>
      <c r="F847" s="10" t="str">
        <f t="shared" si="40"/>
        <v/>
      </c>
      <c r="G847" s="8"/>
      <c r="H847" s="11" t="str">
        <f>IF(B847="","",IF(OR(F847="Saturday",F847="Sunday"),SETTINGS!$B$11,IF(G847="Vacation",SETTINGS!$B$13,0)))</f>
        <v/>
      </c>
      <c r="I847" s="12" t="str">
        <f t="shared" si="41"/>
        <v/>
      </c>
      <c r="J847" s="8"/>
    </row>
    <row r="848" spans="1:10" x14ac:dyDescent="0.2">
      <c r="A848" s="7" t="str">
        <f t="shared" si="39"/>
        <v/>
      </c>
      <c r="B848" s="9"/>
      <c r="C848" s="8"/>
      <c r="D848" s="10" t="str">
        <f ca="1">IFERROR(_xludf.XLOOKUP(C848,STUDENTS!$A$5:$A$204,STUDENTS!$C$5:$C$204,""),"")</f>
        <v/>
      </c>
      <c r="E848" s="10" t="str">
        <f ca="1">IFERROR(_xludf.XLOOKUP(C848,STUDENTS!$A$5:$A$204,STUDENTS!$L$5:$L$204,""),"")</f>
        <v/>
      </c>
      <c r="F848" s="10" t="str">
        <f t="shared" si="40"/>
        <v/>
      </c>
      <c r="G848" s="8"/>
      <c r="H848" s="11" t="str">
        <f>IF(B848="","",IF(OR(F848="Saturday",F848="Sunday"),SETTINGS!$B$11,IF(G848="Vacation",SETTINGS!$B$13,0)))</f>
        <v/>
      </c>
      <c r="I848" s="12" t="str">
        <f t="shared" si="41"/>
        <v/>
      </c>
      <c r="J848" s="8"/>
    </row>
    <row r="849" spans="1:10" x14ac:dyDescent="0.2">
      <c r="A849" s="7" t="str">
        <f t="shared" si="39"/>
        <v/>
      </c>
      <c r="B849" s="9"/>
      <c r="C849" s="8"/>
      <c r="D849" s="10" t="str">
        <f ca="1">IFERROR(_xludf.XLOOKUP(C849,STUDENTS!$A$5:$A$204,STUDENTS!$C$5:$C$204,""),"")</f>
        <v/>
      </c>
      <c r="E849" s="10" t="str">
        <f ca="1">IFERROR(_xludf.XLOOKUP(C849,STUDENTS!$A$5:$A$204,STUDENTS!$L$5:$L$204,""),"")</f>
        <v/>
      </c>
      <c r="F849" s="10" t="str">
        <f t="shared" si="40"/>
        <v/>
      </c>
      <c r="G849" s="8"/>
      <c r="H849" s="11" t="str">
        <f>IF(B849="","",IF(OR(F849="Saturday",F849="Sunday"),SETTINGS!$B$11,IF(G849="Vacation",SETTINGS!$B$13,0)))</f>
        <v/>
      </c>
      <c r="I849" s="12" t="str">
        <f t="shared" si="41"/>
        <v/>
      </c>
      <c r="J849" s="8"/>
    </row>
    <row r="850" spans="1:10" x14ac:dyDescent="0.2">
      <c r="A850" s="7" t="str">
        <f t="shared" si="39"/>
        <v/>
      </c>
      <c r="B850" s="9"/>
      <c r="C850" s="8"/>
      <c r="D850" s="10" t="str">
        <f ca="1">IFERROR(_xludf.XLOOKUP(C850,STUDENTS!$A$5:$A$204,STUDENTS!$C$5:$C$204,""),"")</f>
        <v/>
      </c>
      <c r="E850" s="10" t="str">
        <f ca="1">IFERROR(_xludf.XLOOKUP(C850,STUDENTS!$A$5:$A$204,STUDENTS!$L$5:$L$204,""),"")</f>
        <v/>
      </c>
      <c r="F850" s="10" t="str">
        <f t="shared" si="40"/>
        <v/>
      </c>
      <c r="G850" s="8"/>
      <c r="H850" s="11" t="str">
        <f>IF(B850="","",IF(OR(F850="Saturday",F850="Sunday"),SETTINGS!$B$11,IF(G850="Vacation",SETTINGS!$B$13,0)))</f>
        <v/>
      </c>
      <c r="I850" s="12" t="str">
        <f t="shared" si="41"/>
        <v/>
      </c>
      <c r="J850" s="8"/>
    </row>
    <row r="851" spans="1:10" x14ac:dyDescent="0.2">
      <c r="A851" s="7" t="str">
        <f t="shared" si="39"/>
        <v/>
      </c>
      <c r="B851" s="9"/>
      <c r="C851" s="8"/>
      <c r="D851" s="10" t="str">
        <f ca="1">IFERROR(_xludf.XLOOKUP(C851,STUDENTS!$A$5:$A$204,STUDENTS!$C$5:$C$204,""),"")</f>
        <v/>
      </c>
      <c r="E851" s="10" t="str">
        <f ca="1">IFERROR(_xludf.XLOOKUP(C851,STUDENTS!$A$5:$A$204,STUDENTS!$L$5:$L$204,""),"")</f>
        <v/>
      </c>
      <c r="F851" s="10" t="str">
        <f t="shared" si="40"/>
        <v/>
      </c>
      <c r="G851" s="8"/>
      <c r="H851" s="11" t="str">
        <f>IF(B851="","",IF(OR(F851="Saturday",F851="Sunday"),SETTINGS!$B$11,IF(G851="Vacation",SETTINGS!$B$13,0)))</f>
        <v/>
      </c>
      <c r="I851" s="12" t="str">
        <f t="shared" si="41"/>
        <v/>
      </c>
      <c r="J851" s="8"/>
    </row>
    <row r="852" spans="1:10" x14ac:dyDescent="0.2">
      <c r="A852" s="7" t="str">
        <f t="shared" si="39"/>
        <v/>
      </c>
      <c r="B852" s="9"/>
      <c r="C852" s="8"/>
      <c r="D852" s="10" t="str">
        <f ca="1">IFERROR(_xludf.XLOOKUP(C852,STUDENTS!$A$5:$A$204,STUDENTS!$C$5:$C$204,""),"")</f>
        <v/>
      </c>
      <c r="E852" s="10" t="str">
        <f ca="1">IFERROR(_xludf.XLOOKUP(C852,STUDENTS!$A$5:$A$204,STUDENTS!$L$5:$L$204,""),"")</f>
        <v/>
      </c>
      <c r="F852" s="10" t="str">
        <f t="shared" si="40"/>
        <v/>
      </c>
      <c r="G852" s="8"/>
      <c r="H852" s="11" t="str">
        <f>IF(B852="","",IF(OR(F852="Saturday",F852="Sunday"),SETTINGS!$B$11,IF(G852="Vacation",SETTINGS!$B$13,0)))</f>
        <v/>
      </c>
      <c r="I852" s="12" t="str">
        <f t="shared" si="41"/>
        <v/>
      </c>
      <c r="J852" s="8"/>
    </row>
    <row r="853" spans="1:10" x14ac:dyDescent="0.2">
      <c r="A853" s="7" t="str">
        <f t="shared" si="39"/>
        <v/>
      </c>
      <c r="B853" s="9"/>
      <c r="C853" s="8"/>
      <c r="D853" s="10" t="str">
        <f ca="1">IFERROR(_xludf.XLOOKUP(C853,STUDENTS!$A$5:$A$204,STUDENTS!$C$5:$C$204,""),"")</f>
        <v/>
      </c>
      <c r="E853" s="10" t="str">
        <f ca="1">IFERROR(_xludf.XLOOKUP(C853,STUDENTS!$A$5:$A$204,STUDENTS!$L$5:$L$204,""),"")</f>
        <v/>
      </c>
      <c r="F853" s="10" t="str">
        <f t="shared" si="40"/>
        <v/>
      </c>
      <c r="G853" s="8"/>
      <c r="H853" s="11" t="str">
        <f>IF(B853="","",IF(OR(F853="Saturday",F853="Sunday"),SETTINGS!$B$11,IF(G853="Vacation",SETTINGS!$B$13,0)))</f>
        <v/>
      </c>
      <c r="I853" s="12" t="str">
        <f t="shared" si="41"/>
        <v/>
      </c>
      <c r="J853" s="8"/>
    </row>
    <row r="854" spans="1:10" x14ac:dyDescent="0.2">
      <c r="A854" s="7" t="str">
        <f t="shared" si="39"/>
        <v/>
      </c>
      <c r="B854" s="9"/>
      <c r="C854" s="8"/>
      <c r="D854" s="10" t="str">
        <f ca="1">IFERROR(_xludf.XLOOKUP(C854,STUDENTS!$A$5:$A$204,STUDENTS!$C$5:$C$204,""),"")</f>
        <v/>
      </c>
      <c r="E854" s="10" t="str">
        <f ca="1">IFERROR(_xludf.XLOOKUP(C854,STUDENTS!$A$5:$A$204,STUDENTS!$L$5:$L$204,""),"")</f>
        <v/>
      </c>
      <c r="F854" s="10" t="str">
        <f t="shared" si="40"/>
        <v/>
      </c>
      <c r="G854" s="8"/>
      <c r="H854" s="11" t="str">
        <f>IF(B854="","",IF(OR(F854="Saturday",F854="Sunday"),SETTINGS!$B$11,IF(G854="Vacation",SETTINGS!$B$13,0)))</f>
        <v/>
      </c>
      <c r="I854" s="12" t="str">
        <f t="shared" si="41"/>
        <v/>
      </c>
      <c r="J854" s="8"/>
    </row>
    <row r="855" spans="1:10" x14ac:dyDescent="0.2">
      <c r="A855" s="7" t="str">
        <f t="shared" si="39"/>
        <v/>
      </c>
      <c r="B855" s="9"/>
      <c r="C855" s="8"/>
      <c r="D855" s="10" t="str">
        <f ca="1">IFERROR(_xludf.XLOOKUP(C855,STUDENTS!$A$5:$A$204,STUDENTS!$C$5:$C$204,""),"")</f>
        <v/>
      </c>
      <c r="E855" s="10" t="str">
        <f ca="1">IFERROR(_xludf.XLOOKUP(C855,STUDENTS!$A$5:$A$204,STUDENTS!$L$5:$L$204,""),"")</f>
        <v/>
      </c>
      <c r="F855" s="10" t="str">
        <f t="shared" si="40"/>
        <v/>
      </c>
      <c r="G855" s="8"/>
      <c r="H855" s="11" t="str">
        <f>IF(B855="","",IF(OR(F855="Saturday",F855="Sunday"),SETTINGS!$B$11,IF(G855="Vacation",SETTINGS!$B$13,0)))</f>
        <v/>
      </c>
      <c r="I855" s="12" t="str">
        <f t="shared" si="41"/>
        <v/>
      </c>
      <c r="J855" s="8"/>
    </row>
    <row r="856" spans="1:10" x14ac:dyDescent="0.2">
      <c r="A856" s="7" t="str">
        <f t="shared" si="39"/>
        <v/>
      </c>
      <c r="B856" s="9"/>
      <c r="C856" s="8"/>
      <c r="D856" s="10" t="str">
        <f ca="1">IFERROR(_xludf.XLOOKUP(C856,STUDENTS!$A$5:$A$204,STUDENTS!$C$5:$C$204,""),"")</f>
        <v/>
      </c>
      <c r="E856" s="10" t="str">
        <f ca="1">IFERROR(_xludf.XLOOKUP(C856,STUDENTS!$A$5:$A$204,STUDENTS!$L$5:$L$204,""),"")</f>
        <v/>
      </c>
      <c r="F856" s="10" t="str">
        <f t="shared" si="40"/>
        <v/>
      </c>
      <c r="G856" s="8"/>
      <c r="H856" s="11" t="str">
        <f>IF(B856="","",IF(OR(F856="Saturday",F856="Sunday"),SETTINGS!$B$11,IF(G856="Vacation",SETTINGS!$B$13,0)))</f>
        <v/>
      </c>
      <c r="I856" s="12" t="str">
        <f t="shared" si="41"/>
        <v/>
      </c>
      <c r="J856" s="8"/>
    </row>
    <row r="857" spans="1:10" x14ac:dyDescent="0.2">
      <c r="A857" s="7" t="str">
        <f t="shared" si="39"/>
        <v/>
      </c>
      <c r="B857" s="9"/>
      <c r="C857" s="8"/>
      <c r="D857" s="10" t="str">
        <f ca="1">IFERROR(_xludf.XLOOKUP(C857,STUDENTS!$A$5:$A$204,STUDENTS!$C$5:$C$204,""),"")</f>
        <v/>
      </c>
      <c r="E857" s="10" t="str">
        <f ca="1">IFERROR(_xludf.XLOOKUP(C857,STUDENTS!$A$5:$A$204,STUDENTS!$L$5:$L$204,""),"")</f>
        <v/>
      </c>
      <c r="F857" s="10" t="str">
        <f t="shared" si="40"/>
        <v/>
      </c>
      <c r="G857" s="8"/>
      <c r="H857" s="11" t="str">
        <f>IF(B857="","",IF(OR(F857="Saturday",F857="Sunday"),SETTINGS!$B$11,IF(G857="Vacation",SETTINGS!$B$13,0)))</f>
        <v/>
      </c>
      <c r="I857" s="12" t="str">
        <f t="shared" si="41"/>
        <v/>
      </c>
      <c r="J857" s="8"/>
    </row>
    <row r="858" spans="1:10" x14ac:dyDescent="0.2">
      <c r="A858" s="7" t="str">
        <f t="shared" si="39"/>
        <v/>
      </c>
      <c r="B858" s="9"/>
      <c r="C858" s="8"/>
      <c r="D858" s="10" t="str">
        <f ca="1">IFERROR(_xludf.XLOOKUP(C858,STUDENTS!$A$5:$A$204,STUDENTS!$C$5:$C$204,""),"")</f>
        <v/>
      </c>
      <c r="E858" s="10" t="str">
        <f ca="1">IFERROR(_xludf.XLOOKUP(C858,STUDENTS!$A$5:$A$204,STUDENTS!$L$5:$L$204,""),"")</f>
        <v/>
      </c>
      <c r="F858" s="10" t="str">
        <f t="shared" si="40"/>
        <v/>
      </c>
      <c r="G858" s="8"/>
      <c r="H858" s="11" t="str">
        <f>IF(B858="","",IF(OR(F858="Saturday",F858="Sunday"),SETTINGS!$B$11,IF(G858="Vacation",SETTINGS!$B$13,0)))</f>
        <v/>
      </c>
      <c r="I858" s="12" t="str">
        <f t="shared" si="41"/>
        <v/>
      </c>
      <c r="J858" s="8"/>
    </row>
    <row r="859" spans="1:10" x14ac:dyDescent="0.2">
      <c r="A859" s="7" t="str">
        <f t="shared" si="39"/>
        <v/>
      </c>
      <c r="B859" s="9"/>
      <c r="C859" s="8"/>
      <c r="D859" s="10" t="str">
        <f ca="1">IFERROR(_xludf.XLOOKUP(C859,STUDENTS!$A$5:$A$204,STUDENTS!$C$5:$C$204,""),"")</f>
        <v/>
      </c>
      <c r="E859" s="10" t="str">
        <f ca="1">IFERROR(_xludf.XLOOKUP(C859,STUDENTS!$A$5:$A$204,STUDENTS!$L$5:$L$204,""),"")</f>
        <v/>
      </c>
      <c r="F859" s="10" t="str">
        <f t="shared" si="40"/>
        <v/>
      </c>
      <c r="G859" s="8"/>
      <c r="H859" s="11" t="str">
        <f>IF(B859="","",IF(OR(F859="Saturday",F859="Sunday"),SETTINGS!$B$11,IF(G859="Vacation",SETTINGS!$B$13,0)))</f>
        <v/>
      </c>
      <c r="I859" s="12" t="str">
        <f t="shared" si="41"/>
        <v/>
      </c>
      <c r="J859" s="8"/>
    </row>
    <row r="860" spans="1:10" x14ac:dyDescent="0.2">
      <c r="A860" s="7" t="str">
        <f t="shared" si="39"/>
        <v/>
      </c>
      <c r="B860" s="9"/>
      <c r="C860" s="8"/>
      <c r="D860" s="10" t="str">
        <f ca="1">IFERROR(_xludf.XLOOKUP(C860,STUDENTS!$A$5:$A$204,STUDENTS!$C$5:$C$204,""),"")</f>
        <v/>
      </c>
      <c r="E860" s="10" t="str">
        <f ca="1">IFERROR(_xludf.XLOOKUP(C860,STUDENTS!$A$5:$A$204,STUDENTS!$L$5:$L$204,""),"")</f>
        <v/>
      </c>
      <c r="F860" s="10" t="str">
        <f t="shared" si="40"/>
        <v/>
      </c>
      <c r="G860" s="8"/>
      <c r="H860" s="11" t="str">
        <f>IF(B860="","",IF(OR(F860="Saturday",F860="Sunday"),SETTINGS!$B$11,IF(G860="Vacation",SETTINGS!$B$13,0)))</f>
        <v/>
      </c>
      <c r="I860" s="12" t="str">
        <f t="shared" si="41"/>
        <v/>
      </c>
      <c r="J860" s="8"/>
    </row>
    <row r="861" spans="1:10" x14ac:dyDescent="0.2">
      <c r="A861" s="7" t="str">
        <f t="shared" si="39"/>
        <v/>
      </c>
      <c r="B861" s="9"/>
      <c r="C861" s="8"/>
      <c r="D861" s="10" t="str">
        <f ca="1">IFERROR(_xludf.XLOOKUP(C861,STUDENTS!$A$5:$A$204,STUDENTS!$C$5:$C$204,""),"")</f>
        <v/>
      </c>
      <c r="E861" s="10" t="str">
        <f ca="1">IFERROR(_xludf.XLOOKUP(C861,STUDENTS!$A$5:$A$204,STUDENTS!$L$5:$L$204,""),"")</f>
        <v/>
      </c>
      <c r="F861" s="10" t="str">
        <f t="shared" si="40"/>
        <v/>
      </c>
      <c r="G861" s="8"/>
      <c r="H861" s="11" t="str">
        <f>IF(B861="","",IF(OR(F861="Saturday",F861="Sunday"),SETTINGS!$B$11,IF(G861="Vacation",SETTINGS!$B$13,0)))</f>
        <v/>
      </c>
      <c r="I861" s="12" t="str">
        <f t="shared" si="41"/>
        <v/>
      </c>
      <c r="J861" s="8"/>
    </row>
    <row r="862" spans="1:10" x14ac:dyDescent="0.2">
      <c r="A862" s="7" t="str">
        <f t="shared" si="39"/>
        <v/>
      </c>
      <c r="B862" s="9"/>
      <c r="C862" s="8"/>
      <c r="D862" s="10" t="str">
        <f ca="1">IFERROR(_xludf.XLOOKUP(C862,STUDENTS!$A$5:$A$204,STUDENTS!$C$5:$C$204,""),"")</f>
        <v/>
      </c>
      <c r="E862" s="10" t="str">
        <f ca="1">IFERROR(_xludf.XLOOKUP(C862,STUDENTS!$A$5:$A$204,STUDENTS!$L$5:$L$204,""),"")</f>
        <v/>
      </c>
      <c r="F862" s="10" t="str">
        <f t="shared" si="40"/>
        <v/>
      </c>
      <c r="G862" s="8"/>
      <c r="H862" s="11" t="str">
        <f>IF(B862="","",IF(OR(F862="Saturday",F862="Sunday"),SETTINGS!$B$11,IF(G862="Vacation",SETTINGS!$B$13,0)))</f>
        <v/>
      </c>
      <c r="I862" s="12" t="str">
        <f t="shared" si="41"/>
        <v/>
      </c>
      <c r="J862" s="8"/>
    </row>
    <row r="863" spans="1:10" x14ac:dyDescent="0.2">
      <c r="A863" s="7" t="str">
        <f t="shared" si="39"/>
        <v/>
      </c>
      <c r="B863" s="9"/>
      <c r="C863" s="8"/>
      <c r="D863" s="10" t="str">
        <f ca="1">IFERROR(_xludf.XLOOKUP(C863,STUDENTS!$A$5:$A$204,STUDENTS!$C$5:$C$204,""),"")</f>
        <v/>
      </c>
      <c r="E863" s="10" t="str">
        <f ca="1">IFERROR(_xludf.XLOOKUP(C863,STUDENTS!$A$5:$A$204,STUDENTS!$L$5:$L$204,""),"")</f>
        <v/>
      </c>
      <c r="F863" s="10" t="str">
        <f t="shared" si="40"/>
        <v/>
      </c>
      <c r="G863" s="8"/>
      <c r="H863" s="11" t="str">
        <f>IF(B863="","",IF(OR(F863="Saturday",F863="Sunday"),SETTINGS!$B$11,IF(G863="Vacation",SETTINGS!$B$13,0)))</f>
        <v/>
      </c>
      <c r="I863" s="12" t="str">
        <f t="shared" si="41"/>
        <v/>
      </c>
      <c r="J863" s="8"/>
    </row>
    <row r="864" spans="1:10" x14ac:dyDescent="0.2">
      <c r="A864" s="7" t="str">
        <f t="shared" si="39"/>
        <v/>
      </c>
      <c r="B864" s="9"/>
      <c r="C864" s="8"/>
      <c r="D864" s="10" t="str">
        <f ca="1">IFERROR(_xludf.XLOOKUP(C864,STUDENTS!$A$5:$A$204,STUDENTS!$C$5:$C$204,""),"")</f>
        <v/>
      </c>
      <c r="E864" s="10" t="str">
        <f ca="1">IFERROR(_xludf.XLOOKUP(C864,STUDENTS!$A$5:$A$204,STUDENTS!$L$5:$L$204,""),"")</f>
        <v/>
      </c>
      <c r="F864" s="10" t="str">
        <f t="shared" si="40"/>
        <v/>
      </c>
      <c r="G864" s="8"/>
      <c r="H864" s="11" t="str">
        <f>IF(B864="","",IF(OR(F864="Saturday",F864="Sunday"),SETTINGS!$B$11,IF(G864="Vacation",SETTINGS!$B$13,0)))</f>
        <v/>
      </c>
      <c r="I864" s="12" t="str">
        <f t="shared" si="41"/>
        <v/>
      </c>
      <c r="J864" s="8"/>
    </row>
    <row r="865" spans="1:10" x14ac:dyDescent="0.2">
      <c r="A865" s="7" t="str">
        <f t="shared" si="39"/>
        <v/>
      </c>
      <c r="B865" s="9"/>
      <c r="C865" s="8"/>
      <c r="D865" s="10" t="str">
        <f ca="1">IFERROR(_xludf.XLOOKUP(C865,STUDENTS!$A$5:$A$204,STUDENTS!$C$5:$C$204,""),"")</f>
        <v/>
      </c>
      <c r="E865" s="10" t="str">
        <f ca="1">IFERROR(_xludf.XLOOKUP(C865,STUDENTS!$A$5:$A$204,STUDENTS!$L$5:$L$204,""),"")</f>
        <v/>
      </c>
      <c r="F865" s="10" t="str">
        <f t="shared" si="40"/>
        <v/>
      </c>
      <c r="G865" s="8"/>
      <c r="H865" s="11" t="str">
        <f>IF(B865="","",IF(OR(F865="Saturday",F865="Sunday"),SETTINGS!$B$11,IF(G865="Vacation",SETTINGS!$B$13,0)))</f>
        <v/>
      </c>
      <c r="I865" s="12" t="str">
        <f t="shared" si="41"/>
        <v/>
      </c>
      <c r="J865" s="8"/>
    </row>
    <row r="866" spans="1:10" x14ac:dyDescent="0.2">
      <c r="A866" s="7" t="str">
        <f t="shared" si="39"/>
        <v/>
      </c>
      <c r="B866" s="9"/>
      <c r="C866" s="8"/>
      <c r="D866" s="10" t="str">
        <f ca="1">IFERROR(_xludf.XLOOKUP(C866,STUDENTS!$A$5:$A$204,STUDENTS!$C$5:$C$204,""),"")</f>
        <v/>
      </c>
      <c r="E866" s="10" t="str">
        <f ca="1">IFERROR(_xludf.XLOOKUP(C866,STUDENTS!$A$5:$A$204,STUDENTS!$L$5:$L$204,""),"")</f>
        <v/>
      </c>
      <c r="F866" s="10" t="str">
        <f t="shared" si="40"/>
        <v/>
      </c>
      <c r="G866" s="8"/>
      <c r="H866" s="11" t="str">
        <f>IF(B866="","",IF(OR(F866="Saturday",F866="Sunday"),SETTINGS!$B$11,IF(G866="Vacation",SETTINGS!$B$13,0)))</f>
        <v/>
      </c>
      <c r="I866" s="12" t="str">
        <f t="shared" si="41"/>
        <v/>
      </c>
      <c r="J866" s="8"/>
    </row>
    <row r="867" spans="1:10" x14ac:dyDescent="0.2">
      <c r="A867" s="7" t="str">
        <f t="shared" si="39"/>
        <v/>
      </c>
      <c r="B867" s="9"/>
      <c r="C867" s="8"/>
      <c r="D867" s="10" t="str">
        <f ca="1">IFERROR(_xludf.XLOOKUP(C867,STUDENTS!$A$5:$A$204,STUDENTS!$C$5:$C$204,""),"")</f>
        <v/>
      </c>
      <c r="E867" s="10" t="str">
        <f ca="1">IFERROR(_xludf.XLOOKUP(C867,STUDENTS!$A$5:$A$204,STUDENTS!$L$5:$L$204,""),"")</f>
        <v/>
      </c>
      <c r="F867" s="10" t="str">
        <f t="shared" si="40"/>
        <v/>
      </c>
      <c r="G867" s="8"/>
      <c r="H867" s="11" t="str">
        <f>IF(B867="","",IF(OR(F867="Saturday",F867="Sunday"),SETTINGS!$B$11,IF(G867="Vacation",SETTINGS!$B$13,0)))</f>
        <v/>
      </c>
      <c r="I867" s="12" t="str">
        <f t="shared" si="41"/>
        <v/>
      </c>
      <c r="J867" s="8"/>
    </row>
    <row r="868" spans="1:10" x14ac:dyDescent="0.2">
      <c r="A868" s="7" t="str">
        <f t="shared" si="39"/>
        <v/>
      </c>
      <c r="B868" s="9"/>
      <c r="C868" s="8"/>
      <c r="D868" s="10" t="str">
        <f ca="1">IFERROR(_xludf.XLOOKUP(C868,STUDENTS!$A$5:$A$204,STUDENTS!$C$5:$C$204,""),"")</f>
        <v/>
      </c>
      <c r="E868" s="10" t="str">
        <f ca="1">IFERROR(_xludf.XLOOKUP(C868,STUDENTS!$A$5:$A$204,STUDENTS!$L$5:$L$204,""),"")</f>
        <v/>
      </c>
      <c r="F868" s="10" t="str">
        <f t="shared" si="40"/>
        <v/>
      </c>
      <c r="G868" s="8"/>
      <c r="H868" s="11" t="str">
        <f>IF(B868="","",IF(OR(F868="Saturday",F868="Sunday"),SETTINGS!$B$11,IF(G868="Vacation",SETTINGS!$B$13,0)))</f>
        <v/>
      </c>
      <c r="I868" s="12" t="str">
        <f t="shared" si="41"/>
        <v/>
      </c>
      <c r="J868" s="8"/>
    </row>
    <row r="869" spans="1:10" x14ac:dyDescent="0.2">
      <c r="A869" s="7" t="str">
        <f t="shared" si="39"/>
        <v/>
      </c>
      <c r="B869" s="9"/>
      <c r="C869" s="8"/>
      <c r="D869" s="10" t="str">
        <f ca="1">IFERROR(_xludf.XLOOKUP(C869,STUDENTS!$A$5:$A$204,STUDENTS!$C$5:$C$204,""),"")</f>
        <v/>
      </c>
      <c r="E869" s="10" t="str">
        <f ca="1">IFERROR(_xludf.XLOOKUP(C869,STUDENTS!$A$5:$A$204,STUDENTS!$L$5:$L$204,""),"")</f>
        <v/>
      </c>
      <c r="F869" s="10" t="str">
        <f t="shared" si="40"/>
        <v/>
      </c>
      <c r="G869" s="8"/>
      <c r="H869" s="11" t="str">
        <f>IF(B869="","",IF(OR(F869="Saturday",F869="Sunday"),SETTINGS!$B$11,IF(G869="Vacation",SETTINGS!$B$13,0)))</f>
        <v/>
      </c>
      <c r="I869" s="12" t="str">
        <f t="shared" si="41"/>
        <v/>
      </c>
      <c r="J869" s="8"/>
    </row>
    <row r="870" spans="1:10" x14ac:dyDescent="0.2">
      <c r="A870" s="7" t="str">
        <f t="shared" si="39"/>
        <v/>
      </c>
      <c r="B870" s="9"/>
      <c r="C870" s="8"/>
      <c r="D870" s="10" t="str">
        <f ca="1">IFERROR(_xludf.XLOOKUP(C870,STUDENTS!$A$5:$A$204,STUDENTS!$C$5:$C$204,""),"")</f>
        <v/>
      </c>
      <c r="E870" s="10" t="str">
        <f ca="1">IFERROR(_xludf.XLOOKUP(C870,STUDENTS!$A$5:$A$204,STUDENTS!$L$5:$L$204,""),"")</f>
        <v/>
      </c>
      <c r="F870" s="10" t="str">
        <f t="shared" si="40"/>
        <v/>
      </c>
      <c r="G870" s="8"/>
      <c r="H870" s="11" t="str">
        <f>IF(B870="","",IF(OR(F870="Saturday",F870="Sunday"),SETTINGS!$B$11,IF(G870="Vacation",SETTINGS!$B$13,0)))</f>
        <v/>
      </c>
      <c r="I870" s="12" t="str">
        <f t="shared" si="41"/>
        <v/>
      </c>
      <c r="J870" s="8"/>
    </row>
    <row r="871" spans="1:10" x14ac:dyDescent="0.2">
      <c r="A871" s="7" t="str">
        <f t="shared" si="39"/>
        <v/>
      </c>
      <c r="B871" s="9"/>
      <c r="C871" s="8"/>
      <c r="D871" s="10" t="str">
        <f ca="1">IFERROR(_xludf.XLOOKUP(C871,STUDENTS!$A$5:$A$204,STUDENTS!$C$5:$C$204,""),"")</f>
        <v/>
      </c>
      <c r="E871" s="10" t="str">
        <f ca="1">IFERROR(_xludf.XLOOKUP(C871,STUDENTS!$A$5:$A$204,STUDENTS!$L$5:$L$204,""),"")</f>
        <v/>
      </c>
      <c r="F871" s="10" t="str">
        <f t="shared" si="40"/>
        <v/>
      </c>
      <c r="G871" s="8"/>
      <c r="H871" s="11" t="str">
        <f>IF(B871="","",IF(OR(F871="Saturday",F871="Sunday"),SETTINGS!$B$11,IF(G871="Vacation",SETTINGS!$B$13,0)))</f>
        <v/>
      </c>
      <c r="I871" s="12" t="str">
        <f t="shared" si="41"/>
        <v/>
      </c>
      <c r="J871" s="8"/>
    </row>
    <row r="872" spans="1:10" x14ac:dyDescent="0.2">
      <c r="A872" s="7" t="str">
        <f t="shared" si="39"/>
        <v/>
      </c>
      <c r="B872" s="9"/>
      <c r="C872" s="8"/>
      <c r="D872" s="10" t="str">
        <f ca="1">IFERROR(_xludf.XLOOKUP(C872,STUDENTS!$A$5:$A$204,STUDENTS!$C$5:$C$204,""),"")</f>
        <v/>
      </c>
      <c r="E872" s="10" t="str">
        <f ca="1">IFERROR(_xludf.XLOOKUP(C872,STUDENTS!$A$5:$A$204,STUDENTS!$L$5:$L$204,""),"")</f>
        <v/>
      </c>
      <c r="F872" s="10" t="str">
        <f t="shared" si="40"/>
        <v/>
      </c>
      <c r="G872" s="8"/>
      <c r="H872" s="11" t="str">
        <f>IF(B872="","",IF(OR(F872="Saturday",F872="Sunday"),SETTINGS!$B$11,IF(G872="Vacation",SETTINGS!$B$13,0)))</f>
        <v/>
      </c>
      <c r="I872" s="12" t="str">
        <f t="shared" si="41"/>
        <v/>
      </c>
      <c r="J872" s="8"/>
    </row>
    <row r="873" spans="1:10" x14ac:dyDescent="0.2">
      <c r="A873" s="7" t="str">
        <f t="shared" si="39"/>
        <v/>
      </c>
      <c r="B873" s="9"/>
      <c r="C873" s="8"/>
      <c r="D873" s="10" t="str">
        <f ca="1">IFERROR(_xludf.XLOOKUP(C873,STUDENTS!$A$5:$A$204,STUDENTS!$C$5:$C$204,""),"")</f>
        <v/>
      </c>
      <c r="E873" s="10" t="str">
        <f ca="1">IFERROR(_xludf.XLOOKUP(C873,STUDENTS!$A$5:$A$204,STUDENTS!$L$5:$L$204,""),"")</f>
        <v/>
      </c>
      <c r="F873" s="10" t="str">
        <f t="shared" si="40"/>
        <v/>
      </c>
      <c r="G873" s="8"/>
      <c r="H873" s="11" t="str">
        <f>IF(B873="","",IF(OR(F873="Saturday",F873="Sunday"),SETTINGS!$B$11,IF(G873="Vacation",SETTINGS!$B$13,0)))</f>
        <v/>
      </c>
      <c r="I873" s="12" t="str">
        <f t="shared" si="41"/>
        <v/>
      </c>
      <c r="J873" s="8"/>
    </row>
    <row r="874" spans="1:10" x14ac:dyDescent="0.2">
      <c r="A874" s="7" t="str">
        <f t="shared" si="39"/>
        <v/>
      </c>
      <c r="B874" s="9"/>
      <c r="C874" s="8"/>
      <c r="D874" s="10" t="str">
        <f ca="1">IFERROR(_xludf.XLOOKUP(C874,STUDENTS!$A$5:$A$204,STUDENTS!$C$5:$C$204,""),"")</f>
        <v/>
      </c>
      <c r="E874" s="10" t="str">
        <f ca="1">IFERROR(_xludf.XLOOKUP(C874,STUDENTS!$A$5:$A$204,STUDENTS!$L$5:$L$204,""),"")</f>
        <v/>
      </c>
      <c r="F874" s="10" t="str">
        <f t="shared" si="40"/>
        <v/>
      </c>
      <c r="G874" s="8"/>
      <c r="H874" s="11" t="str">
        <f>IF(B874="","",IF(OR(F874="Saturday",F874="Sunday"),SETTINGS!$B$11,IF(G874="Vacation",SETTINGS!$B$13,0)))</f>
        <v/>
      </c>
      <c r="I874" s="12" t="str">
        <f t="shared" si="41"/>
        <v/>
      </c>
      <c r="J874" s="8"/>
    </row>
    <row r="875" spans="1:10" x14ac:dyDescent="0.2">
      <c r="A875" s="7" t="str">
        <f t="shared" si="39"/>
        <v/>
      </c>
      <c r="B875" s="9"/>
      <c r="C875" s="8"/>
      <c r="D875" s="10" t="str">
        <f ca="1">IFERROR(_xludf.XLOOKUP(C875,STUDENTS!$A$5:$A$204,STUDENTS!$C$5:$C$204,""),"")</f>
        <v/>
      </c>
      <c r="E875" s="10" t="str">
        <f ca="1">IFERROR(_xludf.XLOOKUP(C875,STUDENTS!$A$5:$A$204,STUDENTS!$L$5:$L$204,""),"")</f>
        <v/>
      </c>
      <c r="F875" s="10" t="str">
        <f t="shared" si="40"/>
        <v/>
      </c>
      <c r="G875" s="8"/>
      <c r="H875" s="11" t="str">
        <f>IF(B875="","",IF(OR(F875="Saturday",F875="Sunday"),SETTINGS!$B$11,IF(G875="Vacation",SETTINGS!$B$13,0)))</f>
        <v/>
      </c>
      <c r="I875" s="12" t="str">
        <f t="shared" si="41"/>
        <v/>
      </c>
      <c r="J875" s="8"/>
    </row>
    <row r="876" spans="1:10" x14ac:dyDescent="0.2">
      <c r="A876" s="7" t="str">
        <f t="shared" si="39"/>
        <v/>
      </c>
      <c r="B876" s="9"/>
      <c r="C876" s="8"/>
      <c r="D876" s="10" t="str">
        <f ca="1">IFERROR(_xludf.XLOOKUP(C876,STUDENTS!$A$5:$A$204,STUDENTS!$C$5:$C$204,""),"")</f>
        <v/>
      </c>
      <c r="E876" s="10" t="str">
        <f ca="1">IFERROR(_xludf.XLOOKUP(C876,STUDENTS!$A$5:$A$204,STUDENTS!$L$5:$L$204,""),"")</f>
        <v/>
      </c>
      <c r="F876" s="10" t="str">
        <f t="shared" si="40"/>
        <v/>
      </c>
      <c r="G876" s="8"/>
      <c r="H876" s="11" t="str">
        <f>IF(B876="","",IF(OR(F876="Saturday",F876="Sunday"),SETTINGS!$B$11,IF(G876="Vacation",SETTINGS!$B$13,0)))</f>
        <v/>
      </c>
      <c r="I876" s="12" t="str">
        <f t="shared" si="41"/>
        <v/>
      </c>
      <c r="J876" s="8"/>
    </row>
    <row r="877" spans="1:10" x14ac:dyDescent="0.2">
      <c r="A877" s="7" t="str">
        <f t="shared" si="39"/>
        <v/>
      </c>
      <c r="B877" s="9"/>
      <c r="C877" s="8"/>
      <c r="D877" s="10" t="str">
        <f ca="1">IFERROR(_xludf.XLOOKUP(C877,STUDENTS!$A$5:$A$204,STUDENTS!$C$5:$C$204,""),"")</f>
        <v/>
      </c>
      <c r="E877" s="10" t="str">
        <f ca="1">IFERROR(_xludf.XLOOKUP(C877,STUDENTS!$A$5:$A$204,STUDENTS!$L$5:$L$204,""),"")</f>
        <v/>
      </c>
      <c r="F877" s="10" t="str">
        <f t="shared" si="40"/>
        <v/>
      </c>
      <c r="G877" s="8"/>
      <c r="H877" s="11" t="str">
        <f>IF(B877="","",IF(OR(F877="Saturday",F877="Sunday"),SETTINGS!$B$11,IF(G877="Vacation",SETTINGS!$B$13,0)))</f>
        <v/>
      </c>
      <c r="I877" s="12" t="str">
        <f t="shared" si="41"/>
        <v/>
      </c>
      <c r="J877" s="8"/>
    </row>
    <row r="878" spans="1:10" x14ac:dyDescent="0.2">
      <c r="A878" s="7" t="str">
        <f t="shared" si="39"/>
        <v/>
      </c>
      <c r="B878" s="9"/>
      <c r="C878" s="8"/>
      <c r="D878" s="10" t="str">
        <f ca="1">IFERROR(_xludf.XLOOKUP(C878,STUDENTS!$A$5:$A$204,STUDENTS!$C$5:$C$204,""),"")</f>
        <v/>
      </c>
      <c r="E878" s="10" t="str">
        <f ca="1">IFERROR(_xludf.XLOOKUP(C878,STUDENTS!$A$5:$A$204,STUDENTS!$L$5:$L$204,""),"")</f>
        <v/>
      </c>
      <c r="F878" s="10" t="str">
        <f t="shared" si="40"/>
        <v/>
      </c>
      <c r="G878" s="8"/>
      <c r="H878" s="11" t="str">
        <f>IF(B878="","",IF(OR(F878="Saturday",F878="Sunday"),SETTINGS!$B$11,IF(G878="Vacation",SETTINGS!$B$13,0)))</f>
        <v/>
      </c>
      <c r="I878" s="12" t="str">
        <f t="shared" si="41"/>
        <v/>
      </c>
      <c r="J878" s="8"/>
    </row>
    <row r="879" spans="1:10" x14ac:dyDescent="0.2">
      <c r="A879" s="7" t="str">
        <f t="shared" si="39"/>
        <v/>
      </c>
      <c r="B879" s="9"/>
      <c r="C879" s="8"/>
      <c r="D879" s="10" t="str">
        <f ca="1">IFERROR(_xludf.XLOOKUP(C879,STUDENTS!$A$5:$A$204,STUDENTS!$C$5:$C$204,""),"")</f>
        <v/>
      </c>
      <c r="E879" s="10" t="str">
        <f ca="1">IFERROR(_xludf.XLOOKUP(C879,STUDENTS!$A$5:$A$204,STUDENTS!$L$5:$L$204,""),"")</f>
        <v/>
      </c>
      <c r="F879" s="10" t="str">
        <f t="shared" si="40"/>
        <v/>
      </c>
      <c r="G879" s="8"/>
      <c r="H879" s="11" t="str">
        <f>IF(B879="","",IF(OR(F879="Saturday",F879="Sunday"),SETTINGS!$B$11,IF(G879="Vacation",SETTINGS!$B$13,0)))</f>
        <v/>
      </c>
      <c r="I879" s="12" t="str">
        <f t="shared" si="41"/>
        <v/>
      </c>
      <c r="J879" s="8"/>
    </row>
    <row r="880" spans="1:10" x14ac:dyDescent="0.2">
      <c r="A880" s="7" t="str">
        <f t="shared" si="39"/>
        <v/>
      </c>
      <c r="B880" s="9"/>
      <c r="C880" s="8"/>
      <c r="D880" s="10" t="str">
        <f ca="1">IFERROR(_xludf.XLOOKUP(C880,STUDENTS!$A$5:$A$204,STUDENTS!$C$5:$C$204,""),"")</f>
        <v/>
      </c>
      <c r="E880" s="10" t="str">
        <f ca="1">IFERROR(_xludf.XLOOKUP(C880,STUDENTS!$A$5:$A$204,STUDENTS!$L$5:$L$204,""),"")</f>
        <v/>
      </c>
      <c r="F880" s="10" t="str">
        <f t="shared" si="40"/>
        <v/>
      </c>
      <c r="G880" s="8"/>
      <c r="H880" s="11" t="str">
        <f>IF(B880="","",IF(OR(F880="Saturday",F880="Sunday"),SETTINGS!$B$11,IF(G880="Vacation",SETTINGS!$B$13,0)))</f>
        <v/>
      </c>
      <c r="I880" s="12" t="str">
        <f t="shared" si="41"/>
        <v/>
      </c>
      <c r="J880" s="8"/>
    </row>
    <row r="881" spans="1:10" x14ac:dyDescent="0.2">
      <c r="A881" s="7" t="str">
        <f t="shared" si="39"/>
        <v/>
      </c>
      <c r="B881" s="9"/>
      <c r="C881" s="8"/>
      <c r="D881" s="10" t="str">
        <f ca="1">IFERROR(_xludf.XLOOKUP(C881,STUDENTS!$A$5:$A$204,STUDENTS!$C$5:$C$204,""),"")</f>
        <v/>
      </c>
      <c r="E881" s="10" t="str">
        <f ca="1">IFERROR(_xludf.XLOOKUP(C881,STUDENTS!$A$5:$A$204,STUDENTS!$L$5:$L$204,""),"")</f>
        <v/>
      </c>
      <c r="F881" s="10" t="str">
        <f t="shared" si="40"/>
        <v/>
      </c>
      <c r="G881" s="8"/>
      <c r="H881" s="11" t="str">
        <f>IF(B881="","",IF(OR(F881="Saturday",F881="Sunday"),SETTINGS!$B$11,IF(G881="Vacation",SETTINGS!$B$13,0)))</f>
        <v/>
      </c>
      <c r="I881" s="12" t="str">
        <f t="shared" si="41"/>
        <v/>
      </c>
      <c r="J881" s="8"/>
    </row>
    <row r="882" spans="1:10" x14ac:dyDescent="0.2">
      <c r="A882" s="7" t="str">
        <f t="shared" si="39"/>
        <v/>
      </c>
      <c r="B882" s="9"/>
      <c r="C882" s="8"/>
      <c r="D882" s="10" t="str">
        <f ca="1">IFERROR(_xludf.XLOOKUP(C882,STUDENTS!$A$5:$A$204,STUDENTS!$C$5:$C$204,""),"")</f>
        <v/>
      </c>
      <c r="E882" s="10" t="str">
        <f ca="1">IFERROR(_xludf.XLOOKUP(C882,STUDENTS!$A$5:$A$204,STUDENTS!$L$5:$L$204,""),"")</f>
        <v/>
      </c>
      <c r="F882" s="10" t="str">
        <f t="shared" si="40"/>
        <v/>
      </c>
      <c r="G882" s="8"/>
      <c r="H882" s="11" t="str">
        <f>IF(B882="","",IF(OR(F882="Saturday",F882="Sunday"),SETTINGS!$B$11,IF(G882="Vacation",SETTINGS!$B$13,0)))</f>
        <v/>
      </c>
      <c r="I882" s="12" t="str">
        <f t="shared" si="41"/>
        <v/>
      </c>
      <c r="J882" s="8"/>
    </row>
    <row r="883" spans="1:10" x14ac:dyDescent="0.2">
      <c r="A883" s="7" t="str">
        <f t="shared" si="39"/>
        <v/>
      </c>
      <c r="B883" s="9"/>
      <c r="C883" s="8"/>
      <c r="D883" s="10" t="str">
        <f ca="1">IFERROR(_xludf.XLOOKUP(C883,STUDENTS!$A$5:$A$204,STUDENTS!$C$5:$C$204,""),"")</f>
        <v/>
      </c>
      <c r="E883" s="10" t="str">
        <f ca="1">IFERROR(_xludf.XLOOKUP(C883,STUDENTS!$A$5:$A$204,STUDENTS!$L$5:$L$204,""),"")</f>
        <v/>
      </c>
      <c r="F883" s="10" t="str">
        <f t="shared" si="40"/>
        <v/>
      </c>
      <c r="G883" s="8"/>
      <c r="H883" s="11" t="str">
        <f>IF(B883="","",IF(OR(F883="Saturday",F883="Sunday"),SETTINGS!$B$11,IF(G883="Vacation",SETTINGS!$B$13,0)))</f>
        <v/>
      </c>
      <c r="I883" s="12" t="str">
        <f t="shared" si="41"/>
        <v/>
      </c>
      <c r="J883" s="8"/>
    </row>
    <row r="884" spans="1:10" x14ac:dyDescent="0.2">
      <c r="A884" s="7" t="str">
        <f t="shared" si="39"/>
        <v/>
      </c>
      <c r="B884" s="9"/>
      <c r="C884" s="8"/>
      <c r="D884" s="10" t="str">
        <f ca="1">IFERROR(_xludf.XLOOKUP(C884,STUDENTS!$A$5:$A$204,STUDENTS!$C$5:$C$204,""),"")</f>
        <v/>
      </c>
      <c r="E884" s="10" t="str">
        <f ca="1">IFERROR(_xludf.XLOOKUP(C884,STUDENTS!$A$5:$A$204,STUDENTS!$L$5:$L$204,""),"")</f>
        <v/>
      </c>
      <c r="F884" s="10" t="str">
        <f t="shared" si="40"/>
        <v/>
      </c>
      <c r="G884" s="8"/>
      <c r="H884" s="11" t="str">
        <f>IF(B884="","",IF(OR(F884="Saturday",F884="Sunday"),SETTINGS!$B$11,IF(G884="Vacation",SETTINGS!$B$13,0)))</f>
        <v/>
      </c>
      <c r="I884" s="12" t="str">
        <f t="shared" si="41"/>
        <v/>
      </c>
      <c r="J884" s="8"/>
    </row>
    <row r="885" spans="1:10" x14ac:dyDescent="0.2">
      <c r="A885" s="7" t="str">
        <f t="shared" si="39"/>
        <v/>
      </c>
      <c r="B885" s="9"/>
      <c r="C885" s="8"/>
      <c r="D885" s="10" t="str">
        <f ca="1">IFERROR(_xludf.XLOOKUP(C885,STUDENTS!$A$5:$A$204,STUDENTS!$C$5:$C$204,""),"")</f>
        <v/>
      </c>
      <c r="E885" s="10" t="str">
        <f ca="1">IFERROR(_xludf.XLOOKUP(C885,STUDENTS!$A$5:$A$204,STUDENTS!$L$5:$L$204,""),"")</f>
        <v/>
      </c>
      <c r="F885" s="10" t="str">
        <f t="shared" si="40"/>
        <v/>
      </c>
      <c r="G885" s="8"/>
      <c r="H885" s="11" t="str">
        <f>IF(B885="","",IF(OR(F885="Saturday",F885="Sunday"),SETTINGS!$B$11,IF(G885="Vacation",SETTINGS!$B$13,0)))</f>
        <v/>
      </c>
      <c r="I885" s="12" t="str">
        <f t="shared" si="41"/>
        <v/>
      </c>
      <c r="J885" s="8"/>
    </row>
    <row r="886" spans="1:10" x14ac:dyDescent="0.2">
      <c r="A886" s="7" t="str">
        <f t="shared" si="39"/>
        <v/>
      </c>
      <c r="B886" s="9"/>
      <c r="C886" s="8"/>
      <c r="D886" s="10" t="str">
        <f ca="1">IFERROR(_xludf.XLOOKUP(C886,STUDENTS!$A$5:$A$204,STUDENTS!$C$5:$C$204,""),"")</f>
        <v/>
      </c>
      <c r="E886" s="10" t="str">
        <f ca="1">IFERROR(_xludf.XLOOKUP(C886,STUDENTS!$A$5:$A$204,STUDENTS!$L$5:$L$204,""),"")</f>
        <v/>
      </c>
      <c r="F886" s="10" t="str">
        <f t="shared" si="40"/>
        <v/>
      </c>
      <c r="G886" s="8"/>
      <c r="H886" s="11" t="str">
        <f>IF(B886="","",IF(OR(F886="Saturday",F886="Sunday"),SETTINGS!$B$11,IF(G886="Vacation",SETTINGS!$B$13,0)))</f>
        <v/>
      </c>
      <c r="I886" s="12" t="str">
        <f t="shared" si="41"/>
        <v/>
      </c>
      <c r="J886" s="8"/>
    </row>
    <row r="887" spans="1:10" x14ac:dyDescent="0.2">
      <c r="A887" s="7" t="str">
        <f t="shared" si="39"/>
        <v/>
      </c>
      <c r="B887" s="9"/>
      <c r="C887" s="8"/>
      <c r="D887" s="10" t="str">
        <f ca="1">IFERROR(_xludf.XLOOKUP(C887,STUDENTS!$A$5:$A$204,STUDENTS!$C$5:$C$204,""),"")</f>
        <v/>
      </c>
      <c r="E887" s="10" t="str">
        <f ca="1">IFERROR(_xludf.XLOOKUP(C887,STUDENTS!$A$5:$A$204,STUDENTS!$L$5:$L$204,""),"")</f>
        <v/>
      </c>
      <c r="F887" s="10" t="str">
        <f t="shared" si="40"/>
        <v/>
      </c>
      <c r="G887" s="8"/>
      <c r="H887" s="11" t="str">
        <f>IF(B887="","",IF(OR(F887="Saturday",F887="Sunday"),SETTINGS!$B$11,IF(G887="Vacation",SETTINGS!$B$13,0)))</f>
        <v/>
      </c>
      <c r="I887" s="12" t="str">
        <f t="shared" si="41"/>
        <v/>
      </c>
      <c r="J887" s="8"/>
    </row>
    <row r="888" spans="1:10" x14ac:dyDescent="0.2">
      <c r="A888" s="7" t="str">
        <f t="shared" si="39"/>
        <v/>
      </c>
      <c r="B888" s="9"/>
      <c r="C888" s="8"/>
      <c r="D888" s="10" t="str">
        <f ca="1">IFERROR(_xludf.XLOOKUP(C888,STUDENTS!$A$5:$A$204,STUDENTS!$C$5:$C$204,""),"")</f>
        <v/>
      </c>
      <c r="E888" s="10" t="str">
        <f ca="1">IFERROR(_xludf.XLOOKUP(C888,STUDENTS!$A$5:$A$204,STUDENTS!$L$5:$L$204,""),"")</f>
        <v/>
      </c>
      <c r="F888" s="10" t="str">
        <f t="shared" si="40"/>
        <v/>
      </c>
      <c r="G888" s="8"/>
      <c r="H888" s="11" t="str">
        <f>IF(B888="","",IF(OR(F888="Saturday",F888="Sunday"),SETTINGS!$B$11,IF(G888="Vacation",SETTINGS!$B$13,0)))</f>
        <v/>
      </c>
      <c r="I888" s="12" t="str">
        <f t="shared" si="41"/>
        <v/>
      </c>
      <c r="J888" s="8"/>
    </row>
    <row r="889" spans="1:10" x14ac:dyDescent="0.2">
      <c r="A889" s="7" t="str">
        <f t="shared" si="39"/>
        <v/>
      </c>
      <c r="B889" s="9"/>
      <c r="C889" s="8"/>
      <c r="D889" s="10" t="str">
        <f ca="1">IFERROR(_xludf.XLOOKUP(C889,STUDENTS!$A$5:$A$204,STUDENTS!$C$5:$C$204,""),"")</f>
        <v/>
      </c>
      <c r="E889" s="10" t="str">
        <f ca="1">IFERROR(_xludf.XLOOKUP(C889,STUDENTS!$A$5:$A$204,STUDENTS!$L$5:$L$204,""),"")</f>
        <v/>
      </c>
      <c r="F889" s="10" t="str">
        <f t="shared" si="40"/>
        <v/>
      </c>
      <c r="G889" s="8"/>
      <c r="H889" s="11" t="str">
        <f>IF(B889="","",IF(OR(F889="Saturday",F889="Sunday"),SETTINGS!$B$11,IF(G889="Vacation",SETTINGS!$B$13,0)))</f>
        <v/>
      </c>
      <c r="I889" s="12" t="str">
        <f t="shared" si="41"/>
        <v/>
      </c>
      <c r="J889" s="8"/>
    </row>
    <row r="890" spans="1:10" x14ac:dyDescent="0.2">
      <c r="A890" s="7" t="str">
        <f t="shared" si="39"/>
        <v/>
      </c>
      <c r="B890" s="9"/>
      <c r="C890" s="8"/>
      <c r="D890" s="10" t="str">
        <f ca="1">IFERROR(_xludf.XLOOKUP(C890,STUDENTS!$A$5:$A$204,STUDENTS!$C$5:$C$204,""),"")</f>
        <v/>
      </c>
      <c r="E890" s="10" t="str">
        <f ca="1">IFERROR(_xludf.XLOOKUP(C890,STUDENTS!$A$5:$A$204,STUDENTS!$L$5:$L$204,""),"")</f>
        <v/>
      </c>
      <c r="F890" s="10" t="str">
        <f t="shared" si="40"/>
        <v/>
      </c>
      <c r="G890" s="8"/>
      <c r="H890" s="11" t="str">
        <f>IF(B890="","",IF(OR(F890="Saturday",F890="Sunday"),SETTINGS!$B$11,IF(G890="Vacation",SETTINGS!$B$13,0)))</f>
        <v/>
      </c>
      <c r="I890" s="12" t="str">
        <f t="shared" si="41"/>
        <v/>
      </c>
      <c r="J890" s="8"/>
    </row>
    <row r="891" spans="1:10" x14ac:dyDescent="0.2">
      <c r="A891" s="7" t="str">
        <f t="shared" si="39"/>
        <v/>
      </c>
      <c r="B891" s="9"/>
      <c r="C891" s="8"/>
      <c r="D891" s="10" t="str">
        <f ca="1">IFERROR(_xludf.XLOOKUP(C891,STUDENTS!$A$5:$A$204,STUDENTS!$C$5:$C$204,""),"")</f>
        <v/>
      </c>
      <c r="E891" s="10" t="str">
        <f ca="1">IFERROR(_xludf.XLOOKUP(C891,STUDENTS!$A$5:$A$204,STUDENTS!$L$5:$L$204,""),"")</f>
        <v/>
      </c>
      <c r="F891" s="10" t="str">
        <f t="shared" si="40"/>
        <v/>
      </c>
      <c r="G891" s="8"/>
      <c r="H891" s="11" t="str">
        <f>IF(B891="","",IF(OR(F891="Saturday",F891="Sunday"),SETTINGS!$B$11,IF(G891="Vacation",SETTINGS!$B$13,0)))</f>
        <v/>
      </c>
      <c r="I891" s="12" t="str">
        <f t="shared" si="41"/>
        <v/>
      </c>
      <c r="J891" s="8"/>
    </row>
    <row r="892" spans="1:10" x14ac:dyDescent="0.2">
      <c r="A892" s="7" t="str">
        <f t="shared" si="39"/>
        <v/>
      </c>
      <c r="B892" s="9"/>
      <c r="C892" s="8"/>
      <c r="D892" s="10" t="str">
        <f ca="1">IFERROR(_xludf.XLOOKUP(C892,STUDENTS!$A$5:$A$204,STUDENTS!$C$5:$C$204,""),"")</f>
        <v/>
      </c>
      <c r="E892" s="10" t="str">
        <f ca="1">IFERROR(_xludf.XLOOKUP(C892,STUDENTS!$A$5:$A$204,STUDENTS!$L$5:$L$204,""),"")</f>
        <v/>
      </c>
      <c r="F892" s="10" t="str">
        <f t="shared" si="40"/>
        <v/>
      </c>
      <c r="G892" s="8"/>
      <c r="H892" s="11" t="str">
        <f>IF(B892="","",IF(OR(F892="Saturday",F892="Sunday"),SETTINGS!$B$11,IF(G892="Vacation",SETTINGS!$B$13,0)))</f>
        <v/>
      </c>
      <c r="I892" s="12" t="str">
        <f t="shared" si="41"/>
        <v/>
      </c>
      <c r="J892" s="8"/>
    </row>
    <row r="893" spans="1:10" x14ac:dyDescent="0.2">
      <c r="A893" s="7" t="str">
        <f t="shared" si="39"/>
        <v/>
      </c>
      <c r="B893" s="9"/>
      <c r="C893" s="8"/>
      <c r="D893" s="10" t="str">
        <f ca="1">IFERROR(_xludf.XLOOKUP(C893,STUDENTS!$A$5:$A$204,STUDENTS!$C$5:$C$204,""),"")</f>
        <v/>
      </c>
      <c r="E893" s="10" t="str">
        <f ca="1">IFERROR(_xludf.XLOOKUP(C893,STUDENTS!$A$5:$A$204,STUDENTS!$L$5:$L$204,""),"")</f>
        <v/>
      </c>
      <c r="F893" s="10" t="str">
        <f t="shared" si="40"/>
        <v/>
      </c>
      <c r="G893" s="8"/>
      <c r="H893" s="11" t="str">
        <f>IF(B893="","",IF(OR(F893="Saturday",F893="Sunday"),SETTINGS!$B$11,IF(G893="Vacation",SETTINGS!$B$13,0)))</f>
        <v/>
      </c>
      <c r="I893" s="12" t="str">
        <f t="shared" si="41"/>
        <v/>
      </c>
      <c r="J893" s="8"/>
    </row>
    <row r="894" spans="1:10" x14ac:dyDescent="0.2">
      <c r="A894" s="7" t="str">
        <f t="shared" si="39"/>
        <v/>
      </c>
      <c r="B894" s="9"/>
      <c r="C894" s="8"/>
      <c r="D894" s="10" t="str">
        <f ca="1">IFERROR(_xludf.XLOOKUP(C894,STUDENTS!$A$5:$A$204,STUDENTS!$C$5:$C$204,""),"")</f>
        <v/>
      </c>
      <c r="E894" s="10" t="str">
        <f ca="1">IFERROR(_xludf.XLOOKUP(C894,STUDENTS!$A$5:$A$204,STUDENTS!$L$5:$L$204,""),"")</f>
        <v/>
      </c>
      <c r="F894" s="10" t="str">
        <f t="shared" si="40"/>
        <v/>
      </c>
      <c r="G894" s="8"/>
      <c r="H894" s="11" t="str">
        <f>IF(B894="","",IF(OR(F894="Saturday",F894="Sunday"),SETTINGS!$B$11,IF(G894="Vacation",SETTINGS!$B$13,0)))</f>
        <v/>
      </c>
      <c r="I894" s="12" t="str">
        <f t="shared" si="41"/>
        <v/>
      </c>
      <c r="J894" s="8"/>
    </row>
    <row r="895" spans="1:10" x14ac:dyDescent="0.2">
      <c r="A895" s="7" t="str">
        <f t="shared" si="39"/>
        <v/>
      </c>
      <c r="B895" s="9"/>
      <c r="C895" s="8"/>
      <c r="D895" s="10" t="str">
        <f ca="1">IFERROR(_xludf.XLOOKUP(C895,STUDENTS!$A$5:$A$204,STUDENTS!$C$5:$C$204,""),"")</f>
        <v/>
      </c>
      <c r="E895" s="10" t="str">
        <f ca="1">IFERROR(_xludf.XLOOKUP(C895,STUDENTS!$A$5:$A$204,STUDENTS!$L$5:$L$204,""),"")</f>
        <v/>
      </c>
      <c r="F895" s="10" t="str">
        <f t="shared" si="40"/>
        <v/>
      </c>
      <c r="G895" s="8"/>
      <c r="H895" s="11" t="str">
        <f>IF(B895="","",IF(OR(F895="Saturday",F895="Sunday"),SETTINGS!$B$11,IF(G895="Vacation",SETTINGS!$B$13,0)))</f>
        <v/>
      </c>
      <c r="I895" s="12" t="str">
        <f t="shared" si="41"/>
        <v/>
      </c>
      <c r="J895" s="8"/>
    </row>
    <row r="896" spans="1:10" x14ac:dyDescent="0.2">
      <c r="A896" s="7" t="str">
        <f t="shared" si="39"/>
        <v/>
      </c>
      <c r="B896" s="9"/>
      <c r="C896" s="8"/>
      <c r="D896" s="10" t="str">
        <f ca="1">IFERROR(_xludf.XLOOKUP(C896,STUDENTS!$A$5:$A$204,STUDENTS!$C$5:$C$204,""),"")</f>
        <v/>
      </c>
      <c r="E896" s="10" t="str">
        <f ca="1">IFERROR(_xludf.XLOOKUP(C896,STUDENTS!$A$5:$A$204,STUDENTS!$L$5:$L$204,""),"")</f>
        <v/>
      </c>
      <c r="F896" s="10" t="str">
        <f t="shared" si="40"/>
        <v/>
      </c>
      <c r="G896" s="8"/>
      <c r="H896" s="11" t="str">
        <f>IF(B896="","",IF(OR(F896="Saturday",F896="Sunday"),SETTINGS!$B$11,IF(G896="Vacation",SETTINGS!$B$13,0)))</f>
        <v/>
      </c>
      <c r="I896" s="12" t="str">
        <f t="shared" si="41"/>
        <v/>
      </c>
      <c r="J896" s="8"/>
    </row>
    <row r="897" spans="1:10" x14ac:dyDescent="0.2">
      <c r="A897" s="7" t="str">
        <f t="shared" si="39"/>
        <v/>
      </c>
      <c r="B897" s="9"/>
      <c r="C897" s="8"/>
      <c r="D897" s="10" t="str">
        <f ca="1">IFERROR(_xludf.XLOOKUP(C897,STUDENTS!$A$5:$A$204,STUDENTS!$C$5:$C$204,""),"")</f>
        <v/>
      </c>
      <c r="E897" s="10" t="str">
        <f ca="1">IFERROR(_xludf.XLOOKUP(C897,STUDENTS!$A$5:$A$204,STUDENTS!$L$5:$L$204,""),"")</f>
        <v/>
      </c>
      <c r="F897" s="10" t="str">
        <f t="shared" si="40"/>
        <v/>
      </c>
      <c r="G897" s="8"/>
      <c r="H897" s="11" t="str">
        <f>IF(B897="","",IF(OR(F897="Saturday",F897="Sunday"),SETTINGS!$B$11,IF(G897="Vacation",SETTINGS!$B$13,0)))</f>
        <v/>
      </c>
      <c r="I897" s="12" t="str">
        <f t="shared" si="41"/>
        <v/>
      </c>
      <c r="J897" s="8"/>
    </row>
    <row r="898" spans="1:10" x14ac:dyDescent="0.2">
      <c r="A898" s="7" t="str">
        <f t="shared" si="39"/>
        <v/>
      </c>
      <c r="B898" s="9"/>
      <c r="C898" s="8"/>
      <c r="D898" s="10" t="str">
        <f ca="1">IFERROR(_xludf.XLOOKUP(C898,STUDENTS!$A$5:$A$204,STUDENTS!$C$5:$C$204,""),"")</f>
        <v/>
      </c>
      <c r="E898" s="10" t="str">
        <f ca="1">IFERROR(_xludf.XLOOKUP(C898,STUDENTS!$A$5:$A$204,STUDENTS!$L$5:$L$204,""),"")</f>
        <v/>
      </c>
      <c r="F898" s="10" t="str">
        <f t="shared" si="40"/>
        <v/>
      </c>
      <c r="G898" s="8"/>
      <c r="H898" s="11" t="str">
        <f>IF(B898="","",IF(OR(F898="Saturday",F898="Sunday"),SETTINGS!$B$11,IF(G898="Vacation",SETTINGS!$B$13,0)))</f>
        <v/>
      </c>
      <c r="I898" s="12" t="str">
        <f t="shared" si="41"/>
        <v/>
      </c>
      <c r="J898" s="8"/>
    </row>
    <row r="899" spans="1:10" x14ac:dyDescent="0.2">
      <c r="A899" s="7" t="str">
        <f t="shared" si="39"/>
        <v/>
      </c>
      <c r="B899" s="9"/>
      <c r="C899" s="8"/>
      <c r="D899" s="10" t="str">
        <f ca="1">IFERROR(_xludf.XLOOKUP(C899,STUDENTS!$A$5:$A$204,STUDENTS!$C$5:$C$204,""),"")</f>
        <v/>
      </c>
      <c r="E899" s="10" t="str">
        <f ca="1">IFERROR(_xludf.XLOOKUP(C899,STUDENTS!$A$5:$A$204,STUDENTS!$L$5:$L$204,""),"")</f>
        <v/>
      </c>
      <c r="F899" s="10" t="str">
        <f t="shared" si="40"/>
        <v/>
      </c>
      <c r="G899" s="8"/>
      <c r="H899" s="11" t="str">
        <f>IF(B899="","",IF(OR(F899="Saturday",F899="Sunday"),SETTINGS!$B$11,IF(G899="Vacation",SETTINGS!$B$13,0)))</f>
        <v/>
      </c>
      <c r="I899" s="12" t="str">
        <f t="shared" si="41"/>
        <v/>
      </c>
      <c r="J899" s="8"/>
    </row>
    <row r="900" spans="1:10" x14ac:dyDescent="0.2">
      <c r="A900" s="7" t="str">
        <f t="shared" si="39"/>
        <v/>
      </c>
      <c r="B900" s="9"/>
      <c r="C900" s="8"/>
      <c r="D900" s="10" t="str">
        <f ca="1">IFERROR(_xludf.XLOOKUP(C900,STUDENTS!$A$5:$A$204,STUDENTS!$C$5:$C$204,""),"")</f>
        <v/>
      </c>
      <c r="E900" s="10" t="str">
        <f ca="1">IFERROR(_xludf.XLOOKUP(C900,STUDENTS!$A$5:$A$204,STUDENTS!$L$5:$L$204,""),"")</f>
        <v/>
      </c>
      <c r="F900" s="10" t="str">
        <f t="shared" si="40"/>
        <v/>
      </c>
      <c r="G900" s="8"/>
      <c r="H900" s="11" t="str">
        <f>IF(B900="","",IF(OR(F900="Saturday",F900="Sunday"),SETTINGS!$B$11,IF(G900="Vacation",SETTINGS!$B$13,0)))</f>
        <v/>
      </c>
      <c r="I900" s="12" t="str">
        <f t="shared" si="41"/>
        <v/>
      </c>
      <c r="J900" s="8"/>
    </row>
    <row r="901" spans="1:10" x14ac:dyDescent="0.2">
      <c r="A901" s="7" t="str">
        <f t="shared" ref="A901:A964" si="42">IF(C901="","","F-"&amp;TEXT(ROW()-4,"00000"))</f>
        <v/>
      </c>
      <c r="B901" s="9"/>
      <c r="C901" s="8"/>
      <c r="D901" s="10" t="str">
        <f ca="1">IFERROR(_xludf.XLOOKUP(C901,STUDENTS!$A$5:$A$204,STUDENTS!$C$5:$C$204,""),"")</f>
        <v/>
      </c>
      <c r="E901" s="10" t="str">
        <f ca="1">IFERROR(_xludf.XLOOKUP(C901,STUDENTS!$A$5:$A$204,STUDENTS!$L$5:$L$204,""),"")</f>
        <v/>
      </c>
      <c r="F901" s="10" t="str">
        <f t="shared" ref="F901:F964" si="43">IF(B901="","",TEXT(B901,"dddd"))</f>
        <v/>
      </c>
      <c r="G901" s="8"/>
      <c r="H901" s="11" t="str">
        <f>IF(B901="","",IF(OR(F901="Saturday",F901="Sunday"),SETTINGS!$B$11,IF(G901="Vacation",SETTINGS!$B$13,0)))</f>
        <v/>
      </c>
      <c r="I901" s="12" t="str">
        <f t="shared" ref="I901:I964" si="44">IF(H901="","",H901)</f>
        <v/>
      </c>
      <c r="J901" s="8"/>
    </row>
    <row r="902" spans="1:10" x14ac:dyDescent="0.2">
      <c r="A902" s="7" t="str">
        <f t="shared" si="42"/>
        <v/>
      </c>
      <c r="B902" s="9"/>
      <c r="C902" s="8"/>
      <c r="D902" s="10" t="str">
        <f ca="1">IFERROR(_xludf.XLOOKUP(C902,STUDENTS!$A$5:$A$204,STUDENTS!$C$5:$C$204,""),"")</f>
        <v/>
      </c>
      <c r="E902" s="10" t="str">
        <f ca="1">IFERROR(_xludf.XLOOKUP(C902,STUDENTS!$A$5:$A$204,STUDENTS!$L$5:$L$204,""),"")</f>
        <v/>
      </c>
      <c r="F902" s="10" t="str">
        <f t="shared" si="43"/>
        <v/>
      </c>
      <c r="G902" s="8"/>
      <c r="H902" s="11" t="str">
        <f>IF(B902="","",IF(OR(F902="Saturday",F902="Sunday"),SETTINGS!$B$11,IF(G902="Vacation",SETTINGS!$B$13,0)))</f>
        <v/>
      </c>
      <c r="I902" s="12" t="str">
        <f t="shared" si="44"/>
        <v/>
      </c>
      <c r="J902" s="8"/>
    </row>
    <row r="903" spans="1:10" x14ac:dyDescent="0.2">
      <c r="A903" s="7" t="str">
        <f t="shared" si="42"/>
        <v/>
      </c>
      <c r="B903" s="9"/>
      <c r="C903" s="8"/>
      <c r="D903" s="10" t="str">
        <f ca="1">IFERROR(_xludf.XLOOKUP(C903,STUDENTS!$A$5:$A$204,STUDENTS!$C$5:$C$204,""),"")</f>
        <v/>
      </c>
      <c r="E903" s="10" t="str">
        <f ca="1">IFERROR(_xludf.XLOOKUP(C903,STUDENTS!$A$5:$A$204,STUDENTS!$L$5:$L$204,""),"")</f>
        <v/>
      </c>
      <c r="F903" s="10" t="str">
        <f t="shared" si="43"/>
        <v/>
      </c>
      <c r="G903" s="8"/>
      <c r="H903" s="11" t="str">
        <f>IF(B903="","",IF(OR(F903="Saturday",F903="Sunday"),SETTINGS!$B$11,IF(G903="Vacation",SETTINGS!$B$13,0)))</f>
        <v/>
      </c>
      <c r="I903" s="12" t="str">
        <f t="shared" si="44"/>
        <v/>
      </c>
      <c r="J903" s="8"/>
    </row>
    <row r="904" spans="1:10" x14ac:dyDescent="0.2">
      <c r="A904" s="7" t="str">
        <f t="shared" si="42"/>
        <v/>
      </c>
      <c r="B904" s="9"/>
      <c r="C904" s="8"/>
      <c r="D904" s="10" t="str">
        <f ca="1">IFERROR(_xludf.XLOOKUP(C904,STUDENTS!$A$5:$A$204,STUDENTS!$C$5:$C$204,""),"")</f>
        <v/>
      </c>
      <c r="E904" s="10" t="str">
        <f ca="1">IFERROR(_xludf.XLOOKUP(C904,STUDENTS!$A$5:$A$204,STUDENTS!$L$5:$L$204,""),"")</f>
        <v/>
      </c>
      <c r="F904" s="10" t="str">
        <f t="shared" si="43"/>
        <v/>
      </c>
      <c r="G904" s="8"/>
      <c r="H904" s="11" t="str">
        <f>IF(B904="","",IF(OR(F904="Saturday",F904="Sunday"),SETTINGS!$B$11,IF(G904="Vacation",SETTINGS!$B$13,0)))</f>
        <v/>
      </c>
      <c r="I904" s="12" t="str">
        <f t="shared" si="44"/>
        <v/>
      </c>
      <c r="J904" s="8"/>
    </row>
    <row r="905" spans="1:10" x14ac:dyDescent="0.2">
      <c r="A905" s="7" t="str">
        <f t="shared" si="42"/>
        <v/>
      </c>
      <c r="B905" s="9"/>
      <c r="C905" s="8"/>
      <c r="D905" s="10" t="str">
        <f ca="1">IFERROR(_xludf.XLOOKUP(C905,STUDENTS!$A$5:$A$204,STUDENTS!$C$5:$C$204,""),"")</f>
        <v/>
      </c>
      <c r="E905" s="10" t="str">
        <f ca="1">IFERROR(_xludf.XLOOKUP(C905,STUDENTS!$A$5:$A$204,STUDENTS!$L$5:$L$204,""),"")</f>
        <v/>
      </c>
      <c r="F905" s="10" t="str">
        <f t="shared" si="43"/>
        <v/>
      </c>
      <c r="G905" s="8"/>
      <c r="H905" s="11" t="str">
        <f>IF(B905="","",IF(OR(F905="Saturday",F905="Sunday"),SETTINGS!$B$11,IF(G905="Vacation",SETTINGS!$B$13,0)))</f>
        <v/>
      </c>
      <c r="I905" s="12" t="str">
        <f t="shared" si="44"/>
        <v/>
      </c>
      <c r="J905" s="8"/>
    </row>
    <row r="906" spans="1:10" x14ac:dyDescent="0.2">
      <c r="A906" s="7" t="str">
        <f t="shared" si="42"/>
        <v/>
      </c>
      <c r="B906" s="9"/>
      <c r="C906" s="8"/>
      <c r="D906" s="10" t="str">
        <f ca="1">IFERROR(_xludf.XLOOKUP(C906,STUDENTS!$A$5:$A$204,STUDENTS!$C$5:$C$204,""),"")</f>
        <v/>
      </c>
      <c r="E906" s="10" t="str">
        <f ca="1">IFERROR(_xludf.XLOOKUP(C906,STUDENTS!$A$5:$A$204,STUDENTS!$L$5:$L$204,""),"")</f>
        <v/>
      </c>
      <c r="F906" s="10" t="str">
        <f t="shared" si="43"/>
        <v/>
      </c>
      <c r="G906" s="8"/>
      <c r="H906" s="11" t="str">
        <f>IF(B906="","",IF(OR(F906="Saturday",F906="Sunday"),SETTINGS!$B$11,IF(G906="Vacation",SETTINGS!$B$13,0)))</f>
        <v/>
      </c>
      <c r="I906" s="12" t="str">
        <f t="shared" si="44"/>
        <v/>
      </c>
      <c r="J906" s="8"/>
    </row>
    <row r="907" spans="1:10" x14ac:dyDescent="0.2">
      <c r="A907" s="7" t="str">
        <f t="shared" si="42"/>
        <v/>
      </c>
      <c r="B907" s="9"/>
      <c r="C907" s="8"/>
      <c r="D907" s="10" t="str">
        <f ca="1">IFERROR(_xludf.XLOOKUP(C907,STUDENTS!$A$5:$A$204,STUDENTS!$C$5:$C$204,""),"")</f>
        <v/>
      </c>
      <c r="E907" s="10" t="str">
        <f ca="1">IFERROR(_xludf.XLOOKUP(C907,STUDENTS!$A$5:$A$204,STUDENTS!$L$5:$L$204,""),"")</f>
        <v/>
      </c>
      <c r="F907" s="10" t="str">
        <f t="shared" si="43"/>
        <v/>
      </c>
      <c r="G907" s="8"/>
      <c r="H907" s="11" t="str">
        <f>IF(B907="","",IF(OR(F907="Saturday",F907="Sunday"),SETTINGS!$B$11,IF(G907="Vacation",SETTINGS!$B$13,0)))</f>
        <v/>
      </c>
      <c r="I907" s="12" t="str">
        <f t="shared" si="44"/>
        <v/>
      </c>
      <c r="J907" s="8"/>
    </row>
    <row r="908" spans="1:10" x14ac:dyDescent="0.2">
      <c r="A908" s="7" t="str">
        <f t="shared" si="42"/>
        <v/>
      </c>
      <c r="B908" s="9"/>
      <c r="C908" s="8"/>
      <c r="D908" s="10" t="str">
        <f ca="1">IFERROR(_xludf.XLOOKUP(C908,STUDENTS!$A$5:$A$204,STUDENTS!$C$5:$C$204,""),"")</f>
        <v/>
      </c>
      <c r="E908" s="10" t="str">
        <f ca="1">IFERROR(_xludf.XLOOKUP(C908,STUDENTS!$A$5:$A$204,STUDENTS!$L$5:$L$204,""),"")</f>
        <v/>
      </c>
      <c r="F908" s="10" t="str">
        <f t="shared" si="43"/>
        <v/>
      </c>
      <c r="G908" s="8"/>
      <c r="H908" s="11" t="str">
        <f>IF(B908="","",IF(OR(F908="Saturday",F908="Sunday"),SETTINGS!$B$11,IF(G908="Vacation",SETTINGS!$B$13,0)))</f>
        <v/>
      </c>
      <c r="I908" s="12" t="str">
        <f t="shared" si="44"/>
        <v/>
      </c>
      <c r="J908" s="8"/>
    </row>
    <row r="909" spans="1:10" x14ac:dyDescent="0.2">
      <c r="A909" s="7" t="str">
        <f t="shared" si="42"/>
        <v/>
      </c>
      <c r="B909" s="9"/>
      <c r="C909" s="8"/>
      <c r="D909" s="10" t="str">
        <f ca="1">IFERROR(_xludf.XLOOKUP(C909,STUDENTS!$A$5:$A$204,STUDENTS!$C$5:$C$204,""),"")</f>
        <v/>
      </c>
      <c r="E909" s="10" t="str">
        <f ca="1">IFERROR(_xludf.XLOOKUP(C909,STUDENTS!$A$5:$A$204,STUDENTS!$L$5:$L$204,""),"")</f>
        <v/>
      </c>
      <c r="F909" s="10" t="str">
        <f t="shared" si="43"/>
        <v/>
      </c>
      <c r="G909" s="8"/>
      <c r="H909" s="11" t="str">
        <f>IF(B909="","",IF(OR(F909="Saturday",F909="Sunday"),SETTINGS!$B$11,IF(G909="Vacation",SETTINGS!$B$13,0)))</f>
        <v/>
      </c>
      <c r="I909" s="12" t="str">
        <f t="shared" si="44"/>
        <v/>
      </c>
      <c r="J909" s="8"/>
    </row>
    <row r="910" spans="1:10" x14ac:dyDescent="0.2">
      <c r="A910" s="7" t="str">
        <f t="shared" si="42"/>
        <v/>
      </c>
      <c r="B910" s="9"/>
      <c r="C910" s="8"/>
      <c r="D910" s="10" t="str">
        <f ca="1">IFERROR(_xludf.XLOOKUP(C910,STUDENTS!$A$5:$A$204,STUDENTS!$C$5:$C$204,""),"")</f>
        <v/>
      </c>
      <c r="E910" s="10" t="str">
        <f ca="1">IFERROR(_xludf.XLOOKUP(C910,STUDENTS!$A$5:$A$204,STUDENTS!$L$5:$L$204,""),"")</f>
        <v/>
      </c>
      <c r="F910" s="10" t="str">
        <f t="shared" si="43"/>
        <v/>
      </c>
      <c r="G910" s="8"/>
      <c r="H910" s="11" t="str">
        <f>IF(B910="","",IF(OR(F910="Saturday",F910="Sunday"),SETTINGS!$B$11,IF(G910="Vacation",SETTINGS!$B$13,0)))</f>
        <v/>
      </c>
      <c r="I910" s="12" t="str">
        <f t="shared" si="44"/>
        <v/>
      </c>
      <c r="J910" s="8"/>
    </row>
    <row r="911" spans="1:10" x14ac:dyDescent="0.2">
      <c r="A911" s="7" t="str">
        <f t="shared" si="42"/>
        <v/>
      </c>
      <c r="B911" s="9"/>
      <c r="C911" s="8"/>
      <c r="D911" s="10" t="str">
        <f ca="1">IFERROR(_xludf.XLOOKUP(C911,STUDENTS!$A$5:$A$204,STUDENTS!$C$5:$C$204,""),"")</f>
        <v/>
      </c>
      <c r="E911" s="10" t="str">
        <f ca="1">IFERROR(_xludf.XLOOKUP(C911,STUDENTS!$A$5:$A$204,STUDENTS!$L$5:$L$204,""),"")</f>
        <v/>
      </c>
      <c r="F911" s="10" t="str">
        <f t="shared" si="43"/>
        <v/>
      </c>
      <c r="G911" s="8"/>
      <c r="H911" s="11" t="str">
        <f>IF(B911="","",IF(OR(F911="Saturday",F911="Sunday"),SETTINGS!$B$11,IF(G911="Vacation",SETTINGS!$B$13,0)))</f>
        <v/>
      </c>
      <c r="I911" s="12" t="str">
        <f t="shared" si="44"/>
        <v/>
      </c>
      <c r="J911" s="8"/>
    </row>
    <row r="912" spans="1:10" x14ac:dyDescent="0.2">
      <c r="A912" s="7" t="str">
        <f t="shared" si="42"/>
        <v/>
      </c>
      <c r="B912" s="9"/>
      <c r="C912" s="8"/>
      <c r="D912" s="10" t="str">
        <f ca="1">IFERROR(_xludf.XLOOKUP(C912,STUDENTS!$A$5:$A$204,STUDENTS!$C$5:$C$204,""),"")</f>
        <v/>
      </c>
      <c r="E912" s="10" t="str">
        <f ca="1">IFERROR(_xludf.XLOOKUP(C912,STUDENTS!$A$5:$A$204,STUDENTS!$L$5:$L$204,""),"")</f>
        <v/>
      </c>
      <c r="F912" s="10" t="str">
        <f t="shared" si="43"/>
        <v/>
      </c>
      <c r="G912" s="8"/>
      <c r="H912" s="11" t="str">
        <f>IF(B912="","",IF(OR(F912="Saturday",F912="Sunday"),SETTINGS!$B$11,IF(G912="Vacation",SETTINGS!$B$13,0)))</f>
        <v/>
      </c>
      <c r="I912" s="12" t="str">
        <f t="shared" si="44"/>
        <v/>
      </c>
      <c r="J912" s="8"/>
    </row>
    <row r="913" spans="1:10" x14ac:dyDescent="0.2">
      <c r="A913" s="7" t="str">
        <f t="shared" si="42"/>
        <v/>
      </c>
      <c r="B913" s="9"/>
      <c r="C913" s="8"/>
      <c r="D913" s="10" t="str">
        <f ca="1">IFERROR(_xludf.XLOOKUP(C913,STUDENTS!$A$5:$A$204,STUDENTS!$C$5:$C$204,""),"")</f>
        <v/>
      </c>
      <c r="E913" s="10" t="str">
        <f ca="1">IFERROR(_xludf.XLOOKUP(C913,STUDENTS!$A$5:$A$204,STUDENTS!$L$5:$L$204,""),"")</f>
        <v/>
      </c>
      <c r="F913" s="10" t="str">
        <f t="shared" si="43"/>
        <v/>
      </c>
      <c r="G913" s="8"/>
      <c r="H913" s="11" t="str">
        <f>IF(B913="","",IF(OR(F913="Saturday",F913="Sunday"),SETTINGS!$B$11,IF(G913="Vacation",SETTINGS!$B$13,0)))</f>
        <v/>
      </c>
      <c r="I913" s="12" t="str">
        <f t="shared" si="44"/>
        <v/>
      </c>
      <c r="J913" s="8"/>
    </row>
    <row r="914" spans="1:10" x14ac:dyDescent="0.2">
      <c r="A914" s="7" t="str">
        <f t="shared" si="42"/>
        <v/>
      </c>
      <c r="B914" s="9"/>
      <c r="C914" s="8"/>
      <c r="D914" s="10" t="str">
        <f ca="1">IFERROR(_xludf.XLOOKUP(C914,STUDENTS!$A$5:$A$204,STUDENTS!$C$5:$C$204,""),"")</f>
        <v/>
      </c>
      <c r="E914" s="10" t="str">
        <f ca="1">IFERROR(_xludf.XLOOKUP(C914,STUDENTS!$A$5:$A$204,STUDENTS!$L$5:$L$204,""),"")</f>
        <v/>
      </c>
      <c r="F914" s="10" t="str">
        <f t="shared" si="43"/>
        <v/>
      </c>
      <c r="G914" s="8"/>
      <c r="H914" s="11" t="str">
        <f>IF(B914="","",IF(OR(F914="Saturday",F914="Sunday"),SETTINGS!$B$11,IF(G914="Vacation",SETTINGS!$B$13,0)))</f>
        <v/>
      </c>
      <c r="I914" s="12" t="str">
        <f t="shared" si="44"/>
        <v/>
      </c>
      <c r="J914" s="8"/>
    </row>
    <row r="915" spans="1:10" x14ac:dyDescent="0.2">
      <c r="A915" s="7" t="str">
        <f t="shared" si="42"/>
        <v/>
      </c>
      <c r="B915" s="9"/>
      <c r="C915" s="8"/>
      <c r="D915" s="10" t="str">
        <f ca="1">IFERROR(_xludf.XLOOKUP(C915,STUDENTS!$A$5:$A$204,STUDENTS!$C$5:$C$204,""),"")</f>
        <v/>
      </c>
      <c r="E915" s="10" t="str">
        <f ca="1">IFERROR(_xludf.XLOOKUP(C915,STUDENTS!$A$5:$A$204,STUDENTS!$L$5:$L$204,""),"")</f>
        <v/>
      </c>
      <c r="F915" s="10" t="str">
        <f t="shared" si="43"/>
        <v/>
      </c>
      <c r="G915" s="8"/>
      <c r="H915" s="11" t="str">
        <f>IF(B915="","",IF(OR(F915="Saturday",F915="Sunday"),SETTINGS!$B$11,IF(G915="Vacation",SETTINGS!$B$13,0)))</f>
        <v/>
      </c>
      <c r="I915" s="12" t="str">
        <f t="shared" si="44"/>
        <v/>
      </c>
      <c r="J915" s="8"/>
    </row>
    <row r="916" spans="1:10" x14ac:dyDescent="0.2">
      <c r="A916" s="7" t="str">
        <f t="shared" si="42"/>
        <v/>
      </c>
      <c r="B916" s="9"/>
      <c r="C916" s="8"/>
      <c r="D916" s="10" t="str">
        <f ca="1">IFERROR(_xludf.XLOOKUP(C916,STUDENTS!$A$5:$A$204,STUDENTS!$C$5:$C$204,""),"")</f>
        <v/>
      </c>
      <c r="E916" s="10" t="str">
        <f ca="1">IFERROR(_xludf.XLOOKUP(C916,STUDENTS!$A$5:$A$204,STUDENTS!$L$5:$L$204,""),"")</f>
        <v/>
      </c>
      <c r="F916" s="10" t="str">
        <f t="shared" si="43"/>
        <v/>
      </c>
      <c r="G916" s="8"/>
      <c r="H916" s="11" t="str">
        <f>IF(B916="","",IF(OR(F916="Saturday",F916="Sunday"),SETTINGS!$B$11,IF(G916="Vacation",SETTINGS!$B$13,0)))</f>
        <v/>
      </c>
      <c r="I916" s="12" t="str">
        <f t="shared" si="44"/>
        <v/>
      </c>
      <c r="J916" s="8"/>
    </row>
    <row r="917" spans="1:10" x14ac:dyDescent="0.2">
      <c r="A917" s="7" t="str">
        <f t="shared" si="42"/>
        <v/>
      </c>
      <c r="B917" s="9"/>
      <c r="C917" s="8"/>
      <c r="D917" s="10" t="str">
        <f ca="1">IFERROR(_xludf.XLOOKUP(C917,STUDENTS!$A$5:$A$204,STUDENTS!$C$5:$C$204,""),"")</f>
        <v/>
      </c>
      <c r="E917" s="10" t="str">
        <f ca="1">IFERROR(_xludf.XLOOKUP(C917,STUDENTS!$A$5:$A$204,STUDENTS!$L$5:$L$204,""),"")</f>
        <v/>
      </c>
      <c r="F917" s="10" t="str">
        <f t="shared" si="43"/>
        <v/>
      </c>
      <c r="G917" s="8"/>
      <c r="H917" s="11" t="str">
        <f>IF(B917="","",IF(OR(F917="Saturday",F917="Sunday"),SETTINGS!$B$11,IF(G917="Vacation",SETTINGS!$B$13,0)))</f>
        <v/>
      </c>
      <c r="I917" s="12" t="str">
        <f t="shared" si="44"/>
        <v/>
      </c>
      <c r="J917" s="8"/>
    </row>
    <row r="918" spans="1:10" x14ac:dyDescent="0.2">
      <c r="A918" s="7" t="str">
        <f t="shared" si="42"/>
        <v/>
      </c>
      <c r="B918" s="9"/>
      <c r="C918" s="8"/>
      <c r="D918" s="10" t="str">
        <f ca="1">IFERROR(_xludf.XLOOKUP(C918,STUDENTS!$A$5:$A$204,STUDENTS!$C$5:$C$204,""),"")</f>
        <v/>
      </c>
      <c r="E918" s="10" t="str">
        <f ca="1">IFERROR(_xludf.XLOOKUP(C918,STUDENTS!$A$5:$A$204,STUDENTS!$L$5:$L$204,""),"")</f>
        <v/>
      </c>
      <c r="F918" s="10" t="str">
        <f t="shared" si="43"/>
        <v/>
      </c>
      <c r="G918" s="8"/>
      <c r="H918" s="11" t="str">
        <f>IF(B918="","",IF(OR(F918="Saturday",F918="Sunday"),SETTINGS!$B$11,IF(G918="Vacation",SETTINGS!$B$13,0)))</f>
        <v/>
      </c>
      <c r="I918" s="12" t="str">
        <f t="shared" si="44"/>
        <v/>
      </c>
      <c r="J918" s="8"/>
    </row>
    <row r="919" spans="1:10" x14ac:dyDescent="0.2">
      <c r="A919" s="7" t="str">
        <f t="shared" si="42"/>
        <v/>
      </c>
      <c r="B919" s="9"/>
      <c r="C919" s="8"/>
      <c r="D919" s="10" t="str">
        <f ca="1">IFERROR(_xludf.XLOOKUP(C919,STUDENTS!$A$5:$A$204,STUDENTS!$C$5:$C$204,""),"")</f>
        <v/>
      </c>
      <c r="E919" s="10" t="str">
        <f ca="1">IFERROR(_xludf.XLOOKUP(C919,STUDENTS!$A$5:$A$204,STUDENTS!$L$5:$L$204,""),"")</f>
        <v/>
      </c>
      <c r="F919" s="10" t="str">
        <f t="shared" si="43"/>
        <v/>
      </c>
      <c r="G919" s="8"/>
      <c r="H919" s="11" t="str">
        <f>IF(B919="","",IF(OR(F919="Saturday",F919="Sunday"),SETTINGS!$B$11,IF(G919="Vacation",SETTINGS!$B$13,0)))</f>
        <v/>
      </c>
      <c r="I919" s="12" t="str">
        <f t="shared" si="44"/>
        <v/>
      </c>
      <c r="J919" s="8"/>
    </row>
    <row r="920" spans="1:10" x14ac:dyDescent="0.2">
      <c r="A920" s="7" t="str">
        <f t="shared" si="42"/>
        <v/>
      </c>
      <c r="B920" s="9"/>
      <c r="C920" s="8"/>
      <c r="D920" s="10" t="str">
        <f ca="1">IFERROR(_xludf.XLOOKUP(C920,STUDENTS!$A$5:$A$204,STUDENTS!$C$5:$C$204,""),"")</f>
        <v/>
      </c>
      <c r="E920" s="10" t="str">
        <f ca="1">IFERROR(_xludf.XLOOKUP(C920,STUDENTS!$A$5:$A$204,STUDENTS!$L$5:$L$204,""),"")</f>
        <v/>
      </c>
      <c r="F920" s="10" t="str">
        <f t="shared" si="43"/>
        <v/>
      </c>
      <c r="G920" s="8"/>
      <c r="H920" s="11" t="str">
        <f>IF(B920="","",IF(OR(F920="Saturday",F920="Sunday"),SETTINGS!$B$11,IF(G920="Vacation",SETTINGS!$B$13,0)))</f>
        <v/>
      </c>
      <c r="I920" s="12" t="str">
        <f t="shared" si="44"/>
        <v/>
      </c>
      <c r="J920" s="8"/>
    </row>
    <row r="921" spans="1:10" x14ac:dyDescent="0.2">
      <c r="A921" s="7" t="str">
        <f t="shared" si="42"/>
        <v/>
      </c>
      <c r="B921" s="9"/>
      <c r="C921" s="8"/>
      <c r="D921" s="10" t="str">
        <f ca="1">IFERROR(_xludf.XLOOKUP(C921,STUDENTS!$A$5:$A$204,STUDENTS!$C$5:$C$204,""),"")</f>
        <v/>
      </c>
      <c r="E921" s="10" t="str">
        <f ca="1">IFERROR(_xludf.XLOOKUP(C921,STUDENTS!$A$5:$A$204,STUDENTS!$L$5:$L$204,""),"")</f>
        <v/>
      </c>
      <c r="F921" s="10" t="str">
        <f t="shared" si="43"/>
        <v/>
      </c>
      <c r="G921" s="8"/>
      <c r="H921" s="11" t="str">
        <f>IF(B921="","",IF(OR(F921="Saturday",F921="Sunday"),SETTINGS!$B$11,IF(G921="Vacation",SETTINGS!$B$13,0)))</f>
        <v/>
      </c>
      <c r="I921" s="12" t="str">
        <f t="shared" si="44"/>
        <v/>
      </c>
      <c r="J921" s="8"/>
    </row>
    <row r="922" spans="1:10" x14ac:dyDescent="0.2">
      <c r="A922" s="7" t="str">
        <f t="shared" si="42"/>
        <v/>
      </c>
      <c r="B922" s="9"/>
      <c r="C922" s="8"/>
      <c r="D922" s="10" t="str">
        <f ca="1">IFERROR(_xludf.XLOOKUP(C922,STUDENTS!$A$5:$A$204,STUDENTS!$C$5:$C$204,""),"")</f>
        <v/>
      </c>
      <c r="E922" s="10" t="str">
        <f ca="1">IFERROR(_xludf.XLOOKUP(C922,STUDENTS!$A$5:$A$204,STUDENTS!$L$5:$L$204,""),"")</f>
        <v/>
      </c>
      <c r="F922" s="10" t="str">
        <f t="shared" si="43"/>
        <v/>
      </c>
      <c r="G922" s="8"/>
      <c r="H922" s="11" t="str">
        <f>IF(B922="","",IF(OR(F922="Saturday",F922="Sunday"),SETTINGS!$B$11,IF(G922="Vacation",SETTINGS!$B$13,0)))</f>
        <v/>
      </c>
      <c r="I922" s="12" t="str">
        <f t="shared" si="44"/>
        <v/>
      </c>
      <c r="J922" s="8"/>
    </row>
    <row r="923" spans="1:10" x14ac:dyDescent="0.2">
      <c r="A923" s="7" t="str">
        <f t="shared" si="42"/>
        <v/>
      </c>
      <c r="B923" s="9"/>
      <c r="C923" s="8"/>
      <c r="D923" s="10" t="str">
        <f ca="1">IFERROR(_xludf.XLOOKUP(C923,STUDENTS!$A$5:$A$204,STUDENTS!$C$5:$C$204,""),"")</f>
        <v/>
      </c>
      <c r="E923" s="10" t="str">
        <f ca="1">IFERROR(_xludf.XLOOKUP(C923,STUDENTS!$A$5:$A$204,STUDENTS!$L$5:$L$204,""),"")</f>
        <v/>
      </c>
      <c r="F923" s="10" t="str">
        <f t="shared" si="43"/>
        <v/>
      </c>
      <c r="G923" s="8"/>
      <c r="H923" s="11" t="str">
        <f>IF(B923="","",IF(OR(F923="Saturday",F923="Sunday"),SETTINGS!$B$11,IF(G923="Vacation",SETTINGS!$B$13,0)))</f>
        <v/>
      </c>
      <c r="I923" s="12" t="str">
        <f t="shared" si="44"/>
        <v/>
      </c>
      <c r="J923" s="8"/>
    </row>
    <row r="924" spans="1:10" x14ac:dyDescent="0.2">
      <c r="A924" s="7" t="str">
        <f t="shared" si="42"/>
        <v/>
      </c>
      <c r="B924" s="9"/>
      <c r="C924" s="8"/>
      <c r="D924" s="10" t="str">
        <f ca="1">IFERROR(_xludf.XLOOKUP(C924,STUDENTS!$A$5:$A$204,STUDENTS!$C$5:$C$204,""),"")</f>
        <v/>
      </c>
      <c r="E924" s="10" t="str">
        <f ca="1">IFERROR(_xludf.XLOOKUP(C924,STUDENTS!$A$5:$A$204,STUDENTS!$L$5:$L$204,""),"")</f>
        <v/>
      </c>
      <c r="F924" s="10" t="str">
        <f t="shared" si="43"/>
        <v/>
      </c>
      <c r="G924" s="8"/>
      <c r="H924" s="11" t="str">
        <f>IF(B924="","",IF(OR(F924="Saturday",F924="Sunday"),SETTINGS!$B$11,IF(G924="Vacation",SETTINGS!$B$13,0)))</f>
        <v/>
      </c>
      <c r="I924" s="12" t="str">
        <f t="shared" si="44"/>
        <v/>
      </c>
      <c r="J924" s="8"/>
    </row>
    <row r="925" spans="1:10" x14ac:dyDescent="0.2">
      <c r="A925" s="7" t="str">
        <f t="shared" si="42"/>
        <v/>
      </c>
      <c r="B925" s="9"/>
      <c r="C925" s="8"/>
      <c r="D925" s="10" t="str">
        <f ca="1">IFERROR(_xludf.XLOOKUP(C925,STUDENTS!$A$5:$A$204,STUDENTS!$C$5:$C$204,""),"")</f>
        <v/>
      </c>
      <c r="E925" s="10" t="str">
        <f ca="1">IFERROR(_xludf.XLOOKUP(C925,STUDENTS!$A$5:$A$204,STUDENTS!$L$5:$L$204,""),"")</f>
        <v/>
      </c>
      <c r="F925" s="10" t="str">
        <f t="shared" si="43"/>
        <v/>
      </c>
      <c r="G925" s="8"/>
      <c r="H925" s="11" t="str">
        <f>IF(B925="","",IF(OR(F925="Saturday",F925="Sunday"),SETTINGS!$B$11,IF(G925="Vacation",SETTINGS!$B$13,0)))</f>
        <v/>
      </c>
      <c r="I925" s="12" t="str">
        <f t="shared" si="44"/>
        <v/>
      </c>
      <c r="J925" s="8"/>
    </row>
    <row r="926" spans="1:10" x14ac:dyDescent="0.2">
      <c r="A926" s="7" t="str">
        <f t="shared" si="42"/>
        <v/>
      </c>
      <c r="B926" s="9"/>
      <c r="C926" s="8"/>
      <c r="D926" s="10" t="str">
        <f ca="1">IFERROR(_xludf.XLOOKUP(C926,STUDENTS!$A$5:$A$204,STUDENTS!$C$5:$C$204,""),"")</f>
        <v/>
      </c>
      <c r="E926" s="10" t="str">
        <f ca="1">IFERROR(_xludf.XLOOKUP(C926,STUDENTS!$A$5:$A$204,STUDENTS!$L$5:$L$204,""),"")</f>
        <v/>
      </c>
      <c r="F926" s="10" t="str">
        <f t="shared" si="43"/>
        <v/>
      </c>
      <c r="G926" s="8"/>
      <c r="H926" s="11" t="str">
        <f>IF(B926="","",IF(OR(F926="Saturday",F926="Sunday"),SETTINGS!$B$11,IF(G926="Vacation",SETTINGS!$B$13,0)))</f>
        <v/>
      </c>
      <c r="I926" s="12" t="str">
        <f t="shared" si="44"/>
        <v/>
      </c>
      <c r="J926" s="8"/>
    </row>
    <row r="927" spans="1:10" x14ac:dyDescent="0.2">
      <c r="A927" s="7" t="str">
        <f t="shared" si="42"/>
        <v/>
      </c>
      <c r="B927" s="9"/>
      <c r="C927" s="8"/>
      <c r="D927" s="10" t="str">
        <f ca="1">IFERROR(_xludf.XLOOKUP(C927,STUDENTS!$A$5:$A$204,STUDENTS!$C$5:$C$204,""),"")</f>
        <v/>
      </c>
      <c r="E927" s="10" t="str">
        <f ca="1">IFERROR(_xludf.XLOOKUP(C927,STUDENTS!$A$5:$A$204,STUDENTS!$L$5:$L$204,""),"")</f>
        <v/>
      </c>
      <c r="F927" s="10" t="str">
        <f t="shared" si="43"/>
        <v/>
      </c>
      <c r="G927" s="8"/>
      <c r="H927" s="11" t="str">
        <f>IF(B927="","",IF(OR(F927="Saturday",F927="Sunday"),SETTINGS!$B$11,IF(G927="Vacation",SETTINGS!$B$13,0)))</f>
        <v/>
      </c>
      <c r="I927" s="12" t="str">
        <f t="shared" si="44"/>
        <v/>
      </c>
      <c r="J927" s="8"/>
    </row>
    <row r="928" spans="1:10" x14ac:dyDescent="0.2">
      <c r="A928" s="7" t="str">
        <f t="shared" si="42"/>
        <v/>
      </c>
      <c r="B928" s="9"/>
      <c r="C928" s="8"/>
      <c r="D928" s="10" t="str">
        <f ca="1">IFERROR(_xludf.XLOOKUP(C928,STUDENTS!$A$5:$A$204,STUDENTS!$C$5:$C$204,""),"")</f>
        <v/>
      </c>
      <c r="E928" s="10" t="str">
        <f ca="1">IFERROR(_xludf.XLOOKUP(C928,STUDENTS!$A$5:$A$204,STUDENTS!$L$5:$L$204,""),"")</f>
        <v/>
      </c>
      <c r="F928" s="10" t="str">
        <f t="shared" si="43"/>
        <v/>
      </c>
      <c r="G928" s="8"/>
      <c r="H928" s="11" t="str">
        <f>IF(B928="","",IF(OR(F928="Saturday",F928="Sunday"),SETTINGS!$B$11,IF(G928="Vacation",SETTINGS!$B$13,0)))</f>
        <v/>
      </c>
      <c r="I928" s="12" t="str">
        <f t="shared" si="44"/>
        <v/>
      </c>
      <c r="J928" s="8"/>
    </row>
    <row r="929" spans="1:10" x14ac:dyDescent="0.2">
      <c r="A929" s="7" t="str">
        <f t="shared" si="42"/>
        <v/>
      </c>
      <c r="B929" s="9"/>
      <c r="C929" s="8"/>
      <c r="D929" s="10" t="str">
        <f ca="1">IFERROR(_xludf.XLOOKUP(C929,STUDENTS!$A$5:$A$204,STUDENTS!$C$5:$C$204,""),"")</f>
        <v/>
      </c>
      <c r="E929" s="10" t="str">
        <f ca="1">IFERROR(_xludf.XLOOKUP(C929,STUDENTS!$A$5:$A$204,STUDENTS!$L$5:$L$204,""),"")</f>
        <v/>
      </c>
      <c r="F929" s="10" t="str">
        <f t="shared" si="43"/>
        <v/>
      </c>
      <c r="G929" s="8"/>
      <c r="H929" s="11" t="str">
        <f>IF(B929="","",IF(OR(F929="Saturday",F929="Sunday"),SETTINGS!$B$11,IF(G929="Vacation",SETTINGS!$B$13,0)))</f>
        <v/>
      </c>
      <c r="I929" s="12" t="str">
        <f t="shared" si="44"/>
        <v/>
      </c>
      <c r="J929" s="8"/>
    </row>
    <row r="930" spans="1:10" x14ac:dyDescent="0.2">
      <c r="A930" s="7" t="str">
        <f t="shared" si="42"/>
        <v/>
      </c>
      <c r="B930" s="9"/>
      <c r="C930" s="8"/>
      <c r="D930" s="10" t="str">
        <f ca="1">IFERROR(_xludf.XLOOKUP(C930,STUDENTS!$A$5:$A$204,STUDENTS!$C$5:$C$204,""),"")</f>
        <v/>
      </c>
      <c r="E930" s="10" t="str">
        <f ca="1">IFERROR(_xludf.XLOOKUP(C930,STUDENTS!$A$5:$A$204,STUDENTS!$L$5:$L$204,""),"")</f>
        <v/>
      </c>
      <c r="F930" s="10" t="str">
        <f t="shared" si="43"/>
        <v/>
      </c>
      <c r="G930" s="8"/>
      <c r="H930" s="11" t="str">
        <f>IF(B930="","",IF(OR(F930="Saturday",F930="Sunday"),SETTINGS!$B$11,IF(G930="Vacation",SETTINGS!$B$13,0)))</f>
        <v/>
      </c>
      <c r="I930" s="12" t="str">
        <f t="shared" si="44"/>
        <v/>
      </c>
      <c r="J930" s="8"/>
    </row>
    <row r="931" spans="1:10" x14ac:dyDescent="0.2">
      <c r="A931" s="7" t="str">
        <f t="shared" si="42"/>
        <v/>
      </c>
      <c r="B931" s="9"/>
      <c r="C931" s="8"/>
      <c r="D931" s="10" t="str">
        <f ca="1">IFERROR(_xludf.XLOOKUP(C931,STUDENTS!$A$5:$A$204,STUDENTS!$C$5:$C$204,""),"")</f>
        <v/>
      </c>
      <c r="E931" s="10" t="str">
        <f ca="1">IFERROR(_xludf.XLOOKUP(C931,STUDENTS!$A$5:$A$204,STUDENTS!$L$5:$L$204,""),"")</f>
        <v/>
      </c>
      <c r="F931" s="10" t="str">
        <f t="shared" si="43"/>
        <v/>
      </c>
      <c r="G931" s="8"/>
      <c r="H931" s="11" t="str">
        <f>IF(B931="","",IF(OR(F931="Saturday",F931="Sunday"),SETTINGS!$B$11,IF(G931="Vacation",SETTINGS!$B$13,0)))</f>
        <v/>
      </c>
      <c r="I931" s="12" t="str">
        <f t="shared" si="44"/>
        <v/>
      </c>
      <c r="J931" s="8"/>
    </row>
    <row r="932" spans="1:10" x14ac:dyDescent="0.2">
      <c r="A932" s="7" t="str">
        <f t="shared" si="42"/>
        <v/>
      </c>
      <c r="B932" s="9"/>
      <c r="C932" s="8"/>
      <c r="D932" s="10" t="str">
        <f ca="1">IFERROR(_xludf.XLOOKUP(C932,STUDENTS!$A$5:$A$204,STUDENTS!$C$5:$C$204,""),"")</f>
        <v/>
      </c>
      <c r="E932" s="10" t="str">
        <f ca="1">IFERROR(_xludf.XLOOKUP(C932,STUDENTS!$A$5:$A$204,STUDENTS!$L$5:$L$204,""),"")</f>
        <v/>
      </c>
      <c r="F932" s="10" t="str">
        <f t="shared" si="43"/>
        <v/>
      </c>
      <c r="G932" s="8"/>
      <c r="H932" s="11" t="str">
        <f>IF(B932="","",IF(OR(F932="Saturday",F932="Sunday"),SETTINGS!$B$11,IF(G932="Vacation",SETTINGS!$B$13,0)))</f>
        <v/>
      </c>
      <c r="I932" s="12" t="str">
        <f t="shared" si="44"/>
        <v/>
      </c>
      <c r="J932" s="8"/>
    </row>
    <row r="933" spans="1:10" x14ac:dyDescent="0.2">
      <c r="A933" s="7" t="str">
        <f t="shared" si="42"/>
        <v/>
      </c>
      <c r="B933" s="9"/>
      <c r="C933" s="8"/>
      <c r="D933" s="10" t="str">
        <f ca="1">IFERROR(_xludf.XLOOKUP(C933,STUDENTS!$A$5:$A$204,STUDENTS!$C$5:$C$204,""),"")</f>
        <v/>
      </c>
      <c r="E933" s="10" t="str">
        <f ca="1">IFERROR(_xludf.XLOOKUP(C933,STUDENTS!$A$5:$A$204,STUDENTS!$L$5:$L$204,""),"")</f>
        <v/>
      </c>
      <c r="F933" s="10" t="str">
        <f t="shared" si="43"/>
        <v/>
      </c>
      <c r="G933" s="8"/>
      <c r="H933" s="11" t="str">
        <f>IF(B933="","",IF(OR(F933="Saturday",F933="Sunday"),SETTINGS!$B$11,IF(G933="Vacation",SETTINGS!$B$13,0)))</f>
        <v/>
      </c>
      <c r="I933" s="12" t="str">
        <f t="shared" si="44"/>
        <v/>
      </c>
      <c r="J933" s="8"/>
    </row>
    <row r="934" spans="1:10" x14ac:dyDescent="0.2">
      <c r="A934" s="7" t="str">
        <f t="shared" si="42"/>
        <v/>
      </c>
      <c r="B934" s="9"/>
      <c r="C934" s="8"/>
      <c r="D934" s="10" t="str">
        <f ca="1">IFERROR(_xludf.XLOOKUP(C934,STUDENTS!$A$5:$A$204,STUDENTS!$C$5:$C$204,""),"")</f>
        <v/>
      </c>
      <c r="E934" s="10" t="str">
        <f ca="1">IFERROR(_xludf.XLOOKUP(C934,STUDENTS!$A$5:$A$204,STUDENTS!$L$5:$L$204,""),"")</f>
        <v/>
      </c>
      <c r="F934" s="10" t="str">
        <f t="shared" si="43"/>
        <v/>
      </c>
      <c r="G934" s="8"/>
      <c r="H934" s="11" t="str">
        <f>IF(B934="","",IF(OR(F934="Saturday",F934="Sunday"),SETTINGS!$B$11,IF(G934="Vacation",SETTINGS!$B$13,0)))</f>
        <v/>
      </c>
      <c r="I934" s="12" t="str">
        <f t="shared" si="44"/>
        <v/>
      </c>
      <c r="J934" s="8"/>
    </row>
    <row r="935" spans="1:10" x14ac:dyDescent="0.2">
      <c r="A935" s="7" t="str">
        <f t="shared" si="42"/>
        <v/>
      </c>
      <c r="B935" s="9"/>
      <c r="C935" s="8"/>
      <c r="D935" s="10" t="str">
        <f ca="1">IFERROR(_xludf.XLOOKUP(C935,STUDENTS!$A$5:$A$204,STUDENTS!$C$5:$C$204,""),"")</f>
        <v/>
      </c>
      <c r="E935" s="10" t="str">
        <f ca="1">IFERROR(_xludf.XLOOKUP(C935,STUDENTS!$A$5:$A$204,STUDENTS!$L$5:$L$204,""),"")</f>
        <v/>
      </c>
      <c r="F935" s="10" t="str">
        <f t="shared" si="43"/>
        <v/>
      </c>
      <c r="G935" s="8"/>
      <c r="H935" s="11" t="str">
        <f>IF(B935="","",IF(OR(F935="Saturday",F935="Sunday"),SETTINGS!$B$11,IF(G935="Vacation",SETTINGS!$B$13,0)))</f>
        <v/>
      </c>
      <c r="I935" s="12" t="str">
        <f t="shared" si="44"/>
        <v/>
      </c>
      <c r="J935" s="8"/>
    </row>
    <row r="936" spans="1:10" x14ac:dyDescent="0.2">
      <c r="A936" s="7" t="str">
        <f t="shared" si="42"/>
        <v/>
      </c>
      <c r="B936" s="9"/>
      <c r="C936" s="8"/>
      <c r="D936" s="10" t="str">
        <f ca="1">IFERROR(_xludf.XLOOKUP(C936,STUDENTS!$A$5:$A$204,STUDENTS!$C$5:$C$204,""),"")</f>
        <v/>
      </c>
      <c r="E936" s="10" t="str">
        <f ca="1">IFERROR(_xludf.XLOOKUP(C936,STUDENTS!$A$5:$A$204,STUDENTS!$L$5:$L$204,""),"")</f>
        <v/>
      </c>
      <c r="F936" s="10" t="str">
        <f t="shared" si="43"/>
        <v/>
      </c>
      <c r="G936" s="8"/>
      <c r="H936" s="11" t="str">
        <f>IF(B936="","",IF(OR(F936="Saturday",F936="Sunday"),SETTINGS!$B$11,IF(G936="Vacation",SETTINGS!$B$13,0)))</f>
        <v/>
      </c>
      <c r="I936" s="12" t="str">
        <f t="shared" si="44"/>
        <v/>
      </c>
      <c r="J936" s="8"/>
    </row>
    <row r="937" spans="1:10" x14ac:dyDescent="0.2">
      <c r="A937" s="7" t="str">
        <f t="shared" si="42"/>
        <v/>
      </c>
      <c r="B937" s="9"/>
      <c r="C937" s="8"/>
      <c r="D937" s="10" t="str">
        <f ca="1">IFERROR(_xludf.XLOOKUP(C937,STUDENTS!$A$5:$A$204,STUDENTS!$C$5:$C$204,""),"")</f>
        <v/>
      </c>
      <c r="E937" s="10" t="str">
        <f ca="1">IFERROR(_xludf.XLOOKUP(C937,STUDENTS!$A$5:$A$204,STUDENTS!$L$5:$L$204,""),"")</f>
        <v/>
      </c>
      <c r="F937" s="10" t="str">
        <f t="shared" si="43"/>
        <v/>
      </c>
      <c r="G937" s="8"/>
      <c r="H937" s="11" t="str">
        <f>IF(B937="","",IF(OR(F937="Saturday",F937="Sunday"),SETTINGS!$B$11,IF(G937="Vacation",SETTINGS!$B$13,0)))</f>
        <v/>
      </c>
      <c r="I937" s="12" t="str">
        <f t="shared" si="44"/>
        <v/>
      </c>
      <c r="J937" s="8"/>
    </row>
    <row r="938" spans="1:10" x14ac:dyDescent="0.2">
      <c r="A938" s="7" t="str">
        <f t="shared" si="42"/>
        <v/>
      </c>
      <c r="B938" s="9"/>
      <c r="C938" s="8"/>
      <c r="D938" s="10" t="str">
        <f ca="1">IFERROR(_xludf.XLOOKUP(C938,STUDENTS!$A$5:$A$204,STUDENTS!$C$5:$C$204,""),"")</f>
        <v/>
      </c>
      <c r="E938" s="10" t="str">
        <f ca="1">IFERROR(_xludf.XLOOKUP(C938,STUDENTS!$A$5:$A$204,STUDENTS!$L$5:$L$204,""),"")</f>
        <v/>
      </c>
      <c r="F938" s="10" t="str">
        <f t="shared" si="43"/>
        <v/>
      </c>
      <c r="G938" s="8"/>
      <c r="H938" s="11" t="str">
        <f>IF(B938="","",IF(OR(F938="Saturday",F938="Sunday"),SETTINGS!$B$11,IF(G938="Vacation",SETTINGS!$B$13,0)))</f>
        <v/>
      </c>
      <c r="I938" s="12" t="str">
        <f t="shared" si="44"/>
        <v/>
      </c>
      <c r="J938" s="8"/>
    </row>
    <row r="939" spans="1:10" x14ac:dyDescent="0.2">
      <c r="A939" s="7" t="str">
        <f t="shared" si="42"/>
        <v/>
      </c>
      <c r="B939" s="9"/>
      <c r="C939" s="8"/>
      <c r="D939" s="10" t="str">
        <f ca="1">IFERROR(_xludf.XLOOKUP(C939,STUDENTS!$A$5:$A$204,STUDENTS!$C$5:$C$204,""),"")</f>
        <v/>
      </c>
      <c r="E939" s="10" t="str">
        <f ca="1">IFERROR(_xludf.XLOOKUP(C939,STUDENTS!$A$5:$A$204,STUDENTS!$L$5:$L$204,""),"")</f>
        <v/>
      </c>
      <c r="F939" s="10" t="str">
        <f t="shared" si="43"/>
        <v/>
      </c>
      <c r="G939" s="8"/>
      <c r="H939" s="11" t="str">
        <f>IF(B939="","",IF(OR(F939="Saturday",F939="Sunday"),SETTINGS!$B$11,IF(G939="Vacation",SETTINGS!$B$13,0)))</f>
        <v/>
      </c>
      <c r="I939" s="12" t="str">
        <f t="shared" si="44"/>
        <v/>
      </c>
      <c r="J939" s="8"/>
    </row>
    <row r="940" spans="1:10" x14ac:dyDescent="0.2">
      <c r="A940" s="7" t="str">
        <f t="shared" si="42"/>
        <v/>
      </c>
      <c r="B940" s="9"/>
      <c r="C940" s="8"/>
      <c r="D940" s="10" t="str">
        <f ca="1">IFERROR(_xludf.XLOOKUP(C940,STUDENTS!$A$5:$A$204,STUDENTS!$C$5:$C$204,""),"")</f>
        <v/>
      </c>
      <c r="E940" s="10" t="str">
        <f ca="1">IFERROR(_xludf.XLOOKUP(C940,STUDENTS!$A$5:$A$204,STUDENTS!$L$5:$L$204,""),"")</f>
        <v/>
      </c>
      <c r="F940" s="10" t="str">
        <f t="shared" si="43"/>
        <v/>
      </c>
      <c r="G940" s="8"/>
      <c r="H940" s="11" t="str">
        <f>IF(B940="","",IF(OR(F940="Saturday",F940="Sunday"),SETTINGS!$B$11,IF(G940="Vacation",SETTINGS!$B$13,0)))</f>
        <v/>
      </c>
      <c r="I940" s="12" t="str">
        <f t="shared" si="44"/>
        <v/>
      </c>
      <c r="J940" s="8"/>
    </row>
    <row r="941" spans="1:10" x14ac:dyDescent="0.2">
      <c r="A941" s="7" t="str">
        <f t="shared" si="42"/>
        <v/>
      </c>
      <c r="B941" s="9"/>
      <c r="C941" s="8"/>
      <c r="D941" s="10" t="str">
        <f ca="1">IFERROR(_xludf.XLOOKUP(C941,STUDENTS!$A$5:$A$204,STUDENTS!$C$5:$C$204,""),"")</f>
        <v/>
      </c>
      <c r="E941" s="10" t="str">
        <f ca="1">IFERROR(_xludf.XLOOKUP(C941,STUDENTS!$A$5:$A$204,STUDENTS!$L$5:$L$204,""),"")</f>
        <v/>
      </c>
      <c r="F941" s="10" t="str">
        <f t="shared" si="43"/>
        <v/>
      </c>
      <c r="G941" s="8"/>
      <c r="H941" s="11" t="str">
        <f>IF(B941="","",IF(OR(F941="Saturday",F941="Sunday"),SETTINGS!$B$11,IF(G941="Vacation",SETTINGS!$B$13,0)))</f>
        <v/>
      </c>
      <c r="I941" s="12" t="str">
        <f t="shared" si="44"/>
        <v/>
      </c>
      <c r="J941" s="8"/>
    </row>
    <row r="942" spans="1:10" x14ac:dyDescent="0.2">
      <c r="A942" s="7" t="str">
        <f t="shared" si="42"/>
        <v/>
      </c>
      <c r="B942" s="9"/>
      <c r="C942" s="8"/>
      <c r="D942" s="10" t="str">
        <f ca="1">IFERROR(_xludf.XLOOKUP(C942,STUDENTS!$A$5:$A$204,STUDENTS!$C$5:$C$204,""),"")</f>
        <v/>
      </c>
      <c r="E942" s="10" t="str">
        <f ca="1">IFERROR(_xludf.XLOOKUP(C942,STUDENTS!$A$5:$A$204,STUDENTS!$L$5:$L$204,""),"")</f>
        <v/>
      </c>
      <c r="F942" s="10" t="str">
        <f t="shared" si="43"/>
        <v/>
      </c>
      <c r="G942" s="8"/>
      <c r="H942" s="11" t="str">
        <f>IF(B942="","",IF(OR(F942="Saturday",F942="Sunday"),SETTINGS!$B$11,IF(G942="Vacation",SETTINGS!$B$13,0)))</f>
        <v/>
      </c>
      <c r="I942" s="12" t="str">
        <f t="shared" si="44"/>
        <v/>
      </c>
      <c r="J942" s="8"/>
    </row>
    <row r="943" spans="1:10" x14ac:dyDescent="0.2">
      <c r="A943" s="7" t="str">
        <f t="shared" si="42"/>
        <v/>
      </c>
      <c r="B943" s="9"/>
      <c r="C943" s="8"/>
      <c r="D943" s="10" t="str">
        <f ca="1">IFERROR(_xludf.XLOOKUP(C943,STUDENTS!$A$5:$A$204,STUDENTS!$C$5:$C$204,""),"")</f>
        <v/>
      </c>
      <c r="E943" s="10" t="str">
        <f ca="1">IFERROR(_xludf.XLOOKUP(C943,STUDENTS!$A$5:$A$204,STUDENTS!$L$5:$L$204,""),"")</f>
        <v/>
      </c>
      <c r="F943" s="10" t="str">
        <f t="shared" si="43"/>
        <v/>
      </c>
      <c r="G943" s="8"/>
      <c r="H943" s="11" t="str">
        <f>IF(B943="","",IF(OR(F943="Saturday",F943="Sunday"),SETTINGS!$B$11,IF(G943="Vacation",SETTINGS!$B$13,0)))</f>
        <v/>
      </c>
      <c r="I943" s="12" t="str">
        <f t="shared" si="44"/>
        <v/>
      </c>
      <c r="J943" s="8"/>
    </row>
    <row r="944" spans="1:10" x14ac:dyDescent="0.2">
      <c r="A944" s="7" t="str">
        <f t="shared" si="42"/>
        <v/>
      </c>
      <c r="B944" s="9"/>
      <c r="C944" s="8"/>
      <c r="D944" s="10" t="str">
        <f ca="1">IFERROR(_xludf.XLOOKUP(C944,STUDENTS!$A$5:$A$204,STUDENTS!$C$5:$C$204,""),"")</f>
        <v/>
      </c>
      <c r="E944" s="10" t="str">
        <f ca="1">IFERROR(_xludf.XLOOKUP(C944,STUDENTS!$A$5:$A$204,STUDENTS!$L$5:$L$204,""),"")</f>
        <v/>
      </c>
      <c r="F944" s="10" t="str">
        <f t="shared" si="43"/>
        <v/>
      </c>
      <c r="G944" s="8"/>
      <c r="H944" s="11" t="str">
        <f>IF(B944="","",IF(OR(F944="Saturday",F944="Sunday"),SETTINGS!$B$11,IF(G944="Vacation",SETTINGS!$B$13,0)))</f>
        <v/>
      </c>
      <c r="I944" s="12" t="str">
        <f t="shared" si="44"/>
        <v/>
      </c>
      <c r="J944" s="8"/>
    </row>
    <row r="945" spans="1:10" x14ac:dyDescent="0.2">
      <c r="A945" s="7" t="str">
        <f t="shared" si="42"/>
        <v/>
      </c>
      <c r="B945" s="9"/>
      <c r="C945" s="8"/>
      <c r="D945" s="10" t="str">
        <f ca="1">IFERROR(_xludf.XLOOKUP(C945,STUDENTS!$A$5:$A$204,STUDENTS!$C$5:$C$204,""),"")</f>
        <v/>
      </c>
      <c r="E945" s="10" t="str">
        <f ca="1">IFERROR(_xludf.XLOOKUP(C945,STUDENTS!$A$5:$A$204,STUDENTS!$L$5:$L$204,""),"")</f>
        <v/>
      </c>
      <c r="F945" s="10" t="str">
        <f t="shared" si="43"/>
        <v/>
      </c>
      <c r="G945" s="8"/>
      <c r="H945" s="11" t="str">
        <f>IF(B945="","",IF(OR(F945="Saturday",F945="Sunday"),SETTINGS!$B$11,IF(G945="Vacation",SETTINGS!$B$13,0)))</f>
        <v/>
      </c>
      <c r="I945" s="12" t="str">
        <f t="shared" si="44"/>
        <v/>
      </c>
      <c r="J945" s="8"/>
    </row>
    <row r="946" spans="1:10" x14ac:dyDescent="0.2">
      <c r="A946" s="7" t="str">
        <f t="shared" si="42"/>
        <v/>
      </c>
      <c r="B946" s="9"/>
      <c r="C946" s="8"/>
      <c r="D946" s="10" t="str">
        <f ca="1">IFERROR(_xludf.XLOOKUP(C946,STUDENTS!$A$5:$A$204,STUDENTS!$C$5:$C$204,""),"")</f>
        <v/>
      </c>
      <c r="E946" s="10" t="str">
        <f ca="1">IFERROR(_xludf.XLOOKUP(C946,STUDENTS!$A$5:$A$204,STUDENTS!$L$5:$L$204,""),"")</f>
        <v/>
      </c>
      <c r="F946" s="10" t="str">
        <f t="shared" si="43"/>
        <v/>
      </c>
      <c r="G946" s="8"/>
      <c r="H946" s="11" t="str">
        <f>IF(B946="","",IF(OR(F946="Saturday",F946="Sunday"),SETTINGS!$B$11,IF(G946="Vacation",SETTINGS!$B$13,0)))</f>
        <v/>
      </c>
      <c r="I946" s="12" t="str">
        <f t="shared" si="44"/>
        <v/>
      </c>
      <c r="J946" s="8"/>
    </row>
    <row r="947" spans="1:10" x14ac:dyDescent="0.2">
      <c r="A947" s="7" t="str">
        <f t="shared" si="42"/>
        <v/>
      </c>
      <c r="B947" s="9"/>
      <c r="C947" s="8"/>
      <c r="D947" s="10" t="str">
        <f ca="1">IFERROR(_xludf.XLOOKUP(C947,STUDENTS!$A$5:$A$204,STUDENTS!$C$5:$C$204,""),"")</f>
        <v/>
      </c>
      <c r="E947" s="10" t="str">
        <f ca="1">IFERROR(_xludf.XLOOKUP(C947,STUDENTS!$A$5:$A$204,STUDENTS!$L$5:$L$204,""),"")</f>
        <v/>
      </c>
      <c r="F947" s="10" t="str">
        <f t="shared" si="43"/>
        <v/>
      </c>
      <c r="G947" s="8"/>
      <c r="H947" s="11" t="str">
        <f>IF(B947="","",IF(OR(F947="Saturday",F947="Sunday"),SETTINGS!$B$11,IF(G947="Vacation",SETTINGS!$B$13,0)))</f>
        <v/>
      </c>
      <c r="I947" s="12" t="str">
        <f t="shared" si="44"/>
        <v/>
      </c>
      <c r="J947" s="8"/>
    </row>
    <row r="948" spans="1:10" x14ac:dyDescent="0.2">
      <c r="A948" s="7" t="str">
        <f t="shared" si="42"/>
        <v/>
      </c>
      <c r="B948" s="9"/>
      <c r="C948" s="8"/>
      <c r="D948" s="10" t="str">
        <f ca="1">IFERROR(_xludf.XLOOKUP(C948,STUDENTS!$A$5:$A$204,STUDENTS!$C$5:$C$204,""),"")</f>
        <v/>
      </c>
      <c r="E948" s="10" t="str">
        <f ca="1">IFERROR(_xludf.XLOOKUP(C948,STUDENTS!$A$5:$A$204,STUDENTS!$L$5:$L$204,""),"")</f>
        <v/>
      </c>
      <c r="F948" s="10" t="str">
        <f t="shared" si="43"/>
        <v/>
      </c>
      <c r="G948" s="8"/>
      <c r="H948" s="11" t="str">
        <f>IF(B948="","",IF(OR(F948="Saturday",F948="Sunday"),SETTINGS!$B$11,IF(G948="Vacation",SETTINGS!$B$13,0)))</f>
        <v/>
      </c>
      <c r="I948" s="12" t="str">
        <f t="shared" si="44"/>
        <v/>
      </c>
      <c r="J948" s="8"/>
    </row>
    <row r="949" spans="1:10" x14ac:dyDescent="0.2">
      <c r="A949" s="7" t="str">
        <f t="shared" si="42"/>
        <v/>
      </c>
      <c r="B949" s="9"/>
      <c r="C949" s="8"/>
      <c r="D949" s="10" t="str">
        <f ca="1">IFERROR(_xludf.XLOOKUP(C949,STUDENTS!$A$5:$A$204,STUDENTS!$C$5:$C$204,""),"")</f>
        <v/>
      </c>
      <c r="E949" s="10" t="str">
        <f ca="1">IFERROR(_xludf.XLOOKUP(C949,STUDENTS!$A$5:$A$204,STUDENTS!$L$5:$L$204,""),"")</f>
        <v/>
      </c>
      <c r="F949" s="10" t="str">
        <f t="shared" si="43"/>
        <v/>
      </c>
      <c r="G949" s="8"/>
      <c r="H949" s="11" t="str">
        <f>IF(B949="","",IF(OR(F949="Saturday",F949="Sunday"),SETTINGS!$B$11,IF(G949="Vacation",SETTINGS!$B$13,0)))</f>
        <v/>
      </c>
      <c r="I949" s="12" t="str">
        <f t="shared" si="44"/>
        <v/>
      </c>
      <c r="J949" s="8"/>
    </row>
    <row r="950" spans="1:10" x14ac:dyDescent="0.2">
      <c r="A950" s="7" t="str">
        <f t="shared" si="42"/>
        <v/>
      </c>
      <c r="B950" s="9"/>
      <c r="C950" s="8"/>
      <c r="D950" s="10" t="str">
        <f ca="1">IFERROR(_xludf.XLOOKUP(C950,STUDENTS!$A$5:$A$204,STUDENTS!$C$5:$C$204,""),"")</f>
        <v/>
      </c>
      <c r="E950" s="10" t="str">
        <f ca="1">IFERROR(_xludf.XLOOKUP(C950,STUDENTS!$A$5:$A$204,STUDENTS!$L$5:$L$204,""),"")</f>
        <v/>
      </c>
      <c r="F950" s="10" t="str">
        <f t="shared" si="43"/>
        <v/>
      </c>
      <c r="G950" s="8"/>
      <c r="H950" s="11" t="str">
        <f>IF(B950="","",IF(OR(F950="Saturday",F950="Sunday"),SETTINGS!$B$11,IF(G950="Vacation",SETTINGS!$B$13,0)))</f>
        <v/>
      </c>
      <c r="I950" s="12" t="str">
        <f t="shared" si="44"/>
        <v/>
      </c>
      <c r="J950" s="8"/>
    </row>
    <row r="951" spans="1:10" x14ac:dyDescent="0.2">
      <c r="A951" s="7" t="str">
        <f t="shared" si="42"/>
        <v/>
      </c>
      <c r="B951" s="9"/>
      <c r="C951" s="8"/>
      <c r="D951" s="10" t="str">
        <f ca="1">IFERROR(_xludf.XLOOKUP(C951,STUDENTS!$A$5:$A$204,STUDENTS!$C$5:$C$204,""),"")</f>
        <v/>
      </c>
      <c r="E951" s="10" t="str">
        <f ca="1">IFERROR(_xludf.XLOOKUP(C951,STUDENTS!$A$5:$A$204,STUDENTS!$L$5:$L$204,""),"")</f>
        <v/>
      </c>
      <c r="F951" s="10" t="str">
        <f t="shared" si="43"/>
        <v/>
      </c>
      <c r="G951" s="8"/>
      <c r="H951" s="11" t="str">
        <f>IF(B951="","",IF(OR(F951="Saturday",F951="Sunday"),SETTINGS!$B$11,IF(G951="Vacation",SETTINGS!$B$13,0)))</f>
        <v/>
      </c>
      <c r="I951" s="12" t="str">
        <f t="shared" si="44"/>
        <v/>
      </c>
      <c r="J951" s="8"/>
    </row>
    <row r="952" spans="1:10" x14ac:dyDescent="0.2">
      <c r="A952" s="7" t="str">
        <f t="shared" si="42"/>
        <v/>
      </c>
      <c r="B952" s="9"/>
      <c r="C952" s="8"/>
      <c r="D952" s="10" t="str">
        <f ca="1">IFERROR(_xludf.XLOOKUP(C952,STUDENTS!$A$5:$A$204,STUDENTS!$C$5:$C$204,""),"")</f>
        <v/>
      </c>
      <c r="E952" s="10" t="str">
        <f ca="1">IFERROR(_xludf.XLOOKUP(C952,STUDENTS!$A$5:$A$204,STUDENTS!$L$5:$L$204,""),"")</f>
        <v/>
      </c>
      <c r="F952" s="10" t="str">
        <f t="shared" si="43"/>
        <v/>
      </c>
      <c r="G952" s="8"/>
      <c r="H952" s="11" t="str">
        <f>IF(B952="","",IF(OR(F952="Saturday",F952="Sunday"),SETTINGS!$B$11,IF(G952="Vacation",SETTINGS!$B$13,0)))</f>
        <v/>
      </c>
      <c r="I952" s="12" t="str">
        <f t="shared" si="44"/>
        <v/>
      </c>
      <c r="J952" s="8"/>
    </row>
    <row r="953" spans="1:10" x14ac:dyDescent="0.2">
      <c r="A953" s="7" t="str">
        <f t="shared" si="42"/>
        <v/>
      </c>
      <c r="B953" s="9"/>
      <c r="C953" s="8"/>
      <c r="D953" s="10" t="str">
        <f ca="1">IFERROR(_xludf.XLOOKUP(C953,STUDENTS!$A$5:$A$204,STUDENTS!$C$5:$C$204,""),"")</f>
        <v/>
      </c>
      <c r="E953" s="10" t="str">
        <f ca="1">IFERROR(_xludf.XLOOKUP(C953,STUDENTS!$A$5:$A$204,STUDENTS!$L$5:$L$204,""),"")</f>
        <v/>
      </c>
      <c r="F953" s="10" t="str">
        <f t="shared" si="43"/>
        <v/>
      </c>
      <c r="G953" s="8"/>
      <c r="H953" s="11" t="str">
        <f>IF(B953="","",IF(OR(F953="Saturday",F953="Sunday"),SETTINGS!$B$11,IF(G953="Vacation",SETTINGS!$B$13,0)))</f>
        <v/>
      </c>
      <c r="I953" s="12" t="str">
        <f t="shared" si="44"/>
        <v/>
      </c>
      <c r="J953" s="8"/>
    </row>
    <row r="954" spans="1:10" x14ac:dyDescent="0.2">
      <c r="A954" s="7" t="str">
        <f t="shared" si="42"/>
        <v/>
      </c>
      <c r="B954" s="9"/>
      <c r="C954" s="8"/>
      <c r="D954" s="10" t="str">
        <f ca="1">IFERROR(_xludf.XLOOKUP(C954,STUDENTS!$A$5:$A$204,STUDENTS!$C$5:$C$204,""),"")</f>
        <v/>
      </c>
      <c r="E954" s="10" t="str">
        <f ca="1">IFERROR(_xludf.XLOOKUP(C954,STUDENTS!$A$5:$A$204,STUDENTS!$L$5:$L$204,""),"")</f>
        <v/>
      </c>
      <c r="F954" s="10" t="str">
        <f t="shared" si="43"/>
        <v/>
      </c>
      <c r="G954" s="8"/>
      <c r="H954" s="11" t="str">
        <f>IF(B954="","",IF(OR(F954="Saturday",F954="Sunday"),SETTINGS!$B$11,IF(G954="Vacation",SETTINGS!$B$13,0)))</f>
        <v/>
      </c>
      <c r="I954" s="12" t="str">
        <f t="shared" si="44"/>
        <v/>
      </c>
      <c r="J954" s="8"/>
    </row>
    <row r="955" spans="1:10" x14ac:dyDescent="0.2">
      <c r="A955" s="7" t="str">
        <f t="shared" si="42"/>
        <v/>
      </c>
      <c r="B955" s="9"/>
      <c r="C955" s="8"/>
      <c r="D955" s="10" t="str">
        <f ca="1">IFERROR(_xludf.XLOOKUP(C955,STUDENTS!$A$5:$A$204,STUDENTS!$C$5:$C$204,""),"")</f>
        <v/>
      </c>
      <c r="E955" s="10" t="str">
        <f ca="1">IFERROR(_xludf.XLOOKUP(C955,STUDENTS!$A$5:$A$204,STUDENTS!$L$5:$L$204,""),"")</f>
        <v/>
      </c>
      <c r="F955" s="10" t="str">
        <f t="shared" si="43"/>
        <v/>
      </c>
      <c r="G955" s="8"/>
      <c r="H955" s="11" t="str">
        <f>IF(B955="","",IF(OR(F955="Saturday",F955="Sunday"),SETTINGS!$B$11,IF(G955="Vacation",SETTINGS!$B$13,0)))</f>
        <v/>
      </c>
      <c r="I955" s="12" t="str">
        <f t="shared" si="44"/>
        <v/>
      </c>
      <c r="J955" s="8"/>
    </row>
    <row r="956" spans="1:10" x14ac:dyDescent="0.2">
      <c r="A956" s="7" t="str">
        <f t="shared" si="42"/>
        <v/>
      </c>
      <c r="B956" s="9"/>
      <c r="C956" s="8"/>
      <c r="D956" s="10" t="str">
        <f ca="1">IFERROR(_xludf.XLOOKUP(C956,STUDENTS!$A$5:$A$204,STUDENTS!$C$5:$C$204,""),"")</f>
        <v/>
      </c>
      <c r="E956" s="10" t="str">
        <f ca="1">IFERROR(_xludf.XLOOKUP(C956,STUDENTS!$A$5:$A$204,STUDENTS!$L$5:$L$204,""),"")</f>
        <v/>
      </c>
      <c r="F956" s="10" t="str">
        <f t="shared" si="43"/>
        <v/>
      </c>
      <c r="G956" s="8"/>
      <c r="H956" s="11" t="str">
        <f>IF(B956="","",IF(OR(F956="Saturday",F956="Sunday"),SETTINGS!$B$11,IF(G956="Vacation",SETTINGS!$B$13,0)))</f>
        <v/>
      </c>
      <c r="I956" s="12" t="str">
        <f t="shared" si="44"/>
        <v/>
      </c>
      <c r="J956" s="8"/>
    </row>
    <row r="957" spans="1:10" x14ac:dyDescent="0.2">
      <c r="A957" s="7" t="str">
        <f t="shared" si="42"/>
        <v/>
      </c>
      <c r="B957" s="9"/>
      <c r="C957" s="8"/>
      <c r="D957" s="10" t="str">
        <f ca="1">IFERROR(_xludf.XLOOKUP(C957,STUDENTS!$A$5:$A$204,STUDENTS!$C$5:$C$204,""),"")</f>
        <v/>
      </c>
      <c r="E957" s="10" t="str">
        <f ca="1">IFERROR(_xludf.XLOOKUP(C957,STUDENTS!$A$5:$A$204,STUDENTS!$L$5:$L$204,""),"")</f>
        <v/>
      </c>
      <c r="F957" s="10" t="str">
        <f t="shared" si="43"/>
        <v/>
      </c>
      <c r="G957" s="8"/>
      <c r="H957" s="11" t="str">
        <f>IF(B957="","",IF(OR(F957="Saturday",F957="Sunday"),SETTINGS!$B$11,IF(G957="Vacation",SETTINGS!$B$13,0)))</f>
        <v/>
      </c>
      <c r="I957" s="12" t="str">
        <f t="shared" si="44"/>
        <v/>
      </c>
      <c r="J957" s="8"/>
    </row>
    <row r="958" spans="1:10" x14ac:dyDescent="0.2">
      <c r="A958" s="7" t="str">
        <f t="shared" si="42"/>
        <v/>
      </c>
      <c r="B958" s="9"/>
      <c r="C958" s="8"/>
      <c r="D958" s="10" t="str">
        <f ca="1">IFERROR(_xludf.XLOOKUP(C958,STUDENTS!$A$5:$A$204,STUDENTS!$C$5:$C$204,""),"")</f>
        <v/>
      </c>
      <c r="E958" s="10" t="str">
        <f ca="1">IFERROR(_xludf.XLOOKUP(C958,STUDENTS!$A$5:$A$204,STUDENTS!$L$5:$L$204,""),"")</f>
        <v/>
      </c>
      <c r="F958" s="10" t="str">
        <f t="shared" si="43"/>
        <v/>
      </c>
      <c r="G958" s="8"/>
      <c r="H958" s="11" t="str">
        <f>IF(B958="","",IF(OR(F958="Saturday",F958="Sunday"),SETTINGS!$B$11,IF(G958="Vacation",SETTINGS!$B$13,0)))</f>
        <v/>
      </c>
      <c r="I958" s="12" t="str">
        <f t="shared" si="44"/>
        <v/>
      </c>
      <c r="J958" s="8"/>
    </row>
    <row r="959" spans="1:10" x14ac:dyDescent="0.2">
      <c r="A959" s="7" t="str">
        <f t="shared" si="42"/>
        <v/>
      </c>
      <c r="B959" s="9"/>
      <c r="C959" s="8"/>
      <c r="D959" s="10" t="str">
        <f ca="1">IFERROR(_xludf.XLOOKUP(C959,STUDENTS!$A$5:$A$204,STUDENTS!$C$5:$C$204,""),"")</f>
        <v/>
      </c>
      <c r="E959" s="10" t="str">
        <f ca="1">IFERROR(_xludf.XLOOKUP(C959,STUDENTS!$A$5:$A$204,STUDENTS!$L$5:$L$204,""),"")</f>
        <v/>
      </c>
      <c r="F959" s="10" t="str">
        <f t="shared" si="43"/>
        <v/>
      </c>
      <c r="G959" s="8"/>
      <c r="H959" s="11" t="str">
        <f>IF(B959="","",IF(OR(F959="Saturday",F959="Sunday"),SETTINGS!$B$11,IF(G959="Vacation",SETTINGS!$B$13,0)))</f>
        <v/>
      </c>
      <c r="I959" s="12" t="str">
        <f t="shared" si="44"/>
        <v/>
      </c>
      <c r="J959" s="8"/>
    </row>
    <row r="960" spans="1:10" x14ac:dyDescent="0.2">
      <c r="A960" s="7" t="str">
        <f t="shared" si="42"/>
        <v/>
      </c>
      <c r="B960" s="9"/>
      <c r="C960" s="8"/>
      <c r="D960" s="10" t="str">
        <f ca="1">IFERROR(_xludf.XLOOKUP(C960,STUDENTS!$A$5:$A$204,STUDENTS!$C$5:$C$204,""),"")</f>
        <v/>
      </c>
      <c r="E960" s="10" t="str">
        <f ca="1">IFERROR(_xludf.XLOOKUP(C960,STUDENTS!$A$5:$A$204,STUDENTS!$L$5:$L$204,""),"")</f>
        <v/>
      </c>
      <c r="F960" s="10" t="str">
        <f t="shared" si="43"/>
        <v/>
      </c>
      <c r="G960" s="8"/>
      <c r="H960" s="11" t="str">
        <f>IF(B960="","",IF(OR(F960="Saturday",F960="Sunday"),SETTINGS!$B$11,IF(G960="Vacation",SETTINGS!$B$13,0)))</f>
        <v/>
      </c>
      <c r="I960" s="12" t="str">
        <f t="shared" si="44"/>
        <v/>
      </c>
      <c r="J960" s="8"/>
    </row>
    <row r="961" spans="1:10" x14ac:dyDescent="0.2">
      <c r="A961" s="7" t="str">
        <f t="shared" si="42"/>
        <v/>
      </c>
      <c r="B961" s="9"/>
      <c r="C961" s="8"/>
      <c r="D961" s="10" t="str">
        <f ca="1">IFERROR(_xludf.XLOOKUP(C961,STUDENTS!$A$5:$A$204,STUDENTS!$C$5:$C$204,""),"")</f>
        <v/>
      </c>
      <c r="E961" s="10" t="str">
        <f ca="1">IFERROR(_xludf.XLOOKUP(C961,STUDENTS!$A$5:$A$204,STUDENTS!$L$5:$L$204,""),"")</f>
        <v/>
      </c>
      <c r="F961" s="10" t="str">
        <f t="shared" si="43"/>
        <v/>
      </c>
      <c r="G961" s="8"/>
      <c r="H961" s="11" t="str">
        <f>IF(B961="","",IF(OR(F961="Saturday",F961="Sunday"),SETTINGS!$B$11,IF(G961="Vacation",SETTINGS!$B$13,0)))</f>
        <v/>
      </c>
      <c r="I961" s="12" t="str">
        <f t="shared" si="44"/>
        <v/>
      </c>
      <c r="J961" s="8"/>
    </row>
    <row r="962" spans="1:10" x14ac:dyDescent="0.2">
      <c r="A962" s="7" t="str">
        <f t="shared" si="42"/>
        <v/>
      </c>
      <c r="B962" s="9"/>
      <c r="C962" s="8"/>
      <c r="D962" s="10" t="str">
        <f ca="1">IFERROR(_xludf.XLOOKUP(C962,STUDENTS!$A$5:$A$204,STUDENTS!$C$5:$C$204,""),"")</f>
        <v/>
      </c>
      <c r="E962" s="10" t="str">
        <f ca="1">IFERROR(_xludf.XLOOKUP(C962,STUDENTS!$A$5:$A$204,STUDENTS!$L$5:$L$204,""),"")</f>
        <v/>
      </c>
      <c r="F962" s="10" t="str">
        <f t="shared" si="43"/>
        <v/>
      </c>
      <c r="G962" s="8"/>
      <c r="H962" s="11" t="str">
        <f>IF(B962="","",IF(OR(F962="Saturday",F962="Sunday"),SETTINGS!$B$11,IF(G962="Vacation",SETTINGS!$B$13,0)))</f>
        <v/>
      </c>
      <c r="I962" s="12" t="str">
        <f t="shared" si="44"/>
        <v/>
      </c>
      <c r="J962" s="8"/>
    </row>
    <row r="963" spans="1:10" x14ac:dyDescent="0.2">
      <c r="A963" s="7" t="str">
        <f t="shared" si="42"/>
        <v/>
      </c>
      <c r="B963" s="9"/>
      <c r="C963" s="8"/>
      <c r="D963" s="10" t="str">
        <f ca="1">IFERROR(_xludf.XLOOKUP(C963,STUDENTS!$A$5:$A$204,STUDENTS!$C$5:$C$204,""),"")</f>
        <v/>
      </c>
      <c r="E963" s="10" t="str">
        <f ca="1">IFERROR(_xludf.XLOOKUP(C963,STUDENTS!$A$5:$A$204,STUDENTS!$L$5:$L$204,""),"")</f>
        <v/>
      </c>
      <c r="F963" s="10" t="str">
        <f t="shared" si="43"/>
        <v/>
      </c>
      <c r="G963" s="8"/>
      <c r="H963" s="11" t="str">
        <f>IF(B963="","",IF(OR(F963="Saturday",F963="Sunday"),SETTINGS!$B$11,IF(G963="Vacation",SETTINGS!$B$13,0)))</f>
        <v/>
      </c>
      <c r="I963" s="12" t="str">
        <f t="shared" si="44"/>
        <v/>
      </c>
      <c r="J963" s="8"/>
    </row>
    <row r="964" spans="1:10" x14ac:dyDescent="0.2">
      <c r="A964" s="7" t="str">
        <f t="shared" si="42"/>
        <v/>
      </c>
      <c r="B964" s="9"/>
      <c r="C964" s="8"/>
      <c r="D964" s="10" t="str">
        <f ca="1">IFERROR(_xludf.XLOOKUP(C964,STUDENTS!$A$5:$A$204,STUDENTS!$C$5:$C$204,""),"")</f>
        <v/>
      </c>
      <c r="E964" s="10" t="str">
        <f ca="1">IFERROR(_xludf.XLOOKUP(C964,STUDENTS!$A$5:$A$204,STUDENTS!$L$5:$L$204,""),"")</f>
        <v/>
      </c>
      <c r="F964" s="10" t="str">
        <f t="shared" si="43"/>
        <v/>
      </c>
      <c r="G964" s="8"/>
      <c r="H964" s="11" t="str">
        <f>IF(B964="","",IF(OR(F964="Saturday",F964="Sunday"),SETTINGS!$B$11,IF(G964="Vacation",SETTINGS!$B$13,0)))</f>
        <v/>
      </c>
      <c r="I964" s="12" t="str">
        <f t="shared" si="44"/>
        <v/>
      </c>
      <c r="J964" s="8"/>
    </row>
    <row r="965" spans="1:10" x14ac:dyDescent="0.2">
      <c r="A965" s="7" t="str">
        <f t="shared" ref="A965:A1004" si="45">IF(C965="","","F-"&amp;TEXT(ROW()-4,"00000"))</f>
        <v/>
      </c>
      <c r="B965" s="9"/>
      <c r="C965" s="8"/>
      <c r="D965" s="10" t="str">
        <f ca="1">IFERROR(_xludf.XLOOKUP(C965,STUDENTS!$A$5:$A$204,STUDENTS!$C$5:$C$204,""),"")</f>
        <v/>
      </c>
      <c r="E965" s="10" t="str">
        <f ca="1">IFERROR(_xludf.XLOOKUP(C965,STUDENTS!$A$5:$A$204,STUDENTS!$L$5:$L$204,""),"")</f>
        <v/>
      </c>
      <c r="F965" s="10" t="str">
        <f t="shared" ref="F965:F1004" si="46">IF(B965="","",TEXT(B965,"dddd"))</f>
        <v/>
      </c>
      <c r="G965" s="8"/>
      <c r="H965" s="11" t="str">
        <f>IF(B965="","",IF(OR(F965="Saturday",F965="Sunday"),SETTINGS!$B$11,IF(G965="Vacation",SETTINGS!$B$13,0)))</f>
        <v/>
      </c>
      <c r="I965" s="12" t="str">
        <f t="shared" ref="I965:I1004" si="47">IF(H965="","",H965)</f>
        <v/>
      </c>
      <c r="J965" s="8"/>
    </row>
    <row r="966" spans="1:10" x14ac:dyDescent="0.2">
      <c r="A966" s="7" t="str">
        <f t="shared" si="45"/>
        <v/>
      </c>
      <c r="B966" s="9"/>
      <c r="C966" s="8"/>
      <c r="D966" s="10" t="str">
        <f ca="1">IFERROR(_xludf.XLOOKUP(C966,STUDENTS!$A$5:$A$204,STUDENTS!$C$5:$C$204,""),"")</f>
        <v/>
      </c>
      <c r="E966" s="10" t="str">
        <f ca="1">IFERROR(_xludf.XLOOKUP(C966,STUDENTS!$A$5:$A$204,STUDENTS!$L$5:$L$204,""),"")</f>
        <v/>
      </c>
      <c r="F966" s="10" t="str">
        <f t="shared" si="46"/>
        <v/>
      </c>
      <c r="G966" s="8"/>
      <c r="H966" s="11" t="str">
        <f>IF(B966="","",IF(OR(F966="Saturday",F966="Sunday"),SETTINGS!$B$11,IF(G966="Vacation",SETTINGS!$B$13,0)))</f>
        <v/>
      </c>
      <c r="I966" s="12" t="str">
        <f t="shared" si="47"/>
        <v/>
      </c>
      <c r="J966" s="8"/>
    </row>
    <row r="967" spans="1:10" x14ac:dyDescent="0.2">
      <c r="A967" s="7" t="str">
        <f t="shared" si="45"/>
        <v/>
      </c>
      <c r="B967" s="9"/>
      <c r="C967" s="8"/>
      <c r="D967" s="10" t="str">
        <f ca="1">IFERROR(_xludf.XLOOKUP(C967,STUDENTS!$A$5:$A$204,STUDENTS!$C$5:$C$204,""),"")</f>
        <v/>
      </c>
      <c r="E967" s="10" t="str">
        <f ca="1">IFERROR(_xludf.XLOOKUP(C967,STUDENTS!$A$5:$A$204,STUDENTS!$L$5:$L$204,""),"")</f>
        <v/>
      </c>
      <c r="F967" s="10" t="str">
        <f t="shared" si="46"/>
        <v/>
      </c>
      <c r="G967" s="8"/>
      <c r="H967" s="11" t="str">
        <f>IF(B967="","",IF(OR(F967="Saturday",F967="Sunday"),SETTINGS!$B$11,IF(G967="Vacation",SETTINGS!$B$13,0)))</f>
        <v/>
      </c>
      <c r="I967" s="12" t="str">
        <f t="shared" si="47"/>
        <v/>
      </c>
      <c r="J967" s="8"/>
    </row>
    <row r="968" spans="1:10" x14ac:dyDescent="0.2">
      <c r="A968" s="7" t="str">
        <f t="shared" si="45"/>
        <v/>
      </c>
      <c r="B968" s="9"/>
      <c r="C968" s="8"/>
      <c r="D968" s="10" t="str">
        <f ca="1">IFERROR(_xludf.XLOOKUP(C968,STUDENTS!$A$5:$A$204,STUDENTS!$C$5:$C$204,""),"")</f>
        <v/>
      </c>
      <c r="E968" s="10" t="str">
        <f ca="1">IFERROR(_xludf.XLOOKUP(C968,STUDENTS!$A$5:$A$204,STUDENTS!$L$5:$L$204,""),"")</f>
        <v/>
      </c>
      <c r="F968" s="10" t="str">
        <f t="shared" si="46"/>
        <v/>
      </c>
      <c r="G968" s="8"/>
      <c r="H968" s="11" t="str">
        <f>IF(B968="","",IF(OR(F968="Saturday",F968="Sunday"),SETTINGS!$B$11,IF(G968="Vacation",SETTINGS!$B$13,0)))</f>
        <v/>
      </c>
      <c r="I968" s="12" t="str">
        <f t="shared" si="47"/>
        <v/>
      </c>
      <c r="J968" s="8"/>
    </row>
    <row r="969" spans="1:10" x14ac:dyDescent="0.2">
      <c r="A969" s="7" t="str">
        <f t="shared" si="45"/>
        <v/>
      </c>
      <c r="B969" s="9"/>
      <c r="C969" s="8"/>
      <c r="D969" s="10" t="str">
        <f ca="1">IFERROR(_xludf.XLOOKUP(C969,STUDENTS!$A$5:$A$204,STUDENTS!$C$5:$C$204,""),"")</f>
        <v/>
      </c>
      <c r="E969" s="10" t="str">
        <f ca="1">IFERROR(_xludf.XLOOKUP(C969,STUDENTS!$A$5:$A$204,STUDENTS!$L$5:$L$204,""),"")</f>
        <v/>
      </c>
      <c r="F969" s="10" t="str">
        <f t="shared" si="46"/>
        <v/>
      </c>
      <c r="G969" s="8"/>
      <c r="H969" s="11" t="str">
        <f>IF(B969="","",IF(OR(F969="Saturday",F969="Sunday"),SETTINGS!$B$11,IF(G969="Vacation",SETTINGS!$B$13,0)))</f>
        <v/>
      </c>
      <c r="I969" s="12" t="str">
        <f t="shared" si="47"/>
        <v/>
      </c>
      <c r="J969" s="8"/>
    </row>
    <row r="970" spans="1:10" x14ac:dyDescent="0.2">
      <c r="A970" s="7" t="str">
        <f t="shared" si="45"/>
        <v/>
      </c>
      <c r="B970" s="9"/>
      <c r="C970" s="8"/>
      <c r="D970" s="10" t="str">
        <f ca="1">IFERROR(_xludf.XLOOKUP(C970,STUDENTS!$A$5:$A$204,STUDENTS!$C$5:$C$204,""),"")</f>
        <v/>
      </c>
      <c r="E970" s="10" t="str">
        <f ca="1">IFERROR(_xludf.XLOOKUP(C970,STUDENTS!$A$5:$A$204,STUDENTS!$L$5:$L$204,""),"")</f>
        <v/>
      </c>
      <c r="F970" s="10" t="str">
        <f t="shared" si="46"/>
        <v/>
      </c>
      <c r="G970" s="8"/>
      <c r="H970" s="11" t="str">
        <f>IF(B970="","",IF(OR(F970="Saturday",F970="Sunday"),SETTINGS!$B$11,IF(G970="Vacation",SETTINGS!$B$13,0)))</f>
        <v/>
      </c>
      <c r="I970" s="12" t="str">
        <f t="shared" si="47"/>
        <v/>
      </c>
      <c r="J970" s="8"/>
    </row>
    <row r="971" spans="1:10" x14ac:dyDescent="0.2">
      <c r="A971" s="7" t="str">
        <f t="shared" si="45"/>
        <v/>
      </c>
      <c r="B971" s="9"/>
      <c r="C971" s="8"/>
      <c r="D971" s="10" t="str">
        <f ca="1">IFERROR(_xludf.XLOOKUP(C971,STUDENTS!$A$5:$A$204,STUDENTS!$C$5:$C$204,""),"")</f>
        <v/>
      </c>
      <c r="E971" s="10" t="str">
        <f ca="1">IFERROR(_xludf.XLOOKUP(C971,STUDENTS!$A$5:$A$204,STUDENTS!$L$5:$L$204,""),"")</f>
        <v/>
      </c>
      <c r="F971" s="10" t="str">
        <f t="shared" si="46"/>
        <v/>
      </c>
      <c r="G971" s="8"/>
      <c r="H971" s="11" t="str">
        <f>IF(B971="","",IF(OR(F971="Saturday",F971="Sunday"),SETTINGS!$B$11,IF(G971="Vacation",SETTINGS!$B$13,0)))</f>
        <v/>
      </c>
      <c r="I971" s="12" t="str">
        <f t="shared" si="47"/>
        <v/>
      </c>
      <c r="J971" s="8"/>
    </row>
    <row r="972" spans="1:10" x14ac:dyDescent="0.2">
      <c r="A972" s="7" t="str">
        <f t="shared" si="45"/>
        <v/>
      </c>
      <c r="B972" s="9"/>
      <c r="C972" s="8"/>
      <c r="D972" s="10" t="str">
        <f ca="1">IFERROR(_xludf.XLOOKUP(C972,STUDENTS!$A$5:$A$204,STUDENTS!$C$5:$C$204,""),"")</f>
        <v/>
      </c>
      <c r="E972" s="10" t="str">
        <f ca="1">IFERROR(_xludf.XLOOKUP(C972,STUDENTS!$A$5:$A$204,STUDENTS!$L$5:$L$204,""),"")</f>
        <v/>
      </c>
      <c r="F972" s="10" t="str">
        <f t="shared" si="46"/>
        <v/>
      </c>
      <c r="G972" s="8"/>
      <c r="H972" s="11" t="str">
        <f>IF(B972="","",IF(OR(F972="Saturday",F972="Sunday"),SETTINGS!$B$11,IF(G972="Vacation",SETTINGS!$B$13,0)))</f>
        <v/>
      </c>
      <c r="I972" s="12" t="str">
        <f t="shared" si="47"/>
        <v/>
      </c>
      <c r="J972" s="8"/>
    </row>
    <row r="973" spans="1:10" x14ac:dyDescent="0.2">
      <c r="A973" s="7" t="str">
        <f t="shared" si="45"/>
        <v/>
      </c>
      <c r="B973" s="9"/>
      <c r="C973" s="8"/>
      <c r="D973" s="10" t="str">
        <f ca="1">IFERROR(_xludf.XLOOKUP(C973,STUDENTS!$A$5:$A$204,STUDENTS!$C$5:$C$204,""),"")</f>
        <v/>
      </c>
      <c r="E973" s="10" t="str">
        <f ca="1">IFERROR(_xludf.XLOOKUP(C973,STUDENTS!$A$5:$A$204,STUDENTS!$L$5:$L$204,""),"")</f>
        <v/>
      </c>
      <c r="F973" s="10" t="str">
        <f t="shared" si="46"/>
        <v/>
      </c>
      <c r="G973" s="8"/>
      <c r="H973" s="11" t="str">
        <f>IF(B973="","",IF(OR(F973="Saturday",F973="Sunday"),SETTINGS!$B$11,IF(G973="Vacation",SETTINGS!$B$13,0)))</f>
        <v/>
      </c>
      <c r="I973" s="12" t="str">
        <f t="shared" si="47"/>
        <v/>
      </c>
      <c r="J973" s="8"/>
    </row>
    <row r="974" spans="1:10" x14ac:dyDescent="0.2">
      <c r="A974" s="7" t="str">
        <f t="shared" si="45"/>
        <v/>
      </c>
      <c r="B974" s="9"/>
      <c r="C974" s="8"/>
      <c r="D974" s="10" t="str">
        <f ca="1">IFERROR(_xludf.XLOOKUP(C974,STUDENTS!$A$5:$A$204,STUDENTS!$C$5:$C$204,""),"")</f>
        <v/>
      </c>
      <c r="E974" s="10" t="str">
        <f ca="1">IFERROR(_xludf.XLOOKUP(C974,STUDENTS!$A$5:$A$204,STUDENTS!$L$5:$L$204,""),"")</f>
        <v/>
      </c>
      <c r="F974" s="10" t="str">
        <f t="shared" si="46"/>
        <v/>
      </c>
      <c r="G974" s="8"/>
      <c r="H974" s="11" t="str">
        <f>IF(B974="","",IF(OR(F974="Saturday",F974="Sunday"),SETTINGS!$B$11,IF(G974="Vacation",SETTINGS!$B$13,0)))</f>
        <v/>
      </c>
      <c r="I974" s="12" t="str">
        <f t="shared" si="47"/>
        <v/>
      </c>
      <c r="J974" s="8"/>
    </row>
    <row r="975" spans="1:10" x14ac:dyDescent="0.2">
      <c r="A975" s="7" t="str">
        <f t="shared" si="45"/>
        <v/>
      </c>
      <c r="B975" s="9"/>
      <c r="C975" s="8"/>
      <c r="D975" s="10" t="str">
        <f ca="1">IFERROR(_xludf.XLOOKUP(C975,STUDENTS!$A$5:$A$204,STUDENTS!$C$5:$C$204,""),"")</f>
        <v/>
      </c>
      <c r="E975" s="10" t="str">
        <f ca="1">IFERROR(_xludf.XLOOKUP(C975,STUDENTS!$A$5:$A$204,STUDENTS!$L$5:$L$204,""),"")</f>
        <v/>
      </c>
      <c r="F975" s="10" t="str">
        <f t="shared" si="46"/>
        <v/>
      </c>
      <c r="G975" s="8"/>
      <c r="H975" s="11" t="str">
        <f>IF(B975="","",IF(OR(F975="Saturday",F975="Sunday"),SETTINGS!$B$11,IF(G975="Vacation",SETTINGS!$B$13,0)))</f>
        <v/>
      </c>
      <c r="I975" s="12" t="str">
        <f t="shared" si="47"/>
        <v/>
      </c>
      <c r="J975" s="8"/>
    </row>
    <row r="976" spans="1:10" x14ac:dyDescent="0.2">
      <c r="A976" s="7" t="str">
        <f t="shared" si="45"/>
        <v/>
      </c>
      <c r="B976" s="9"/>
      <c r="C976" s="8"/>
      <c r="D976" s="10" t="str">
        <f ca="1">IFERROR(_xludf.XLOOKUP(C976,STUDENTS!$A$5:$A$204,STUDENTS!$C$5:$C$204,""),"")</f>
        <v/>
      </c>
      <c r="E976" s="10" t="str">
        <f ca="1">IFERROR(_xludf.XLOOKUP(C976,STUDENTS!$A$5:$A$204,STUDENTS!$L$5:$L$204,""),"")</f>
        <v/>
      </c>
      <c r="F976" s="10" t="str">
        <f t="shared" si="46"/>
        <v/>
      </c>
      <c r="G976" s="8"/>
      <c r="H976" s="11" t="str">
        <f>IF(B976="","",IF(OR(F976="Saturday",F976="Sunday"),SETTINGS!$B$11,IF(G976="Vacation",SETTINGS!$B$13,0)))</f>
        <v/>
      </c>
      <c r="I976" s="12" t="str">
        <f t="shared" si="47"/>
        <v/>
      </c>
      <c r="J976" s="8"/>
    </row>
    <row r="977" spans="1:10" x14ac:dyDescent="0.2">
      <c r="A977" s="7" t="str">
        <f t="shared" si="45"/>
        <v/>
      </c>
      <c r="B977" s="9"/>
      <c r="C977" s="8"/>
      <c r="D977" s="10" t="str">
        <f ca="1">IFERROR(_xludf.XLOOKUP(C977,STUDENTS!$A$5:$A$204,STUDENTS!$C$5:$C$204,""),"")</f>
        <v/>
      </c>
      <c r="E977" s="10" t="str">
        <f ca="1">IFERROR(_xludf.XLOOKUP(C977,STUDENTS!$A$5:$A$204,STUDENTS!$L$5:$L$204,""),"")</f>
        <v/>
      </c>
      <c r="F977" s="10" t="str">
        <f t="shared" si="46"/>
        <v/>
      </c>
      <c r="G977" s="8"/>
      <c r="H977" s="11" t="str">
        <f>IF(B977="","",IF(OR(F977="Saturday",F977="Sunday"),SETTINGS!$B$11,IF(G977="Vacation",SETTINGS!$B$13,0)))</f>
        <v/>
      </c>
      <c r="I977" s="12" t="str">
        <f t="shared" si="47"/>
        <v/>
      </c>
      <c r="J977" s="8"/>
    </row>
    <row r="978" spans="1:10" x14ac:dyDescent="0.2">
      <c r="A978" s="7" t="str">
        <f t="shared" si="45"/>
        <v/>
      </c>
      <c r="B978" s="9"/>
      <c r="C978" s="8"/>
      <c r="D978" s="10" t="str">
        <f ca="1">IFERROR(_xludf.XLOOKUP(C978,STUDENTS!$A$5:$A$204,STUDENTS!$C$5:$C$204,""),"")</f>
        <v/>
      </c>
      <c r="E978" s="10" t="str">
        <f ca="1">IFERROR(_xludf.XLOOKUP(C978,STUDENTS!$A$5:$A$204,STUDENTS!$L$5:$L$204,""),"")</f>
        <v/>
      </c>
      <c r="F978" s="10" t="str">
        <f t="shared" si="46"/>
        <v/>
      </c>
      <c r="G978" s="8"/>
      <c r="H978" s="11" t="str">
        <f>IF(B978="","",IF(OR(F978="Saturday",F978="Sunday"),SETTINGS!$B$11,IF(G978="Vacation",SETTINGS!$B$13,0)))</f>
        <v/>
      </c>
      <c r="I978" s="12" t="str">
        <f t="shared" si="47"/>
        <v/>
      </c>
      <c r="J978" s="8"/>
    </row>
    <row r="979" spans="1:10" x14ac:dyDescent="0.2">
      <c r="A979" s="7" t="str">
        <f t="shared" si="45"/>
        <v/>
      </c>
      <c r="B979" s="9"/>
      <c r="C979" s="8"/>
      <c r="D979" s="10" t="str">
        <f ca="1">IFERROR(_xludf.XLOOKUP(C979,STUDENTS!$A$5:$A$204,STUDENTS!$C$5:$C$204,""),"")</f>
        <v/>
      </c>
      <c r="E979" s="10" t="str">
        <f ca="1">IFERROR(_xludf.XLOOKUP(C979,STUDENTS!$A$5:$A$204,STUDENTS!$L$5:$L$204,""),"")</f>
        <v/>
      </c>
      <c r="F979" s="10" t="str">
        <f t="shared" si="46"/>
        <v/>
      </c>
      <c r="G979" s="8"/>
      <c r="H979" s="11" t="str">
        <f>IF(B979="","",IF(OR(F979="Saturday",F979="Sunday"),SETTINGS!$B$11,IF(G979="Vacation",SETTINGS!$B$13,0)))</f>
        <v/>
      </c>
      <c r="I979" s="12" t="str">
        <f t="shared" si="47"/>
        <v/>
      </c>
      <c r="J979" s="8"/>
    </row>
    <row r="980" spans="1:10" x14ac:dyDescent="0.2">
      <c r="A980" s="7" t="str">
        <f t="shared" si="45"/>
        <v/>
      </c>
      <c r="B980" s="9"/>
      <c r="C980" s="8"/>
      <c r="D980" s="10" t="str">
        <f ca="1">IFERROR(_xludf.XLOOKUP(C980,STUDENTS!$A$5:$A$204,STUDENTS!$C$5:$C$204,""),"")</f>
        <v/>
      </c>
      <c r="E980" s="10" t="str">
        <f ca="1">IFERROR(_xludf.XLOOKUP(C980,STUDENTS!$A$5:$A$204,STUDENTS!$L$5:$L$204,""),"")</f>
        <v/>
      </c>
      <c r="F980" s="10" t="str">
        <f t="shared" si="46"/>
        <v/>
      </c>
      <c r="G980" s="8"/>
      <c r="H980" s="11" t="str">
        <f>IF(B980="","",IF(OR(F980="Saturday",F980="Sunday"),SETTINGS!$B$11,IF(G980="Vacation",SETTINGS!$B$13,0)))</f>
        <v/>
      </c>
      <c r="I980" s="12" t="str">
        <f t="shared" si="47"/>
        <v/>
      </c>
      <c r="J980" s="8"/>
    </row>
    <row r="981" spans="1:10" x14ac:dyDescent="0.2">
      <c r="A981" s="7" t="str">
        <f t="shared" si="45"/>
        <v/>
      </c>
      <c r="B981" s="9"/>
      <c r="C981" s="8"/>
      <c r="D981" s="10" t="str">
        <f ca="1">IFERROR(_xludf.XLOOKUP(C981,STUDENTS!$A$5:$A$204,STUDENTS!$C$5:$C$204,""),"")</f>
        <v/>
      </c>
      <c r="E981" s="10" t="str">
        <f ca="1">IFERROR(_xludf.XLOOKUP(C981,STUDENTS!$A$5:$A$204,STUDENTS!$L$5:$L$204,""),"")</f>
        <v/>
      </c>
      <c r="F981" s="10" t="str">
        <f t="shared" si="46"/>
        <v/>
      </c>
      <c r="G981" s="8"/>
      <c r="H981" s="11" t="str">
        <f>IF(B981="","",IF(OR(F981="Saturday",F981="Sunday"),SETTINGS!$B$11,IF(G981="Vacation",SETTINGS!$B$13,0)))</f>
        <v/>
      </c>
      <c r="I981" s="12" t="str">
        <f t="shared" si="47"/>
        <v/>
      </c>
      <c r="J981" s="8"/>
    </row>
    <row r="982" spans="1:10" x14ac:dyDescent="0.2">
      <c r="A982" s="7" t="str">
        <f t="shared" si="45"/>
        <v/>
      </c>
      <c r="B982" s="9"/>
      <c r="C982" s="8"/>
      <c r="D982" s="10" t="str">
        <f ca="1">IFERROR(_xludf.XLOOKUP(C982,STUDENTS!$A$5:$A$204,STUDENTS!$C$5:$C$204,""),"")</f>
        <v/>
      </c>
      <c r="E982" s="10" t="str">
        <f ca="1">IFERROR(_xludf.XLOOKUP(C982,STUDENTS!$A$5:$A$204,STUDENTS!$L$5:$L$204,""),"")</f>
        <v/>
      </c>
      <c r="F982" s="10" t="str">
        <f t="shared" si="46"/>
        <v/>
      </c>
      <c r="G982" s="8"/>
      <c r="H982" s="11" t="str">
        <f>IF(B982="","",IF(OR(F982="Saturday",F982="Sunday"),SETTINGS!$B$11,IF(G982="Vacation",SETTINGS!$B$13,0)))</f>
        <v/>
      </c>
      <c r="I982" s="12" t="str">
        <f t="shared" si="47"/>
        <v/>
      </c>
      <c r="J982" s="8"/>
    </row>
    <row r="983" spans="1:10" x14ac:dyDescent="0.2">
      <c r="A983" s="7" t="str">
        <f t="shared" si="45"/>
        <v/>
      </c>
      <c r="B983" s="9"/>
      <c r="C983" s="8"/>
      <c r="D983" s="10" t="str">
        <f ca="1">IFERROR(_xludf.XLOOKUP(C983,STUDENTS!$A$5:$A$204,STUDENTS!$C$5:$C$204,""),"")</f>
        <v/>
      </c>
      <c r="E983" s="10" t="str">
        <f ca="1">IFERROR(_xludf.XLOOKUP(C983,STUDENTS!$A$5:$A$204,STUDENTS!$L$5:$L$204,""),"")</f>
        <v/>
      </c>
      <c r="F983" s="10" t="str">
        <f t="shared" si="46"/>
        <v/>
      </c>
      <c r="G983" s="8"/>
      <c r="H983" s="11" t="str">
        <f>IF(B983="","",IF(OR(F983="Saturday",F983="Sunday"),SETTINGS!$B$11,IF(G983="Vacation",SETTINGS!$B$13,0)))</f>
        <v/>
      </c>
      <c r="I983" s="12" t="str">
        <f t="shared" si="47"/>
        <v/>
      </c>
      <c r="J983" s="8"/>
    </row>
    <row r="984" spans="1:10" x14ac:dyDescent="0.2">
      <c r="A984" s="7" t="str">
        <f t="shared" si="45"/>
        <v/>
      </c>
      <c r="B984" s="9"/>
      <c r="C984" s="8"/>
      <c r="D984" s="10" t="str">
        <f ca="1">IFERROR(_xludf.XLOOKUP(C984,STUDENTS!$A$5:$A$204,STUDENTS!$C$5:$C$204,""),"")</f>
        <v/>
      </c>
      <c r="E984" s="10" t="str">
        <f ca="1">IFERROR(_xludf.XLOOKUP(C984,STUDENTS!$A$5:$A$204,STUDENTS!$L$5:$L$204,""),"")</f>
        <v/>
      </c>
      <c r="F984" s="10" t="str">
        <f t="shared" si="46"/>
        <v/>
      </c>
      <c r="G984" s="8"/>
      <c r="H984" s="11" t="str">
        <f>IF(B984="","",IF(OR(F984="Saturday",F984="Sunday"),SETTINGS!$B$11,IF(G984="Vacation",SETTINGS!$B$13,0)))</f>
        <v/>
      </c>
      <c r="I984" s="12" t="str">
        <f t="shared" si="47"/>
        <v/>
      </c>
      <c r="J984" s="8"/>
    </row>
    <row r="985" spans="1:10" x14ac:dyDescent="0.2">
      <c r="A985" s="7" t="str">
        <f t="shared" si="45"/>
        <v/>
      </c>
      <c r="B985" s="9"/>
      <c r="C985" s="8"/>
      <c r="D985" s="10" t="str">
        <f ca="1">IFERROR(_xludf.XLOOKUP(C985,STUDENTS!$A$5:$A$204,STUDENTS!$C$5:$C$204,""),"")</f>
        <v/>
      </c>
      <c r="E985" s="10" t="str">
        <f ca="1">IFERROR(_xludf.XLOOKUP(C985,STUDENTS!$A$5:$A$204,STUDENTS!$L$5:$L$204,""),"")</f>
        <v/>
      </c>
      <c r="F985" s="10" t="str">
        <f t="shared" si="46"/>
        <v/>
      </c>
      <c r="G985" s="8"/>
      <c r="H985" s="11" t="str">
        <f>IF(B985="","",IF(OR(F985="Saturday",F985="Sunday"),SETTINGS!$B$11,IF(G985="Vacation",SETTINGS!$B$13,0)))</f>
        <v/>
      </c>
      <c r="I985" s="12" t="str">
        <f t="shared" si="47"/>
        <v/>
      </c>
      <c r="J985" s="8"/>
    </row>
    <row r="986" spans="1:10" x14ac:dyDescent="0.2">
      <c r="A986" s="7" t="str">
        <f t="shared" si="45"/>
        <v/>
      </c>
      <c r="B986" s="9"/>
      <c r="C986" s="8"/>
      <c r="D986" s="10" t="str">
        <f ca="1">IFERROR(_xludf.XLOOKUP(C986,STUDENTS!$A$5:$A$204,STUDENTS!$C$5:$C$204,""),"")</f>
        <v/>
      </c>
      <c r="E986" s="10" t="str">
        <f ca="1">IFERROR(_xludf.XLOOKUP(C986,STUDENTS!$A$5:$A$204,STUDENTS!$L$5:$L$204,""),"")</f>
        <v/>
      </c>
      <c r="F986" s="10" t="str">
        <f t="shared" si="46"/>
        <v/>
      </c>
      <c r="G986" s="8"/>
      <c r="H986" s="11" t="str">
        <f>IF(B986="","",IF(OR(F986="Saturday",F986="Sunday"),SETTINGS!$B$11,IF(G986="Vacation",SETTINGS!$B$13,0)))</f>
        <v/>
      </c>
      <c r="I986" s="12" t="str">
        <f t="shared" si="47"/>
        <v/>
      </c>
      <c r="J986" s="8"/>
    </row>
    <row r="987" spans="1:10" x14ac:dyDescent="0.2">
      <c r="A987" s="7" t="str">
        <f t="shared" si="45"/>
        <v/>
      </c>
      <c r="B987" s="9"/>
      <c r="C987" s="8"/>
      <c r="D987" s="10" t="str">
        <f ca="1">IFERROR(_xludf.XLOOKUP(C987,STUDENTS!$A$5:$A$204,STUDENTS!$C$5:$C$204,""),"")</f>
        <v/>
      </c>
      <c r="E987" s="10" t="str">
        <f ca="1">IFERROR(_xludf.XLOOKUP(C987,STUDENTS!$A$5:$A$204,STUDENTS!$L$5:$L$204,""),"")</f>
        <v/>
      </c>
      <c r="F987" s="10" t="str">
        <f t="shared" si="46"/>
        <v/>
      </c>
      <c r="G987" s="8"/>
      <c r="H987" s="11" t="str">
        <f>IF(B987="","",IF(OR(F987="Saturday",F987="Sunday"),SETTINGS!$B$11,IF(G987="Vacation",SETTINGS!$B$13,0)))</f>
        <v/>
      </c>
      <c r="I987" s="12" t="str">
        <f t="shared" si="47"/>
        <v/>
      </c>
      <c r="J987" s="8"/>
    </row>
    <row r="988" spans="1:10" x14ac:dyDescent="0.2">
      <c r="A988" s="7" t="str">
        <f t="shared" si="45"/>
        <v/>
      </c>
      <c r="B988" s="9"/>
      <c r="C988" s="8"/>
      <c r="D988" s="10" t="str">
        <f ca="1">IFERROR(_xludf.XLOOKUP(C988,STUDENTS!$A$5:$A$204,STUDENTS!$C$5:$C$204,""),"")</f>
        <v/>
      </c>
      <c r="E988" s="10" t="str">
        <f ca="1">IFERROR(_xludf.XLOOKUP(C988,STUDENTS!$A$5:$A$204,STUDENTS!$L$5:$L$204,""),"")</f>
        <v/>
      </c>
      <c r="F988" s="10" t="str">
        <f t="shared" si="46"/>
        <v/>
      </c>
      <c r="G988" s="8"/>
      <c r="H988" s="11" t="str">
        <f>IF(B988="","",IF(OR(F988="Saturday",F988="Sunday"),SETTINGS!$B$11,IF(G988="Vacation",SETTINGS!$B$13,0)))</f>
        <v/>
      </c>
      <c r="I988" s="12" t="str">
        <f t="shared" si="47"/>
        <v/>
      </c>
      <c r="J988" s="8"/>
    </row>
    <row r="989" spans="1:10" x14ac:dyDescent="0.2">
      <c r="A989" s="7" t="str">
        <f t="shared" si="45"/>
        <v/>
      </c>
      <c r="B989" s="9"/>
      <c r="C989" s="8"/>
      <c r="D989" s="10" t="str">
        <f ca="1">IFERROR(_xludf.XLOOKUP(C989,STUDENTS!$A$5:$A$204,STUDENTS!$C$5:$C$204,""),"")</f>
        <v/>
      </c>
      <c r="E989" s="10" t="str">
        <f ca="1">IFERROR(_xludf.XLOOKUP(C989,STUDENTS!$A$5:$A$204,STUDENTS!$L$5:$L$204,""),"")</f>
        <v/>
      </c>
      <c r="F989" s="10" t="str">
        <f t="shared" si="46"/>
        <v/>
      </c>
      <c r="G989" s="8"/>
      <c r="H989" s="11" t="str">
        <f>IF(B989="","",IF(OR(F989="Saturday",F989="Sunday"),SETTINGS!$B$11,IF(G989="Vacation",SETTINGS!$B$13,0)))</f>
        <v/>
      </c>
      <c r="I989" s="12" t="str">
        <f t="shared" si="47"/>
        <v/>
      </c>
      <c r="J989" s="8"/>
    </row>
    <row r="990" spans="1:10" x14ac:dyDescent="0.2">
      <c r="A990" s="7" t="str">
        <f t="shared" si="45"/>
        <v/>
      </c>
      <c r="B990" s="9"/>
      <c r="C990" s="8"/>
      <c r="D990" s="10" t="str">
        <f ca="1">IFERROR(_xludf.XLOOKUP(C990,STUDENTS!$A$5:$A$204,STUDENTS!$C$5:$C$204,""),"")</f>
        <v/>
      </c>
      <c r="E990" s="10" t="str">
        <f ca="1">IFERROR(_xludf.XLOOKUP(C990,STUDENTS!$A$5:$A$204,STUDENTS!$L$5:$L$204,""),"")</f>
        <v/>
      </c>
      <c r="F990" s="10" t="str">
        <f t="shared" si="46"/>
        <v/>
      </c>
      <c r="G990" s="8"/>
      <c r="H990" s="11" t="str">
        <f>IF(B990="","",IF(OR(F990="Saturday",F990="Sunday"),SETTINGS!$B$11,IF(G990="Vacation",SETTINGS!$B$13,0)))</f>
        <v/>
      </c>
      <c r="I990" s="12" t="str">
        <f t="shared" si="47"/>
        <v/>
      </c>
      <c r="J990" s="8"/>
    </row>
    <row r="991" spans="1:10" x14ac:dyDescent="0.2">
      <c r="A991" s="7" t="str">
        <f t="shared" si="45"/>
        <v/>
      </c>
      <c r="B991" s="9"/>
      <c r="C991" s="8"/>
      <c r="D991" s="10" t="str">
        <f ca="1">IFERROR(_xludf.XLOOKUP(C991,STUDENTS!$A$5:$A$204,STUDENTS!$C$5:$C$204,""),"")</f>
        <v/>
      </c>
      <c r="E991" s="10" t="str">
        <f ca="1">IFERROR(_xludf.XLOOKUP(C991,STUDENTS!$A$5:$A$204,STUDENTS!$L$5:$L$204,""),"")</f>
        <v/>
      </c>
      <c r="F991" s="10" t="str">
        <f t="shared" si="46"/>
        <v/>
      </c>
      <c r="G991" s="8"/>
      <c r="H991" s="11" t="str">
        <f>IF(B991="","",IF(OR(F991="Saturday",F991="Sunday"),SETTINGS!$B$11,IF(G991="Vacation",SETTINGS!$B$13,0)))</f>
        <v/>
      </c>
      <c r="I991" s="12" t="str">
        <f t="shared" si="47"/>
        <v/>
      </c>
      <c r="J991" s="8"/>
    </row>
    <row r="992" spans="1:10" x14ac:dyDescent="0.2">
      <c r="A992" s="7" t="str">
        <f t="shared" si="45"/>
        <v/>
      </c>
      <c r="B992" s="9"/>
      <c r="C992" s="8"/>
      <c r="D992" s="10" t="str">
        <f ca="1">IFERROR(_xludf.XLOOKUP(C992,STUDENTS!$A$5:$A$204,STUDENTS!$C$5:$C$204,""),"")</f>
        <v/>
      </c>
      <c r="E992" s="10" t="str">
        <f ca="1">IFERROR(_xludf.XLOOKUP(C992,STUDENTS!$A$5:$A$204,STUDENTS!$L$5:$L$204,""),"")</f>
        <v/>
      </c>
      <c r="F992" s="10" t="str">
        <f t="shared" si="46"/>
        <v/>
      </c>
      <c r="G992" s="8"/>
      <c r="H992" s="11" t="str">
        <f>IF(B992="","",IF(OR(F992="Saturday",F992="Sunday"),SETTINGS!$B$11,IF(G992="Vacation",SETTINGS!$B$13,0)))</f>
        <v/>
      </c>
      <c r="I992" s="12" t="str">
        <f t="shared" si="47"/>
        <v/>
      </c>
      <c r="J992" s="8"/>
    </row>
    <row r="993" spans="1:10" x14ac:dyDescent="0.2">
      <c r="A993" s="7" t="str">
        <f t="shared" si="45"/>
        <v/>
      </c>
      <c r="B993" s="9"/>
      <c r="C993" s="8"/>
      <c r="D993" s="10" t="str">
        <f ca="1">IFERROR(_xludf.XLOOKUP(C993,STUDENTS!$A$5:$A$204,STUDENTS!$C$5:$C$204,""),"")</f>
        <v/>
      </c>
      <c r="E993" s="10" t="str">
        <f ca="1">IFERROR(_xludf.XLOOKUP(C993,STUDENTS!$A$5:$A$204,STUDENTS!$L$5:$L$204,""),"")</f>
        <v/>
      </c>
      <c r="F993" s="10" t="str">
        <f t="shared" si="46"/>
        <v/>
      </c>
      <c r="G993" s="8"/>
      <c r="H993" s="11" t="str">
        <f>IF(B993="","",IF(OR(F993="Saturday",F993="Sunday"),SETTINGS!$B$11,IF(G993="Vacation",SETTINGS!$B$13,0)))</f>
        <v/>
      </c>
      <c r="I993" s="12" t="str">
        <f t="shared" si="47"/>
        <v/>
      </c>
      <c r="J993" s="8"/>
    </row>
    <row r="994" spans="1:10" x14ac:dyDescent="0.2">
      <c r="A994" s="7" t="str">
        <f t="shared" si="45"/>
        <v/>
      </c>
      <c r="B994" s="9"/>
      <c r="C994" s="8"/>
      <c r="D994" s="10" t="str">
        <f ca="1">IFERROR(_xludf.XLOOKUP(C994,STUDENTS!$A$5:$A$204,STUDENTS!$C$5:$C$204,""),"")</f>
        <v/>
      </c>
      <c r="E994" s="10" t="str">
        <f ca="1">IFERROR(_xludf.XLOOKUP(C994,STUDENTS!$A$5:$A$204,STUDENTS!$L$5:$L$204,""),"")</f>
        <v/>
      </c>
      <c r="F994" s="10" t="str">
        <f t="shared" si="46"/>
        <v/>
      </c>
      <c r="G994" s="8"/>
      <c r="H994" s="11" t="str">
        <f>IF(B994="","",IF(OR(F994="Saturday",F994="Sunday"),SETTINGS!$B$11,IF(G994="Vacation",SETTINGS!$B$13,0)))</f>
        <v/>
      </c>
      <c r="I994" s="12" t="str">
        <f t="shared" si="47"/>
        <v/>
      </c>
      <c r="J994" s="8"/>
    </row>
    <row r="995" spans="1:10" x14ac:dyDescent="0.2">
      <c r="A995" s="7" t="str">
        <f t="shared" si="45"/>
        <v/>
      </c>
      <c r="B995" s="9"/>
      <c r="C995" s="8"/>
      <c r="D995" s="10" t="str">
        <f ca="1">IFERROR(_xludf.XLOOKUP(C995,STUDENTS!$A$5:$A$204,STUDENTS!$C$5:$C$204,""),"")</f>
        <v/>
      </c>
      <c r="E995" s="10" t="str">
        <f ca="1">IFERROR(_xludf.XLOOKUP(C995,STUDENTS!$A$5:$A$204,STUDENTS!$L$5:$L$204,""),"")</f>
        <v/>
      </c>
      <c r="F995" s="10" t="str">
        <f t="shared" si="46"/>
        <v/>
      </c>
      <c r="G995" s="8"/>
      <c r="H995" s="11" t="str">
        <f>IF(B995="","",IF(OR(F995="Saturday",F995="Sunday"),SETTINGS!$B$11,IF(G995="Vacation",SETTINGS!$B$13,0)))</f>
        <v/>
      </c>
      <c r="I995" s="12" t="str">
        <f t="shared" si="47"/>
        <v/>
      </c>
      <c r="J995" s="8"/>
    </row>
    <row r="996" spans="1:10" x14ac:dyDescent="0.2">
      <c r="A996" s="7" t="str">
        <f t="shared" si="45"/>
        <v/>
      </c>
      <c r="B996" s="9"/>
      <c r="C996" s="8"/>
      <c r="D996" s="10" t="str">
        <f ca="1">IFERROR(_xludf.XLOOKUP(C996,STUDENTS!$A$5:$A$204,STUDENTS!$C$5:$C$204,""),"")</f>
        <v/>
      </c>
      <c r="E996" s="10" t="str">
        <f ca="1">IFERROR(_xludf.XLOOKUP(C996,STUDENTS!$A$5:$A$204,STUDENTS!$L$5:$L$204,""),"")</f>
        <v/>
      </c>
      <c r="F996" s="10" t="str">
        <f t="shared" si="46"/>
        <v/>
      </c>
      <c r="G996" s="8"/>
      <c r="H996" s="11" t="str">
        <f>IF(B996="","",IF(OR(F996="Saturday",F996="Sunday"),SETTINGS!$B$11,IF(G996="Vacation",SETTINGS!$B$13,0)))</f>
        <v/>
      </c>
      <c r="I996" s="12" t="str">
        <f t="shared" si="47"/>
        <v/>
      </c>
      <c r="J996" s="8"/>
    </row>
    <row r="997" spans="1:10" x14ac:dyDescent="0.2">
      <c r="A997" s="7" t="str">
        <f t="shared" si="45"/>
        <v/>
      </c>
      <c r="B997" s="9"/>
      <c r="C997" s="8"/>
      <c r="D997" s="10" t="str">
        <f ca="1">IFERROR(_xludf.XLOOKUP(C997,STUDENTS!$A$5:$A$204,STUDENTS!$C$5:$C$204,""),"")</f>
        <v/>
      </c>
      <c r="E997" s="10" t="str">
        <f ca="1">IFERROR(_xludf.XLOOKUP(C997,STUDENTS!$A$5:$A$204,STUDENTS!$L$5:$L$204,""),"")</f>
        <v/>
      </c>
      <c r="F997" s="10" t="str">
        <f t="shared" si="46"/>
        <v/>
      </c>
      <c r="G997" s="8"/>
      <c r="H997" s="11" t="str">
        <f>IF(B997="","",IF(OR(F997="Saturday",F997="Sunday"),SETTINGS!$B$11,IF(G997="Vacation",SETTINGS!$B$13,0)))</f>
        <v/>
      </c>
      <c r="I997" s="12" t="str">
        <f t="shared" si="47"/>
        <v/>
      </c>
      <c r="J997" s="8"/>
    </row>
    <row r="998" spans="1:10" x14ac:dyDescent="0.2">
      <c r="A998" s="7" t="str">
        <f t="shared" si="45"/>
        <v/>
      </c>
      <c r="B998" s="9"/>
      <c r="C998" s="8"/>
      <c r="D998" s="10" t="str">
        <f ca="1">IFERROR(_xludf.XLOOKUP(C998,STUDENTS!$A$5:$A$204,STUDENTS!$C$5:$C$204,""),"")</f>
        <v/>
      </c>
      <c r="E998" s="10" t="str">
        <f ca="1">IFERROR(_xludf.XLOOKUP(C998,STUDENTS!$A$5:$A$204,STUDENTS!$L$5:$L$204,""),"")</f>
        <v/>
      </c>
      <c r="F998" s="10" t="str">
        <f t="shared" si="46"/>
        <v/>
      </c>
      <c r="G998" s="8"/>
      <c r="H998" s="11" t="str">
        <f>IF(B998="","",IF(OR(F998="Saturday",F998="Sunday"),SETTINGS!$B$11,IF(G998="Vacation",SETTINGS!$B$13,0)))</f>
        <v/>
      </c>
      <c r="I998" s="12" t="str">
        <f t="shared" si="47"/>
        <v/>
      </c>
      <c r="J998" s="8"/>
    </row>
    <row r="999" spans="1:10" x14ac:dyDescent="0.2">
      <c r="A999" s="7" t="str">
        <f t="shared" si="45"/>
        <v/>
      </c>
      <c r="B999" s="9"/>
      <c r="C999" s="8"/>
      <c r="D999" s="10" t="str">
        <f ca="1">IFERROR(_xludf.XLOOKUP(C999,STUDENTS!$A$5:$A$204,STUDENTS!$C$5:$C$204,""),"")</f>
        <v/>
      </c>
      <c r="E999" s="10" t="str">
        <f ca="1">IFERROR(_xludf.XLOOKUP(C999,STUDENTS!$A$5:$A$204,STUDENTS!$L$5:$L$204,""),"")</f>
        <v/>
      </c>
      <c r="F999" s="10" t="str">
        <f t="shared" si="46"/>
        <v/>
      </c>
      <c r="G999" s="8"/>
      <c r="H999" s="11" t="str">
        <f>IF(B999="","",IF(OR(F999="Saturday",F999="Sunday"),SETTINGS!$B$11,IF(G999="Vacation",SETTINGS!$B$13,0)))</f>
        <v/>
      </c>
      <c r="I999" s="12" t="str">
        <f t="shared" si="47"/>
        <v/>
      </c>
      <c r="J999" s="8"/>
    </row>
    <row r="1000" spans="1:10" x14ac:dyDescent="0.2">
      <c r="A1000" s="7" t="str">
        <f t="shared" si="45"/>
        <v/>
      </c>
      <c r="B1000" s="9"/>
      <c r="C1000" s="8"/>
      <c r="D1000" s="10" t="str">
        <f ca="1">IFERROR(_xludf.XLOOKUP(C1000,STUDENTS!$A$5:$A$204,STUDENTS!$C$5:$C$204,""),"")</f>
        <v/>
      </c>
      <c r="E1000" s="10" t="str">
        <f ca="1">IFERROR(_xludf.XLOOKUP(C1000,STUDENTS!$A$5:$A$204,STUDENTS!$L$5:$L$204,""),"")</f>
        <v/>
      </c>
      <c r="F1000" s="10" t="str">
        <f t="shared" si="46"/>
        <v/>
      </c>
      <c r="G1000" s="8"/>
      <c r="H1000" s="11" t="str">
        <f>IF(B1000="","",IF(OR(F1000="Saturday",F1000="Sunday"),SETTINGS!$B$11,IF(G1000="Vacation",SETTINGS!$B$13,0)))</f>
        <v/>
      </c>
      <c r="I1000" s="12" t="str">
        <f t="shared" si="47"/>
        <v/>
      </c>
      <c r="J1000" s="8"/>
    </row>
    <row r="1001" spans="1:10" x14ac:dyDescent="0.2">
      <c r="A1001" s="7" t="str">
        <f t="shared" si="45"/>
        <v/>
      </c>
      <c r="B1001" s="9"/>
      <c r="C1001" s="8"/>
      <c r="D1001" s="10" t="str">
        <f ca="1">IFERROR(_xludf.XLOOKUP(C1001,STUDENTS!$A$5:$A$204,STUDENTS!$C$5:$C$204,""),"")</f>
        <v/>
      </c>
      <c r="E1001" s="10" t="str">
        <f ca="1">IFERROR(_xludf.XLOOKUP(C1001,STUDENTS!$A$5:$A$204,STUDENTS!$L$5:$L$204,""),"")</f>
        <v/>
      </c>
      <c r="F1001" s="10" t="str">
        <f t="shared" si="46"/>
        <v/>
      </c>
      <c r="G1001" s="8"/>
      <c r="H1001" s="11" t="str">
        <f>IF(B1001="","",IF(OR(F1001="Saturday",F1001="Sunday"),SETTINGS!$B$11,IF(G1001="Vacation",SETTINGS!$B$13,0)))</f>
        <v/>
      </c>
      <c r="I1001" s="12" t="str">
        <f t="shared" si="47"/>
        <v/>
      </c>
      <c r="J1001" s="8"/>
    </row>
    <row r="1002" spans="1:10" x14ac:dyDescent="0.2">
      <c r="A1002" s="7" t="str">
        <f t="shared" si="45"/>
        <v/>
      </c>
      <c r="B1002" s="9"/>
      <c r="C1002" s="8"/>
      <c r="D1002" s="10" t="str">
        <f ca="1">IFERROR(_xludf.XLOOKUP(C1002,STUDENTS!$A$5:$A$204,STUDENTS!$C$5:$C$204,""),"")</f>
        <v/>
      </c>
      <c r="E1002" s="10" t="str">
        <f ca="1">IFERROR(_xludf.XLOOKUP(C1002,STUDENTS!$A$5:$A$204,STUDENTS!$L$5:$L$204,""),"")</f>
        <v/>
      </c>
      <c r="F1002" s="10" t="str">
        <f t="shared" si="46"/>
        <v/>
      </c>
      <c r="G1002" s="8"/>
      <c r="H1002" s="11" t="str">
        <f>IF(B1002="","",IF(OR(F1002="Saturday",F1002="Sunday"),SETTINGS!$B$11,IF(G1002="Vacation",SETTINGS!$B$13,0)))</f>
        <v/>
      </c>
      <c r="I1002" s="12" t="str">
        <f t="shared" si="47"/>
        <v/>
      </c>
      <c r="J1002" s="8"/>
    </row>
    <row r="1003" spans="1:10" x14ac:dyDescent="0.2">
      <c r="A1003" s="7" t="str">
        <f t="shared" si="45"/>
        <v/>
      </c>
      <c r="B1003" s="9"/>
      <c r="C1003" s="8"/>
      <c r="D1003" s="10" t="str">
        <f ca="1">IFERROR(_xludf.XLOOKUP(C1003,STUDENTS!$A$5:$A$204,STUDENTS!$C$5:$C$204,""),"")</f>
        <v/>
      </c>
      <c r="E1003" s="10" t="str">
        <f ca="1">IFERROR(_xludf.XLOOKUP(C1003,STUDENTS!$A$5:$A$204,STUDENTS!$L$5:$L$204,""),"")</f>
        <v/>
      </c>
      <c r="F1003" s="10" t="str">
        <f t="shared" si="46"/>
        <v/>
      </c>
      <c r="G1003" s="8"/>
      <c r="H1003" s="11" t="str">
        <f>IF(B1003="","",IF(OR(F1003="Saturday",F1003="Sunday"),SETTINGS!$B$11,IF(G1003="Vacation",SETTINGS!$B$13,0)))</f>
        <v/>
      </c>
      <c r="I1003" s="12" t="str">
        <f t="shared" si="47"/>
        <v/>
      </c>
      <c r="J1003" s="8"/>
    </row>
    <row r="1004" spans="1:10" x14ac:dyDescent="0.2">
      <c r="A1004" s="7" t="str">
        <f t="shared" si="45"/>
        <v/>
      </c>
      <c r="B1004" s="9"/>
      <c r="C1004" s="8"/>
      <c r="D1004" s="10" t="str">
        <f ca="1">IFERROR(_xludf.XLOOKUP(C1004,STUDENTS!$A$5:$A$204,STUDENTS!$C$5:$C$204,""),"")</f>
        <v/>
      </c>
      <c r="E1004" s="10" t="str">
        <f ca="1">IFERROR(_xludf.XLOOKUP(C1004,STUDENTS!$A$5:$A$204,STUDENTS!$L$5:$L$204,""),"")</f>
        <v/>
      </c>
      <c r="F1004" s="10" t="str">
        <f t="shared" si="46"/>
        <v/>
      </c>
      <c r="G1004" s="8"/>
      <c r="H1004" s="11" t="str">
        <f>IF(B1004="","",IF(OR(F1004="Saturday",F1004="Sunday"),SETTINGS!$B$11,IF(G1004="Vacation",SETTINGS!$B$13,0)))</f>
        <v/>
      </c>
      <c r="I1004" s="12" t="str">
        <f t="shared" si="47"/>
        <v/>
      </c>
      <c r="J1004" s="8"/>
    </row>
  </sheetData>
  <mergeCells count="2">
    <mergeCell ref="A1:J1"/>
    <mergeCell ref="A2:J2"/>
  </mergeCells>
  <dataValidations count="1">
    <dataValidation type="list" allowBlank="1" sqref="G5:G1004" xr:uid="{00000000-0002-0000-0400-000000000000}">
      <formula1>"School,Vacation"</formula1>
    </dataValidation>
  </dataValidations>
  <pageMargins left="0.25" right="0.25" top="0.4" bottom="0.4" header="0.2" footer="0.2"/>
  <pageSetup fitToHeight="0" orientation="portrait"/>
  <legacy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J404"/>
  <sheetViews>
    <sheetView showGridLines="0" workbookViewId="0">
      <pane ySplit="4" topLeftCell="A5" activePane="bottomLeft" state="frozen"/>
      <selection pane="bottomLeft" sqref="A1:J1"/>
    </sheetView>
  </sheetViews>
  <sheetFormatPr baseColWidth="10" defaultColWidth="8.83203125" defaultRowHeight="15" x14ac:dyDescent="0.2"/>
  <cols>
    <col min="1" max="1" width="15" customWidth="1"/>
    <col min="2" max="2" width="14" customWidth="1"/>
    <col min="3" max="3" width="15" customWidth="1"/>
    <col min="4" max="4" width="28" customWidth="1"/>
    <col min="5" max="5" width="14" customWidth="1"/>
    <col min="6" max="6" width="16" customWidth="1"/>
    <col min="7" max="8" width="18" customWidth="1"/>
    <col min="9" max="9" width="16" customWidth="1"/>
    <col min="10" max="10" width="28" customWidth="1"/>
  </cols>
  <sheetData>
    <row r="1" spans="1:10" ht="32" customHeight="1" x14ac:dyDescent="0.2">
      <c r="A1" s="24" t="s">
        <v>105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2" customHeight="1" x14ac:dyDescent="0.2">
      <c r="A2" s="26" t="s">
        <v>106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ht="30" customHeight="1" x14ac:dyDescent="0.2">
      <c r="A4" s="1" t="s">
        <v>107</v>
      </c>
      <c r="B4" s="1" t="s">
        <v>98</v>
      </c>
      <c r="C4" s="1" t="s">
        <v>75</v>
      </c>
      <c r="D4" s="1" t="s">
        <v>99</v>
      </c>
      <c r="E4" s="1" t="s">
        <v>86</v>
      </c>
      <c r="F4" s="1" t="s">
        <v>108</v>
      </c>
      <c r="G4" s="1" t="s">
        <v>109</v>
      </c>
      <c r="H4" s="1" t="s">
        <v>103</v>
      </c>
      <c r="I4" s="1" t="s">
        <v>110</v>
      </c>
      <c r="J4" s="1" t="s">
        <v>29</v>
      </c>
    </row>
    <row r="5" spans="1:10" x14ac:dyDescent="0.2">
      <c r="A5" s="10" t="str">
        <f t="shared" ref="A5:A68" si="0">IF(C5="","","EX-"&amp;TEXT(ROW()-4,"00000"))</f>
        <v/>
      </c>
      <c r="B5" s="9"/>
      <c r="C5" s="8"/>
      <c r="D5" s="8" t="str">
        <f ca="1">IFERROR(_xludf.XLOOKUP(C5,STUDENTS!$A$5:$A$204,STUDENTS!$C$5:$C$204,""),"")</f>
        <v/>
      </c>
      <c r="E5" s="8" t="str">
        <f ca="1">IFERROR(_xludf.XLOOKUP(C5,STUDENTS!$A$5:$A$204,STUDENTS!$L$5:$L$204,""),"")</f>
        <v/>
      </c>
      <c r="F5" s="8"/>
      <c r="G5" s="12"/>
      <c r="H5" s="12"/>
      <c r="I5" s="11" t="str">
        <f t="shared" ref="I5:I68" si="1">IF(G5="","",G5-H5)</f>
        <v/>
      </c>
      <c r="J5" s="8"/>
    </row>
    <row r="6" spans="1:10" x14ac:dyDescent="0.2">
      <c r="A6" s="10" t="str">
        <f t="shared" si="0"/>
        <v/>
      </c>
      <c r="B6" s="9"/>
      <c r="C6" s="8"/>
      <c r="D6" s="8" t="str">
        <f ca="1">IFERROR(_xludf.XLOOKUP(C6,STUDENTS!$A$5:$A$204,STUDENTS!$C$5:$C$204,""),"")</f>
        <v/>
      </c>
      <c r="E6" s="8" t="str">
        <f ca="1">IFERROR(_xludf.XLOOKUP(C6,STUDENTS!$A$5:$A$204,STUDENTS!$L$5:$L$204,""),"")</f>
        <v/>
      </c>
      <c r="F6" s="8"/>
      <c r="G6" s="12"/>
      <c r="H6" s="12"/>
      <c r="I6" s="11" t="str">
        <f t="shared" si="1"/>
        <v/>
      </c>
      <c r="J6" s="8"/>
    </row>
    <row r="7" spans="1:10" x14ac:dyDescent="0.2">
      <c r="A7" s="10" t="str">
        <f t="shared" si="0"/>
        <v/>
      </c>
      <c r="B7" s="9"/>
      <c r="C7" s="8"/>
      <c r="D7" s="8" t="str">
        <f ca="1">IFERROR(_xludf.XLOOKUP(C7,STUDENTS!$A$5:$A$204,STUDENTS!$C$5:$C$204,""),"")</f>
        <v/>
      </c>
      <c r="E7" s="8" t="str">
        <f ca="1">IFERROR(_xludf.XLOOKUP(C7,STUDENTS!$A$5:$A$204,STUDENTS!$L$5:$L$204,""),"")</f>
        <v/>
      </c>
      <c r="F7" s="8"/>
      <c r="G7" s="12"/>
      <c r="H7" s="12"/>
      <c r="I7" s="11" t="str">
        <f t="shared" si="1"/>
        <v/>
      </c>
      <c r="J7" s="8"/>
    </row>
    <row r="8" spans="1:10" x14ac:dyDescent="0.2">
      <c r="A8" s="10" t="str">
        <f t="shared" si="0"/>
        <v/>
      </c>
      <c r="B8" s="9"/>
      <c r="C8" s="8"/>
      <c r="D8" s="8" t="str">
        <f ca="1">IFERROR(_xludf.XLOOKUP(C8,STUDENTS!$A$5:$A$204,STUDENTS!$C$5:$C$204,""),"")</f>
        <v/>
      </c>
      <c r="E8" s="8" t="str">
        <f ca="1">IFERROR(_xludf.XLOOKUP(C8,STUDENTS!$A$5:$A$204,STUDENTS!$L$5:$L$204,""),"")</f>
        <v/>
      </c>
      <c r="F8" s="8"/>
      <c r="G8" s="12"/>
      <c r="H8" s="12"/>
      <c r="I8" s="11" t="str">
        <f t="shared" si="1"/>
        <v/>
      </c>
      <c r="J8" s="8"/>
    </row>
    <row r="9" spans="1:10" x14ac:dyDescent="0.2">
      <c r="A9" s="10" t="str">
        <f t="shared" si="0"/>
        <v/>
      </c>
      <c r="B9" s="9"/>
      <c r="C9" s="8"/>
      <c r="D9" s="8" t="str">
        <f ca="1">IFERROR(_xludf.XLOOKUP(C9,STUDENTS!$A$5:$A$204,STUDENTS!$C$5:$C$204,""),"")</f>
        <v/>
      </c>
      <c r="E9" s="8" t="str">
        <f ca="1">IFERROR(_xludf.XLOOKUP(C9,STUDENTS!$A$5:$A$204,STUDENTS!$L$5:$L$204,""),"")</f>
        <v/>
      </c>
      <c r="F9" s="8"/>
      <c r="G9" s="12"/>
      <c r="H9" s="12"/>
      <c r="I9" s="11" t="str">
        <f t="shared" si="1"/>
        <v/>
      </c>
      <c r="J9" s="8"/>
    </row>
    <row r="10" spans="1:10" x14ac:dyDescent="0.2">
      <c r="A10" s="10" t="str">
        <f t="shared" si="0"/>
        <v/>
      </c>
      <c r="B10" s="9"/>
      <c r="C10" s="8"/>
      <c r="D10" s="8" t="str">
        <f ca="1">IFERROR(_xludf.XLOOKUP(C10,STUDENTS!$A$5:$A$204,STUDENTS!$C$5:$C$204,""),"")</f>
        <v/>
      </c>
      <c r="E10" s="8" t="str">
        <f ca="1">IFERROR(_xludf.XLOOKUP(C10,STUDENTS!$A$5:$A$204,STUDENTS!$L$5:$L$204,""),"")</f>
        <v/>
      </c>
      <c r="F10" s="8"/>
      <c r="G10" s="12"/>
      <c r="H10" s="12"/>
      <c r="I10" s="11" t="str">
        <f t="shared" si="1"/>
        <v/>
      </c>
      <c r="J10" s="8"/>
    </row>
    <row r="11" spans="1:10" x14ac:dyDescent="0.2">
      <c r="A11" s="10" t="str">
        <f t="shared" si="0"/>
        <v/>
      </c>
      <c r="B11" s="9"/>
      <c r="C11" s="8"/>
      <c r="D11" s="8" t="str">
        <f ca="1">IFERROR(_xludf.XLOOKUP(C11,STUDENTS!$A$5:$A$204,STUDENTS!$C$5:$C$204,""),"")</f>
        <v/>
      </c>
      <c r="E11" s="8" t="str">
        <f ca="1">IFERROR(_xludf.XLOOKUP(C11,STUDENTS!$A$5:$A$204,STUDENTS!$L$5:$L$204,""),"")</f>
        <v/>
      </c>
      <c r="F11" s="8"/>
      <c r="G11" s="12"/>
      <c r="H11" s="12"/>
      <c r="I11" s="11" t="str">
        <f t="shared" si="1"/>
        <v/>
      </c>
      <c r="J11" s="8"/>
    </row>
    <row r="12" spans="1:10" x14ac:dyDescent="0.2">
      <c r="A12" s="10" t="str">
        <f t="shared" si="0"/>
        <v/>
      </c>
      <c r="B12" s="9"/>
      <c r="C12" s="8"/>
      <c r="D12" s="8" t="str">
        <f ca="1">IFERROR(_xludf.XLOOKUP(C12,STUDENTS!$A$5:$A$204,STUDENTS!$C$5:$C$204,""),"")</f>
        <v/>
      </c>
      <c r="E12" s="8" t="str">
        <f ca="1">IFERROR(_xludf.XLOOKUP(C12,STUDENTS!$A$5:$A$204,STUDENTS!$L$5:$L$204,""),"")</f>
        <v/>
      </c>
      <c r="F12" s="8"/>
      <c r="G12" s="12"/>
      <c r="H12" s="12"/>
      <c r="I12" s="11" t="str">
        <f t="shared" si="1"/>
        <v/>
      </c>
      <c r="J12" s="8"/>
    </row>
    <row r="13" spans="1:10" x14ac:dyDescent="0.2">
      <c r="A13" s="10" t="str">
        <f t="shared" si="0"/>
        <v/>
      </c>
      <c r="B13" s="9"/>
      <c r="C13" s="8"/>
      <c r="D13" s="8" t="str">
        <f ca="1">IFERROR(_xludf.XLOOKUP(C13,STUDENTS!$A$5:$A$204,STUDENTS!$C$5:$C$204,""),"")</f>
        <v/>
      </c>
      <c r="E13" s="8" t="str">
        <f ca="1">IFERROR(_xludf.XLOOKUP(C13,STUDENTS!$A$5:$A$204,STUDENTS!$L$5:$L$204,""),"")</f>
        <v/>
      </c>
      <c r="F13" s="8"/>
      <c r="G13" s="12"/>
      <c r="H13" s="12"/>
      <c r="I13" s="11" t="str">
        <f t="shared" si="1"/>
        <v/>
      </c>
      <c r="J13" s="8"/>
    </row>
    <row r="14" spans="1:10" x14ac:dyDescent="0.2">
      <c r="A14" s="10" t="str">
        <f t="shared" si="0"/>
        <v/>
      </c>
      <c r="B14" s="9"/>
      <c r="C14" s="8"/>
      <c r="D14" s="8" t="str">
        <f ca="1">IFERROR(_xludf.XLOOKUP(C14,STUDENTS!$A$5:$A$204,STUDENTS!$C$5:$C$204,""),"")</f>
        <v/>
      </c>
      <c r="E14" s="8" t="str">
        <f ca="1">IFERROR(_xludf.XLOOKUP(C14,STUDENTS!$A$5:$A$204,STUDENTS!$L$5:$L$204,""),"")</f>
        <v/>
      </c>
      <c r="F14" s="8"/>
      <c r="G14" s="12"/>
      <c r="H14" s="12"/>
      <c r="I14" s="11" t="str">
        <f t="shared" si="1"/>
        <v/>
      </c>
      <c r="J14" s="8"/>
    </row>
    <row r="15" spans="1:10" x14ac:dyDescent="0.2">
      <c r="A15" s="10" t="str">
        <f t="shared" si="0"/>
        <v/>
      </c>
      <c r="B15" s="9"/>
      <c r="C15" s="8"/>
      <c r="D15" s="8" t="str">
        <f ca="1">IFERROR(_xludf.XLOOKUP(C15,STUDENTS!$A$5:$A$204,STUDENTS!$C$5:$C$204,""),"")</f>
        <v/>
      </c>
      <c r="E15" s="8" t="str">
        <f ca="1">IFERROR(_xludf.XLOOKUP(C15,STUDENTS!$A$5:$A$204,STUDENTS!$L$5:$L$204,""),"")</f>
        <v/>
      </c>
      <c r="F15" s="8"/>
      <c r="G15" s="12"/>
      <c r="H15" s="12"/>
      <c r="I15" s="11" t="str">
        <f t="shared" si="1"/>
        <v/>
      </c>
      <c r="J15" s="8"/>
    </row>
    <row r="16" spans="1:10" x14ac:dyDescent="0.2">
      <c r="A16" s="10" t="str">
        <f t="shared" si="0"/>
        <v/>
      </c>
      <c r="B16" s="9"/>
      <c r="C16" s="8"/>
      <c r="D16" s="8" t="str">
        <f ca="1">IFERROR(_xludf.XLOOKUP(C16,STUDENTS!$A$5:$A$204,STUDENTS!$C$5:$C$204,""),"")</f>
        <v/>
      </c>
      <c r="E16" s="8" t="str">
        <f ca="1">IFERROR(_xludf.XLOOKUP(C16,STUDENTS!$A$5:$A$204,STUDENTS!$L$5:$L$204,""),"")</f>
        <v/>
      </c>
      <c r="F16" s="8"/>
      <c r="G16" s="12"/>
      <c r="H16" s="12"/>
      <c r="I16" s="11" t="str">
        <f t="shared" si="1"/>
        <v/>
      </c>
      <c r="J16" s="8"/>
    </row>
    <row r="17" spans="1:10" x14ac:dyDescent="0.2">
      <c r="A17" s="10" t="str">
        <f t="shared" si="0"/>
        <v/>
      </c>
      <c r="B17" s="9"/>
      <c r="C17" s="8"/>
      <c r="D17" s="8" t="str">
        <f ca="1">IFERROR(_xludf.XLOOKUP(C17,STUDENTS!$A$5:$A$204,STUDENTS!$C$5:$C$204,""),"")</f>
        <v/>
      </c>
      <c r="E17" s="8" t="str">
        <f ca="1">IFERROR(_xludf.XLOOKUP(C17,STUDENTS!$A$5:$A$204,STUDENTS!$L$5:$L$204,""),"")</f>
        <v/>
      </c>
      <c r="F17" s="8"/>
      <c r="G17" s="12"/>
      <c r="H17" s="12"/>
      <c r="I17" s="11" t="str">
        <f t="shared" si="1"/>
        <v/>
      </c>
      <c r="J17" s="8"/>
    </row>
    <row r="18" spans="1:10" x14ac:dyDescent="0.2">
      <c r="A18" s="10" t="str">
        <f t="shared" si="0"/>
        <v/>
      </c>
      <c r="B18" s="9"/>
      <c r="C18" s="8"/>
      <c r="D18" s="8" t="str">
        <f ca="1">IFERROR(_xludf.XLOOKUP(C18,STUDENTS!$A$5:$A$204,STUDENTS!$C$5:$C$204,""),"")</f>
        <v/>
      </c>
      <c r="E18" s="8" t="str">
        <f ca="1">IFERROR(_xludf.XLOOKUP(C18,STUDENTS!$A$5:$A$204,STUDENTS!$L$5:$L$204,""),"")</f>
        <v/>
      </c>
      <c r="F18" s="8"/>
      <c r="G18" s="12"/>
      <c r="H18" s="12"/>
      <c r="I18" s="11" t="str">
        <f t="shared" si="1"/>
        <v/>
      </c>
      <c r="J18" s="8"/>
    </row>
    <row r="19" spans="1:10" x14ac:dyDescent="0.2">
      <c r="A19" s="10" t="str">
        <f t="shared" si="0"/>
        <v/>
      </c>
      <c r="B19" s="9"/>
      <c r="C19" s="8"/>
      <c r="D19" s="8" t="str">
        <f ca="1">IFERROR(_xludf.XLOOKUP(C19,STUDENTS!$A$5:$A$204,STUDENTS!$C$5:$C$204,""),"")</f>
        <v/>
      </c>
      <c r="E19" s="8" t="str">
        <f ca="1">IFERROR(_xludf.XLOOKUP(C19,STUDENTS!$A$5:$A$204,STUDENTS!$L$5:$L$204,""),"")</f>
        <v/>
      </c>
      <c r="F19" s="8"/>
      <c r="G19" s="12"/>
      <c r="H19" s="12"/>
      <c r="I19" s="11" t="str">
        <f t="shared" si="1"/>
        <v/>
      </c>
      <c r="J19" s="8"/>
    </row>
    <row r="20" spans="1:10" x14ac:dyDescent="0.2">
      <c r="A20" s="10" t="str">
        <f t="shared" si="0"/>
        <v/>
      </c>
      <c r="B20" s="9"/>
      <c r="C20" s="8"/>
      <c r="D20" s="8" t="str">
        <f ca="1">IFERROR(_xludf.XLOOKUP(C20,STUDENTS!$A$5:$A$204,STUDENTS!$C$5:$C$204,""),"")</f>
        <v/>
      </c>
      <c r="E20" s="8" t="str">
        <f ca="1">IFERROR(_xludf.XLOOKUP(C20,STUDENTS!$A$5:$A$204,STUDENTS!$L$5:$L$204,""),"")</f>
        <v/>
      </c>
      <c r="F20" s="8"/>
      <c r="G20" s="12"/>
      <c r="H20" s="12"/>
      <c r="I20" s="11" t="str">
        <f t="shared" si="1"/>
        <v/>
      </c>
      <c r="J20" s="8"/>
    </row>
    <row r="21" spans="1:10" x14ac:dyDescent="0.2">
      <c r="A21" s="10" t="str">
        <f t="shared" si="0"/>
        <v/>
      </c>
      <c r="B21" s="9"/>
      <c r="C21" s="8"/>
      <c r="D21" s="8" t="str">
        <f ca="1">IFERROR(_xludf.XLOOKUP(C21,STUDENTS!$A$5:$A$204,STUDENTS!$C$5:$C$204,""),"")</f>
        <v/>
      </c>
      <c r="E21" s="8" t="str">
        <f ca="1">IFERROR(_xludf.XLOOKUP(C21,STUDENTS!$A$5:$A$204,STUDENTS!$L$5:$L$204,""),"")</f>
        <v/>
      </c>
      <c r="F21" s="8"/>
      <c r="G21" s="12"/>
      <c r="H21" s="12"/>
      <c r="I21" s="11" t="str">
        <f t="shared" si="1"/>
        <v/>
      </c>
      <c r="J21" s="8"/>
    </row>
    <row r="22" spans="1:10" x14ac:dyDescent="0.2">
      <c r="A22" s="10" t="str">
        <f t="shared" si="0"/>
        <v/>
      </c>
      <c r="B22" s="9"/>
      <c r="C22" s="8"/>
      <c r="D22" s="8" t="str">
        <f ca="1">IFERROR(_xludf.XLOOKUP(C22,STUDENTS!$A$5:$A$204,STUDENTS!$C$5:$C$204,""),"")</f>
        <v/>
      </c>
      <c r="E22" s="8" t="str">
        <f ca="1">IFERROR(_xludf.XLOOKUP(C22,STUDENTS!$A$5:$A$204,STUDENTS!$L$5:$L$204,""),"")</f>
        <v/>
      </c>
      <c r="F22" s="8"/>
      <c r="G22" s="12"/>
      <c r="H22" s="12"/>
      <c r="I22" s="11" t="str">
        <f t="shared" si="1"/>
        <v/>
      </c>
      <c r="J22" s="8"/>
    </row>
    <row r="23" spans="1:10" x14ac:dyDescent="0.2">
      <c r="A23" s="10" t="str">
        <f t="shared" si="0"/>
        <v/>
      </c>
      <c r="B23" s="9"/>
      <c r="C23" s="8"/>
      <c r="D23" s="8" t="str">
        <f ca="1">IFERROR(_xludf.XLOOKUP(C23,STUDENTS!$A$5:$A$204,STUDENTS!$C$5:$C$204,""),"")</f>
        <v/>
      </c>
      <c r="E23" s="8" t="str">
        <f ca="1">IFERROR(_xludf.XLOOKUP(C23,STUDENTS!$A$5:$A$204,STUDENTS!$L$5:$L$204,""),"")</f>
        <v/>
      </c>
      <c r="F23" s="8"/>
      <c r="G23" s="12"/>
      <c r="H23" s="12"/>
      <c r="I23" s="11" t="str">
        <f t="shared" si="1"/>
        <v/>
      </c>
      <c r="J23" s="8"/>
    </row>
    <row r="24" spans="1:10" x14ac:dyDescent="0.2">
      <c r="A24" s="10" t="str">
        <f t="shared" si="0"/>
        <v/>
      </c>
      <c r="B24" s="9"/>
      <c r="C24" s="8"/>
      <c r="D24" s="8" t="str">
        <f ca="1">IFERROR(_xludf.XLOOKUP(C24,STUDENTS!$A$5:$A$204,STUDENTS!$C$5:$C$204,""),"")</f>
        <v/>
      </c>
      <c r="E24" s="8" t="str">
        <f ca="1">IFERROR(_xludf.XLOOKUP(C24,STUDENTS!$A$5:$A$204,STUDENTS!$L$5:$L$204,""),"")</f>
        <v/>
      </c>
      <c r="F24" s="8"/>
      <c r="G24" s="12"/>
      <c r="H24" s="12"/>
      <c r="I24" s="11" t="str">
        <f t="shared" si="1"/>
        <v/>
      </c>
      <c r="J24" s="8"/>
    </row>
    <row r="25" spans="1:10" x14ac:dyDescent="0.2">
      <c r="A25" s="10" t="str">
        <f t="shared" si="0"/>
        <v/>
      </c>
      <c r="B25" s="9"/>
      <c r="C25" s="8"/>
      <c r="D25" s="8" t="str">
        <f ca="1">IFERROR(_xludf.XLOOKUP(C25,STUDENTS!$A$5:$A$204,STUDENTS!$C$5:$C$204,""),"")</f>
        <v/>
      </c>
      <c r="E25" s="8" t="str">
        <f ca="1">IFERROR(_xludf.XLOOKUP(C25,STUDENTS!$A$5:$A$204,STUDENTS!$L$5:$L$204,""),"")</f>
        <v/>
      </c>
      <c r="F25" s="8"/>
      <c r="G25" s="12"/>
      <c r="H25" s="12"/>
      <c r="I25" s="11" t="str">
        <f t="shared" si="1"/>
        <v/>
      </c>
      <c r="J25" s="8"/>
    </row>
    <row r="26" spans="1:10" x14ac:dyDescent="0.2">
      <c r="A26" s="10" t="str">
        <f t="shared" si="0"/>
        <v/>
      </c>
      <c r="B26" s="9"/>
      <c r="C26" s="8"/>
      <c r="D26" s="8" t="str">
        <f ca="1">IFERROR(_xludf.XLOOKUP(C26,STUDENTS!$A$5:$A$204,STUDENTS!$C$5:$C$204,""),"")</f>
        <v/>
      </c>
      <c r="E26" s="8" t="str">
        <f ca="1">IFERROR(_xludf.XLOOKUP(C26,STUDENTS!$A$5:$A$204,STUDENTS!$L$5:$L$204,""),"")</f>
        <v/>
      </c>
      <c r="F26" s="8"/>
      <c r="G26" s="12"/>
      <c r="H26" s="12"/>
      <c r="I26" s="11" t="str">
        <f t="shared" si="1"/>
        <v/>
      </c>
      <c r="J26" s="8"/>
    </row>
    <row r="27" spans="1:10" x14ac:dyDescent="0.2">
      <c r="A27" s="10" t="str">
        <f t="shared" si="0"/>
        <v/>
      </c>
      <c r="B27" s="9"/>
      <c r="C27" s="8"/>
      <c r="D27" s="8" t="str">
        <f ca="1">IFERROR(_xludf.XLOOKUP(C27,STUDENTS!$A$5:$A$204,STUDENTS!$C$5:$C$204,""),"")</f>
        <v/>
      </c>
      <c r="E27" s="8" t="str">
        <f ca="1">IFERROR(_xludf.XLOOKUP(C27,STUDENTS!$A$5:$A$204,STUDENTS!$L$5:$L$204,""),"")</f>
        <v/>
      </c>
      <c r="F27" s="8"/>
      <c r="G27" s="12"/>
      <c r="H27" s="12"/>
      <c r="I27" s="11" t="str">
        <f t="shared" si="1"/>
        <v/>
      </c>
      <c r="J27" s="8"/>
    </row>
    <row r="28" spans="1:10" x14ac:dyDescent="0.2">
      <c r="A28" s="10" t="str">
        <f t="shared" si="0"/>
        <v/>
      </c>
      <c r="B28" s="9"/>
      <c r="C28" s="8"/>
      <c r="D28" s="8" t="str">
        <f ca="1">IFERROR(_xludf.XLOOKUP(C28,STUDENTS!$A$5:$A$204,STUDENTS!$C$5:$C$204,""),"")</f>
        <v/>
      </c>
      <c r="E28" s="8" t="str">
        <f ca="1">IFERROR(_xludf.XLOOKUP(C28,STUDENTS!$A$5:$A$204,STUDENTS!$L$5:$L$204,""),"")</f>
        <v/>
      </c>
      <c r="F28" s="8"/>
      <c r="G28" s="12"/>
      <c r="H28" s="12"/>
      <c r="I28" s="11" t="str">
        <f t="shared" si="1"/>
        <v/>
      </c>
      <c r="J28" s="8"/>
    </row>
    <row r="29" spans="1:10" x14ac:dyDescent="0.2">
      <c r="A29" s="10" t="str">
        <f t="shared" si="0"/>
        <v/>
      </c>
      <c r="B29" s="9"/>
      <c r="C29" s="8"/>
      <c r="D29" s="8" t="str">
        <f ca="1">IFERROR(_xludf.XLOOKUP(C29,STUDENTS!$A$5:$A$204,STUDENTS!$C$5:$C$204,""),"")</f>
        <v/>
      </c>
      <c r="E29" s="8" t="str">
        <f ca="1">IFERROR(_xludf.XLOOKUP(C29,STUDENTS!$A$5:$A$204,STUDENTS!$L$5:$L$204,""),"")</f>
        <v/>
      </c>
      <c r="F29" s="8"/>
      <c r="G29" s="12"/>
      <c r="H29" s="12"/>
      <c r="I29" s="11" t="str">
        <f t="shared" si="1"/>
        <v/>
      </c>
      <c r="J29" s="8"/>
    </row>
    <row r="30" spans="1:10" x14ac:dyDescent="0.2">
      <c r="A30" s="10" t="str">
        <f t="shared" si="0"/>
        <v/>
      </c>
      <c r="B30" s="9"/>
      <c r="C30" s="8"/>
      <c r="D30" s="8" t="str">
        <f ca="1">IFERROR(_xludf.XLOOKUP(C30,STUDENTS!$A$5:$A$204,STUDENTS!$C$5:$C$204,""),"")</f>
        <v/>
      </c>
      <c r="E30" s="8" t="str">
        <f ca="1">IFERROR(_xludf.XLOOKUP(C30,STUDENTS!$A$5:$A$204,STUDENTS!$L$5:$L$204,""),"")</f>
        <v/>
      </c>
      <c r="F30" s="8"/>
      <c r="G30" s="12"/>
      <c r="H30" s="12"/>
      <c r="I30" s="11" t="str">
        <f t="shared" si="1"/>
        <v/>
      </c>
      <c r="J30" s="8"/>
    </row>
    <row r="31" spans="1:10" x14ac:dyDescent="0.2">
      <c r="A31" s="10" t="str">
        <f t="shared" si="0"/>
        <v/>
      </c>
      <c r="B31" s="9"/>
      <c r="C31" s="8"/>
      <c r="D31" s="8" t="str">
        <f ca="1">IFERROR(_xludf.XLOOKUP(C31,STUDENTS!$A$5:$A$204,STUDENTS!$C$5:$C$204,""),"")</f>
        <v/>
      </c>
      <c r="E31" s="8" t="str">
        <f ca="1">IFERROR(_xludf.XLOOKUP(C31,STUDENTS!$A$5:$A$204,STUDENTS!$L$5:$L$204,""),"")</f>
        <v/>
      </c>
      <c r="F31" s="8"/>
      <c r="G31" s="12"/>
      <c r="H31" s="12"/>
      <c r="I31" s="11" t="str">
        <f t="shared" si="1"/>
        <v/>
      </c>
      <c r="J31" s="8"/>
    </row>
    <row r="32" spans="1:10" x14ac:dyDescent="0.2">
      <c r="A32" s="10" t="str">
        <f t="shared" si="0"/>
        <v/>
      </c>
      <c r="B32" s="9"/>
      <c r="C32" s="8"/>
      <c r="D32" s="8" t="str">
        <f ca="1">IFERROR(_xludf.XLOOKUP(C32,STUDENTS!$A$5:$A$204,STUDENTS!$C$5:$C$204,""),"")</f>
        <v/>
      </c>
      <c r="E32" s="8" t="str">
        <f ca="1">IFERROR(_xludf.XLOOKUP(C32,STUDENTS!$A$5:$A$204,STUDENTS!$L$5:$L$204,""),"")</f>
        <v/>
      </c>
      <c r="F32" s="8"/>
      <c r="G32" s="12"/>
      <c r="H32" s="12"/>
      <c r="I32" s="11" t="str">
        <f t="shared" si="1"/>
        <v/>
      </c>
      <c r="J32" s="8"/>
    </row>
    <row r="33" spans="1:10" x14ac:dyDescent="0.2">
      <c r="A33" s="10" t="str">
        <f t="shared" si="0"/>
        <v/>
      </c>
      <c r="B33" s="9"/>
      <c r="C33" s="8"/>
      <c r="D33" s="8" t="str">
        <f ca="1">IFERROR(_xludf.XLOOKUP(C33,STUDENTS!$A$5:$A$204,STUDENTS!$C$5:$C$204,""),"")</f>
        <v/>
      </c>
      <c r="E33" s="8" t="str">
        <f ca="1">IFERROR(_xludf.XLOOKUP(C33,STUDENTS!$A$5:$A$204,STUDENTS!$L$5:$L$204,""),"")</f>
        <v/>
      </c>
      <c r="F33" s="8"/>
      <c r="G33" s="12"/>
      <c r="H33" s="12"/>
      <c r="I33" s="11" t="str">
        <f t="shared" si="1"/>
        <v/>
      </c>
      <c r="J33" s="8"/>
    </row>
    <row r="34" spans="1:10" x14ac:dyDescent="0.2">
      <c r="A34" s="10" t="str">
        <f t="shared" si="0"/>
        <v/>
      </c>
      <c r="B34" s="9"/>
      <c r="C34" s="8"/>
      <c r="D34" s="8" t="str">
        <f ca="1">IFERROR(_xludf.XLOOKUP(C34,STUDENTS!$A$5:$A$204,STUDENTS!$C$5:$C$204,""),"")</f>
        <v/>
      </c>
      <c r="E34" s="8" t="str">
        <f ca="1">IFERROR(_xludf.XLOOKUP(C34,STUDENTS!$A$5:$A$204,STUDENTS!$L$5:$L$204,""),"")</f>
        <v/>
      </c>
      <c r="F34" s="8"/>
      <c r="G34" s="12"/>
      <c r="H34" s="12"/>
      <c r="I34" s="11" t="str">
        <f t="shared" si="1"/>
        <v/>
      </c>
      <c r="J34" s="8"/>
    </row>
    <row r="35" spans="1:10" x14ac:dyDescent="0.2">
      <c r="A35" s="10" t="str">
        <f t="shared" si="0"/>
        <v/>
      </c>
      <c r="B35" s="9"/>
      <c r="C35" s="8"/>
      <c r="D35" s="8" t="str">
        <f ca="1">IFERROR(_xludf.XLOOKUP(C35,STUDENTS!$A$5:$A$204,STUDENTS!$C$5:$C$204,""),"")</f>
        <v/>
      </c>
      <c r="E35" s="8" t="str">
        <f ca="1">IFERROR(_xludf.XLOOKUP(C35,STUDENTS!$A$5:$A$204,STUDENTS!$L$5:$L$204,""),"")</f>
        <v/>
      </c>
      <c r="F35" s="8"/>
      <c r="G35" s="12"/>
      <c r="H35" s="12"/>
      <c r="I35" s="11" t="str">
        <f t="shared" si="1"/>
        <v/>
      </c>
      <c r="J35" s="8"/>
    </row>
    <row r="36" spans="1:10" x14ac:dyDescent="0.2">
      <c r="A36" s="10" t="str">
        <f t="shared" si="0"/>
        <v/>
      </c>
      <c r="B36" s="9"/>
      <c r="C36" s="8"/>
      <c r="D36" s="8" t="str">
        <f ca="1">IFERROR(_xludf.XLOOKUP(C36,STUDENTS!$A$5:$A$204,STUDENTS!$C$5:$C$204,""),"")</f>
        <v/>
      </c>
      <c r="E36" s="8" t="str">
        <f ca="1">IFERROR(_xludf.XLOOKUP(C36,STUDENTS!$A$5:$A$204,STUDENTS!$L$5:$L$204,""),"")</f>
        <v/>
      </c>
      <c r="F36" s="8"/>
      <c r="G36" s="12"/>
      <c r="H36" s="12"/>
      <c r="I36" s="11" t="str">
        <f t="shared" si="1"/>
        <v/>
      </c>
      <c r="J36" s="8"/>
    </row>
    <row r="37" spans="1:10" x14ac:dyDescent="0.2">
      <c r="A37" s="10" t="str">
        <f t="shared" si="0"/>
        <v/>
      </c>
      <c r="B37" s="9"/>
      <c r="C37" s="8"/>
      <c r="D37" s="8" t="str">
        <f ca="1">IFERROR(_xludf.XLOOKUP(C37,STUDENTS!$A$5:$A$204,STUDENTS!$C$5:$C$204,""),"")</f>
        <v/>
      </c>
      <c r="E37" s="8" t="str">
        <f ca="1">IFERROR(_xludf.XLOOKUP(C37,STUDENTS!$A$5:$A$204,STUDENTS!$L$5:$L$204,""),"")</f>
        <v/>
      </c>
      <c r="F37" s="8"/>
      <c r="G37" s="12"/>
      <c r="H37" s="12"/>
      <c r="I37" s="11" t="str">
        <f t="shared" si="1"/>
        <v/>
      </c>
      <c r="J37" s="8"/>
    </row>
    <row r="38" spans="1:10" x14ac:dyDescent="0.2">
      <c r="A38" s="10" t="str">
        <f t="shared" si="0"/>
        <v/>
      </c>
      <c r="B38" s="9"/>
      <c r="C38" s="8"/>
      <c r="D38" s="8" t="str">
        <f ca="1">IFERROR(_xludf.XLOOKUP(C38,STUDENTS!$A$5:$A$204,STUDENTS!$C$5:$C$204,""),"")</f>
        <v/>
      </c>
      <c r="E38" s="8" t="str">
        <f ca="1">IFERROR(_xludf.XLOOKUP(C38,STUDENTS!$A$5:$A$204,STUDENTS!$L$5:$L$204,""),"")</f>
        <v/>
      </c>
      <c r="F38" s="8"/>
      <c r="G38" s="12"/>
      <c r="H38" s="12"/>
      <c r="I38" s="11" t="str">
        <f t="shared" si="1"/>
        <v/>
      </c>
      <c r="J38" s="8"/>
    </row>
    <row r="39" spans="1:10" x14ac:dyDescent="0.2">
      <c r="A39" s="10" t="str">
        <f t="shared" si="0"/>
        <v/>
      </c>
      <c r="B39" s="9"/>
      <c r="C39" s="8"/>
      <c r="D39" s="8" t="str">
        <f ca="1">IFERROR(_xludf.XLOOKUP(C39,STUDENTS!$A$5:$A$204,STUDENTS!$C$5:$C$204,""),"")</f>
        <v/>
      </c>
      <c r="E39" s="8" t="str">
        <f ca="1">IFERROR(_xludf.XLOOKUP(C39,STUDENTS!$A$5:$A$204,STUDENTS!$L$5:$L$204,""),"")</f>
        <v/>
      </c>
      <c r="F39" s="8"/>
      <c r="G39" s="12"/>
      <c r="H39" s="12"/>
      <c r="I39" s="11" t="str">
        <f t="shared" si="1"/>
        <v/>
      </c>
      <c r="J39" s="8"/>
    </row>
    <row r="40" spans="1:10" x14ac:dyDescent="0.2">
      <c r="A40" s="10" t="str">
        <f t="shared" si="0"/>
        <v/>
      </c>
      <c r="B40" s="9"/>
      <c r="C40" s="8"/>
      <c r="D40" s="8" t="str">
        <f ca="1">IFERROR(_xludf.XLOOKUP(C40,STUDENTS!$A$5:$A$204,STUDENTS!$C$5:$C$204,""),"")</f>
        <v/>
      </c>
      <c r="E40" s="8" t="str">
        <f ca="1">IFERROR(_xludf.XLOOKUP(C40,STUDENTS!$A$5:$A$204,STUDENTS!$L$5:$L$204,""),"")</f>
        <v/>
      </c>
      <c r="F40" s="8"/>
      <c r="G40" s="12"/>
      <c r="H40" s="12"/>
      <c r="I40" s="11" t="str">
        <f t="shared" si="1"/>
        <v/>
      </c>
      <c r="J40" s="8"/>
    </row>
    <row r="41" spans="1:10" x14ac:dyDescent="0.2">
      <c r="A41" s="10" t="str">
        <f t="shared" si="0"/>
        <v/>
      </c>
      <c r="B41" s="9"/>
      <c r="C41" s="8"/>
      <c r="D41" s="8" t="str">
        <f ca="1">IFERROR(_xludf.XLOOKUP(C41,STUDENTS!$A$5:$A$204,STUDENTS!$C$5:$C$204,""),"")</f>
        <v/>
      </c>
      <c r="E41" s="8" t="str">
        <f ca="1">IFERROR(_xludf.XLOOKUP(C41,STUDENTS!$A$5:$A$204,STUDENTS!$L$5:$L$204,""),"")</f>
        <v/>
      </c>
      <c r="F41" s="8"/>
      <c r="G41" s="12"/>
      <c r="H41" s="12"/>
      <c r="I41" s="11" t="str">
        <f t="shared" si="1"/>
        <v/>
      </c>
      <c r="J41" s="8"/>
    </row>
    <row r="42" spans="1:10" x14ac:dyDescent="0.2">
      <c r="A42" s="10" t="str">
        <f t="shared" si="0"/>
        <v/>
      </c>
      <c r="B42" s="9"/>
      <c r="C42" s="8"/>
      <c r="D42" s="8" t="str">
        <f ca="1">IFERROR(_xludf.XLOOKUP(C42,STUDENTS!$A$5:$A$204,STUDENTS!$C$5:$C$204,""),"")</f>
        <v/>
      </c>
      <c r="E42" s="8" t="str">
        <f ca="1">IFERROR(_xludf.XLOOKUP(C42,STUDENTS!$A$5:$A$204,STUDENTS!$L$5:$L$204,""),"")</f>
        <v/>
      </c>
      <c r="F42" s="8"/>
      <c r="G42" s="12"/>
      <c r="H42" s="12"/>
      <c r="I42" s="11" t="str">
        <f t="shared" si="1"/>
        <v/>
      </c>
      <c r="J42" s="8"/>
    </row>
    <row r="43" spans="1:10" x14ac:dyDescent="0.2">
      <c r="A43" s="10" t="str">
        <f t="shared" si="0"/>
        <v/>
      </c>
      <c r="B43" s="9"/>
      <c r="C43" s="8"/>
      <c r="D43" s="8" t="str">
        <f ca="1">IFERROR(_xludf.XLOOKUP(C43,STUDENTS!$A$5:$A$204,STUDENTS!$C$5:$C$204,""),"")</f>
        <v/>
      </c>
      <c r="E43" s="8" t="str">
        <f ca="1">IFERROR(_xludf.XLOOKUP(C43,STUDENTS!$A$5:$A$204,STUDENTS!$L$5:$L$204,""),"")</f>
        <v/>
      </c>
      <c r="F43" s="8"/>
      <c r="G43" s="12"/>
      <c r="H43" s="12"/>
      <c r="I43" s="11" t="str">
        <f t="shared" si="1"/>
        <v/>
      </c>
      <c r="J43" s="8"/>
    </row>
    <row r="44" spans="1:10" x14ac:dyDescent="0.2">
      <c r="A44" s="10" t="str">
        <f t="shared" si="0"/>
        <v/>
      </c>
      <c r="B44" s="9"/>
      <c r="C44" s="8"/>
      <c r="D44" s="8" t="str">
        <f ca="1">IFERROR(_xludf.XLOOKUP(C44,STUDENTS!$A$5:$A$204,STUDENTS!$C$5:$C$204,""),"")</f>
        <v/>
      </c>
      <c r="E44" s="8" t="str">
        <f ca="1">IFERROR(_xludf.XLOOKUP(C44,STUDENTS!$A$5:$A$204,STUDENTS!$L$5:$L$204,""),"")</f>
        <v/>
      </c>
      <c r="F44" s="8"/>
      <c r="G44" s="12"/>
      <c r="H44" s="12"/>
      <c r="I44" s="11" t="str">
        <f t="shared" si="1"/>
        <v/>
      </c>
      <c r="J44" s="8"/>
    </row>
    <row r="45" spans="1:10" x14ac:dyDescent="0.2">
      <c r="A45" s="10" t="str">
        <f t="shared" si="0"/>
        <v/>
      </c>
      <c r="B45" s="9"/>
      <c r="C45" s="8"/>
      <c r="D45" s="8" t="str">
        <f ca="1">IFERROR(_xludf.XLOOKUP(C45,STUDENTS!$A$5:$A$204,STUDENTS!$C$5:$C$204,""),"")</f>
        <v/>
      </c>
      <c r="E45" s="8" t="str">
        <f ca="1">IFERROR(_xludf.XLOOKUP(C45,STUDENTS!$A$5:$A$204,STUDENTS!$L$5:$L$204,""),"")</f>
        <v/>
      </c>
      <c r="F45" s="8"/>
      <c r="G45" s="12"/>
      <c r="H45" s="12"/>
      <c r="I45" s="11" t="str">
        <f t="shared" si="1"/>
        <v/>
      </c>
      <c r="J45" s="8"/>
    </row>
    <row r="46" spans="1:10" x14ac:dyDescent="0.2">
      <c r="A46" s="10" t="str">
        <f t="shared" si="0"/>
        <v/>
      </c>
      <c r="B46" s="9"/>
      <c r="C46" s="8"/>
      <c r="D46" s="8" t="str">
        <f ca="1">IFERROR(_xludf.XLOOKUP(C46,STUDENTS!$A$5:$A$204,STUDENTS!$C$5:$C$204,""),"")</f>
        <v/>
      </c>
      <c r="E46" s="8" t="str">
        <f ca="1">IFERROR(_xludf.XLOOKUP(C46,STUDENTS!$A$5:$A$204,STUDENTS!$L$5:$L$204,""),"")</f>
        <v/>
      </c>
      <c r="F46" s="8"/>
      <c r="G46" s="12"/>
      <c r="H46" s="12"/>
      <c r="I46" s="11" t="str">
        <f t="shared" si="1"/>
        <v/>
      </c>
      <c r="J46" s="8"/>
    </row>
    <row r="47" spans="1:10" x14ac:dyDescent="0.2">
      <c r="A47" s="10" t="str">
        <f t="shared" si="0"/>
        <v/>
      </c>
      <c r="B47" s="9"/>
      <c r="C47" s="8"/>
      <c r="D47" s="8" t="str">
        <f ca="1">IFERROR(_xludf.XLOOKUP(C47,STUDENTS!$A$5:$A$204,STUDENTS!$C$5:$C$204,""),"")</f>
        <v/>
      </c>
      <c r="E47" s="8" t="str">
        <f ca="1">IFERROR(_xludf.XLOOKUP(C47,STUDENTS!$A$5:$A$204,STUDENTS!$L$5:$L$204,""),"")</f>
        <v/>
      </c>
      <c r="F47" s="8"/>
      <c r="G47" s="12"/>
      <c r="H47" s="12"/>
      <c r="I47" s="11" t="str">
        <f t="shared" si="1"/>
        <v/>
      </c>
      <c r="J47" s="8"/>
    </row>
    <row r="48" spans="1:10" x14ac:dyDescent="0.2">
      <c r="A48" s="10" t="str">
        <f t="shared" si="0"/>
        <v/>
      </c>
      <c r="B48" s="9"/>
      <c r="C48" s="8"/>
      <c r="D48" s="8" t="str">
        <f ca="1">IFERROR(_xludf.XLOOKUP(C48,STUDENTS!$A$5:$A$204,STUDENTS!$C$5:$C$204,""),"")</f>
        <v/>
      </c>
      <c r="E48" s="8" t="str">
        <f ca="1">IFERROR(_xludf.XLOOKUP(C48,STUDENTS!$A$5:$A$204,STUDENTS!$L$5:$L$204,""),"")</f>
        <v/>
      </c>
      <c r="F48" s="8"/>
      <c r="G48" s="12"/>
      <c r="H48" s="12"/>
      <c r="I48" s="11" t="str">
        <f t="shared" si="1"/>
        <v/>
      </c>
      <c r="J48" s="8"/>
    </row>
    <row r="49" spans="1:10" x14ac:dyDescent="0.2">
      <c r="A49" s="10" t="str">
        <f t="shared" si="0"/>
        <v/>
      </c>
      <c r="B49" s="9"/>
      <c r="C49" s="8"/>
      <c r="D49" s="8" t="str">
        <f ca="1">IFERROR(_xludf.XLOOKUP(C49,STUDENTS!$A$5:$A$204,STUDENTS!$C$5:$C$204,""),"")</f>
        <v/>
      </c>
      <c r="E49" s="8" t="str">
        <f ca="1">IFERROR(_xludf.XLOOKUP(C49,STUDENTS!$A$5:$A$204,STUDENTS!$L$5:$L$204,""),"")</f>
        <v/>
      </c>
      <c r="F49" s="8"/>
      <c r="G49" s="12"/>
      <c r="H49" s="12"/>
      <c r="I49" s="11" t="str">
        <f t="shared" si="1"/>
        <v/>
      </c>
      <c r="J49" s="8"/>
    </row>
    <row r="50" spans="1:10" x14ac:dyDescent="0.2">
      <c r="A50" s="10" t="str">
        <f t="shared" si="0"/>
        <v/>
      </c>
      <c r="B50" s="9"/>
      <c r="C50" s="8"/>
      <c r="D50" s="8" t="str">
        <f ca="1">IFERROR(_xludf.XLOOKUP(C50,STUDENTS!$A$5:$A$204,STUDENTS!$C$5:$C$204,""),"")</f>
        <v/>
      </c>
      <c r="E50" s="8" t="str">
        <f ca="1">IFERROR(_xludf.XLOOKUP(C50,STUDENTS!$A$5:$A$204,STUDENTS!$L$5:$L$204,""),"")</f>
        <v/>
      </c>
      <c r="F50" s="8"/>
      <c r="G50" s="12"/>
      <c r="H50" s="12"/>
      <c r="I50" s="11" t="str">
        <f t="shared" si="1"/>
        <v/>
      </c>
      <c r="J50" s="8"/>
    </row>
    <row r="51" spans="1:10" x14ac:dyDescent="0.2">
      <c r="A51" s="10" t="str">
        <f t="shared" si="0"/>
        <v/>
      </c>
      <c r="B51" s="9"/>
      <c r="C51" s="8"/>
      <c r="D51" s="8" t="str">
        <f ca="1">IFERROR(_xludf.XLOOKUP(C51,STUDENTS!$A$5:$A$204,STUDENTS!$C$5:$C$204,""),"")</f>
        <v/>
      </c>
      <c r="E51" s="8" t="str">
        <f ca="1">IFERROR(_xludf.XLOOKUP(C51,STUDENTS!$A$5:$A$204,STUDENTS!$L$5:$L$204,""),"")</f>
        <v/>
      </c>
      <c r="F51" s="8"/>
      <c r="G51" s="12"/>
      <c r="H51" s="12"/>
      <c r="I51" s="11" t="str">
        <f t="shared" si="1"/>
        <v/>
      </c>
      <c r="J51" s="8"/>
    </row>
    <row r="52" spans="1:10" x14ac:dyDescent="0.2">
      <c r="A52" s="10" t="str">
        <f t="shared" si="0"/>
        <v/>
      </c>
      <c r="B52" s="9"/>
      <c r="C52" s="8"/>
      <c r="D52" s="8" t="str">
        <f ca="1">IFERROR(_xludf.XLOOKUP(C52,STUDENTS!$A$5:$A$204,STUDENTS!$C$5:$C$204,""),"")</f>
        <v/>
      </c>
      <c r="E52" s="8" t="str">
        <f ca="1">IFERROR(_xludf.XLOOKUP(C52,STUDENTS!$A$5:$A$204,STUDENTS!$L$5:$L$204,""),"")</f>
        <v/>
      </c>
      <c r="F52" s="8"/>
      <c r="G52" s="12"/>
      <c r="H52" s="12"/>
      <c r="I52" s="11" t="str">
        <f t="shared" si="1"/>
        <v/>
      </c>
      <c r="J52" s="8"/>
    </row>
    <row r="53" spans="1:10" x14ac:dyDescent="0.2">
      <c r="A53" s="10" t="str">
        <f t="shared" si="0"/>
        <v/>
      </c>
      <c r="B53" s="9"/>
      <c r="C53" s="8"/>
      <c r="D53" s="8" t="str">
        <f ca="1">IFERROR(_xludf.XLOOKUP(C53,STUDENTS!$A$5:$A$204,STUDENTS!$C$5:$C$204,""),"")</f>
        <v/>
      </c>
      <c r="E53" s="8" t="str">
        <f ca="1">IFERROR(_xludf.XLOOKUP(C53,STUDENTS!$A$5:$A$204,STUDENTS!$L$5:$L$204,""),"")</f>
        <v/>
      </c>
      <c r="F53" s="8"/>
      <c r="G53" s="12"/>
      <c r="H53" s="12"/>
      <c r="I53" s="11" t="str">
        <f t="shared" si="1"/>
        <v/>
      </c>
      <c r="J53" s="8"/>
    </row>
    <row r="54" spans="1:10" x14ac:dyDescent="0.2">
      <c r="A54" s="10" t="str">
        <f t="shared" si="0"/>
        <v/>
      </c>
      <c r="B54" s="9"/>
      <c r="C54" s="8"/>
      <c r="D54" s="8" t="str">
        <f ca="1">IFERROR(_xludf.XLOOKUP(C54,STUDENTS!$A$5:$A$204,STUDENTS!$C$5:$C$204,""),"")</f>
        <v/>
      </c>
      <c r="E54" s="8" t="str">
        <f ca="1">IFERROR(_xludf.XLOOKUP(C54,STUDENTS!$A$5:$A$204,STUDENTS!$L$5:$L$204,""),"")</f>
        <v/>
      </c>
      <c r="F54" s="8"/>
      <c r="G54" s="12"/>
      <c r="H54" s="12"/>
      <c r="I54" s="11" t="str">
        <f t="shared" si="1"/>
        <v/>
      </c>
      <c r="J54" s="8"/>
    </row>
    <row r="55" spans="1:10" x14ac:dyDescent="0.2">
      <c r="A55" s="10" t="str">
        <f t="shared" si="0"/>
        <v/>
      </c>
      <c r="B55" s="9"/>
      <c r="C55" s="8"/>
      <c r="D55" s="8" t="str">
        <f ca="1">IFERROR(_xludf.XLOOKUP(C55,STUDENTS!$A$5:$A$204,STUDENTS!$C$5:$C$204,""),"")</f>
        <v/>
      </c>
      <c r="E55" s="8" t="str">
        <f ca="1">IFERROR(_xludf.XLOOKUP(C55,STUDENTS!$A$5:$A$204,STUDENTS!$L$5:$L$204,""),"")</f>
        <v/>
      </c>
      <c r="F55" s="8"/>
      <c r="G55" s="12"/>
      <c r="H55" s="12"/>
      <c r="I55" s="11" t="str">
        <f t="shared" si="1"/>
        <v/>
      </c>
      <c r="J55" s="8"/>
    </row>
    <row r="56" spans="1:10" x14ac:dyDescent="0.2">
      <c r="A56" s="10" t="str">
        <f t="shared" si="0"/>
        <v/>
      </c>
      <c r="B56" s="9"/>
      <c r="C56" s="8"/>
      <c r="D56" s="8" t="str">
        <f ca="1">IFERROR(_xludf.XLOOKUP(C56,STUDENTS!$A$5:$A$204,STUDENTS!$C$5:$C$204,""),"")</f>
        <v/>
      </c>
      <c r="E56" s="8" t="str">
        <f ca="1">IFERROR(_xludf.XLOOKUP(C56,STUDENTS!$A$5:$A$204,STUDENTS!$L$5:$L$204,""),"")</f>
        <v/>
      </c>
      <c r="F56" s="8"/>
      <c r="G56" s="12"/>
      <c r="H56" s="12"/>
      <c r="I56" s="11" t="str">
        <f t="shared" si="1"/>
        <v/>
      </c>
      <c r="J56" s="8"/>
    </row>
    <row r="57" spans="1:10" x14ac:dyDescent="0.2">
      <c r="A57" s="10" t="str">
        <f t="shared" si="0"/>
        <v/>
      </c>
      <c r="B57" s="9"/>
      <c r="C57" s="8"/>
      <c r="D57" s="8" t="str">
        <f ca="1">IFERROR(_xludf.XLOOKUP(C57,STUDENTS!$A$5:$A$204,STUDENTS!$C$5:$C$204,""),"")</f>
        <v/>
      </c>
      <c r="E57" s="8" t="str">
        <f ca="1">IFERROR(_xludf.XLOOKUP(C57,STUDENTS!$A$5:$A$204,STUDENTS!$L$5:$L$204,""),"")</f>
        <v/>
      </c>
      <c r="F57" s="8"/>
      <c r="G57" s="12"/>
      <c r="H57" s="12"/>
      <c r="I57" s="11" t="str">
        <f t="shared" si="1"/>
        <v/>
      </c>
      <c r="J57" s="8"/>
    </row>
    <row r="58" spans="1:10" x14ac:dyDescent="0.2">
      <c r="A58" s="10" t="str">
        <f t="shared" si="0"/>
        <v/>
      </c>
      <c r="B58" s="9"/>
      <c r="C58" s="8"/>
      <c r="D58" s="8" t="str">
        <f ca="1">IFERROR(_xludf.XLOOKUP(C58,STUDENTS!$A$5:$A$204,STUDENTS!$C$5:$C$204,""),"")</f>
        <v/>
      </c>
      <c r="E58" s="8" t="str">
        <f ca="1">IFERROR(_xludf.XLOOKUP(C58,STUDENTS!$A$5:$A$204,STUDENTS!$L$5:$L$204,""),"")</f>
        <v/>
      </c>
      <c r="F58" s="8"/>
      <c r="G58" s="12"/>
      <c r="H58" s="12"/>
      <c r="I58" s="11" t="str">
        <f t="shared" si="1"/>
        <v/>
      </c>
      <c r="J58" s="8"/>
    </row>
    <row r="59" spans="1:10" x14ac:dyDescent="0.2">
      <c r="A59" s="10" t="str">
        <f t="shared" si="0"/>
        <v/>
      </c>
      <c r="B59" s="9"/>
      <c r="C59" s="8"/>
      <c r="D59" s="8" t="str">
        <f ca="1">IFERROR(_xludf.XLOOKUP(C59,STUDENTS!$A$5:$A$204,STUDENTS!$C$5:$C$204,""),"")</f>
        <v/>
      </c>
      <c r="E59" s="8" t="str">
        <f ca="1">IFERROR(_xludf.XLOOKUP(C59,STUDENTS!$A$5:$A$204,STUDENTS!$L$5:$L$204,""),"")</f>
        <v/>
      </c>
      <c r="F59" s="8"/>
      <c r="G59" s="12"/>
      <c r="H59" s="12"/>
      <c r="I59" s="11" t="str">
        <f t="shared" si="1"/>
        <v/>
      </c>
      <c r="J59" s="8"/>
    </row>
    <row r="60" spans="1:10" x14ac:dyDescent="0.2">
      <c r="A60" s="10" t="str">
        <f t="shared" si="0"/>
        <v/>
      </c>
      <c r="B60" s="9"/>
      <c r="C60" s="8"/>
      <c r="D60" s="8" t="str">
        <f ca="1">IFERROR(_xludf.XLOOKUP(C60,STUDENTS!$A$5:$A$204,STUDENTS!$C$5:$C$204,""),"")</f>
        <v/>
      </c>
      <c r="E60" s="8" t="str">
        <f ca="1">IFERROR(_xludf.XLOOKUP(C60,STUDENTS!$A$5:$A$204,STUDENTS!$L$5:$L$204,""),"")</f>
        <v/>
      </c>
      <c r="F60" s="8"/>
      <c r="G60" s="12"/>
      <c r="H60" s="12"/>
      <c r="I60" s="11" t="str">
        <f t="shared" si="1"/>
        <v/>
      </c>
      <c r="J60" s="8"/>
    </row>
    <row r="61" spans="1:10" x14ac:dyDescent="0.2">
      <c r="A61" s="10" t="str">
        <f t="shared" si="0"/>
        <v/>
      </c>
      <c r="B61" s="9"/>
      <c r="C61" s="8"/>
      <c r="D61" s="8" t="str">
        <f ca="1">IFERROR(_xludf.XLOOKUP(C61,STUDENTS!$A$5:$A$204,STUDENTS!$C$5:$C$204,""),"")</f>
        <v/>
      </c>
      <c r="E61" s="8" t="str">
        <f ca="1">IFERROR(_xludf.XLOOKUP(C61,STUDENTS!$A$5:$A$204,STUDENTS!$L$5:$L$204,""),"")</f>
        <v/>
      </c>
      <c r="F61" s="8"/>
      <c r="G61" s="12"/>
      <c r="H61" s="12"/>
      <c r="I61" s="11" t="str">
        <f t="shared" si="1"/>
        <v/>
      </c>
      <c r="J61" s="8"/>
    </row>
    <row r="62" spans="1:10" x14ac:dyDescent="0.2">
      <c r="A62" s="10" t="str">
        <f t="shared" si="0"/>
        <v/>
      </c>
      <c r="B62" s="9"/>
      <c r="C62" s="8"/>
      <c r="D62" s="8" t="str">
        <f ca="1">IFERROR(_xludf.XLOOKUP(C62,STUDENTS!$A$5:$A$204,STUDENTS!$C$5:$C$204,""),"")</f>
        <v/>
      </c>
      <c r="E62" s="8" t="str">
        <f ca="1">IFERROR(_xludf.XLOOKUP(C62,STUDENTS!$A$5:$A$204,STUDENTS!$L$5:$L$204,""),"")</f>
        <v/>
      </c>
      <c r="F62" s="8"/>
      <c r="G62" s="12"/>
      <c r="H62" s="12"/>
      <c r="I62" s="11" t="str">
        <f t="shared" si="1"/>
        <v/>
      </c>
      <c r="J62" s="8"/>
    </row>
    <row r="63" spans="1:10" x14ac:dyDescent="0.2">
      <c r="A63" s="10" t="str">
        <f t="shared" si="0"/>
        <v/>
      </c>
      <c r="B63" s="9"/>
      <c r="C63" s="8"/>
      <c r="D63" s="8" t="str">
        <f ca="1">IFERROR(_xludf.XLOOKUP(C63,STUDENTS!$A$5:$A$204,STUDENTS!$C$5:$C$204,""),"")</f>
        <v/>
      </c>
      <c r="E63" s="8" t="str">
        <f ca="1">IFERROR(_xludf.XLOOKUP(C63,STUDENTS!$A$5:$A$204,STUDENTS!$L$5:$L$204,""),"")</f>
        <v/>
      </c>
      <c r="F63" s="8"/>
      <c r="G63" s="12"/>
      <c r="H63" s="12"/>
      <c r="I63" s="11" t="str">
        <f t="shared" si="1"/>
        <v/>
      </c>
      <c r="J63" s="8"/>
    </row>
    <row r="64" spans="1:10" x14ac:dyDescent="0.2">
      <c r="A64" s="10" t="str">
        <f t="shared" si="0"/>
        <v/>
      </c>
      <c r="B64" s="9"/>
      <c r="C64" s="8"/>
      <c r="D64" s="8" t="str">
        <f ca="1">IFERROR(_xludf.XLOOKUP(C64,STUDENTS!$A$5:$A$204,STUDENTS!$C$5:$C$204,""),"")</f>
        <v/>
      </c>
      <c r="E64" s="8" t="str">
        <f ca="1">IFERROR(_xludf.XLOOKUP(C64,STUDENTS!$A$5:$A$204,STUDENTS!$L$5:$L$204,""),"")</f>
        <v/>
      </c>
      <c r="F64" s="8"/>
      <c r="G64" s="12"/>
      <c r="H64" s="12"/>
      <c r="I64" s="11" t="str">
        <f t="shared" si="1"/>
        <v/>
      </c>
      <c r="J64" s="8"/>
    </row>
    <row r="65" spans="1:10" x14ac:dyDescent="0.2">
      <c r="A65" s="10" t="str">
        <f t="shared" si="0"/>
        <v/>
      </c>
      <c r="B65" s="9"/>
      <c r="C65" s="8"/>
      <c r="D65" s="8" t="str">
        <f ca="1">IFERROR(_xludf.XLOOKUP(C65,STUDENTS!$A$5:$A$204,STUDENTS!$C$5:$C$204,""),"")</f>
        <v/>
      </c>
      <c r="E65" s="8" t="str">
        <f ca="1">IFERROR(_xludf.XLOOKUP(C65,STUDENTS!$A$5:$A$204,STUDENTS!$L$5:$L$204,""),"")</f>
        <v/>
      </c>
      <c r="F65" s="8"/>
      <c r="G65" s="12"/>
      <c r="H65" s="12"/>
      <c r="I65" s="11" t="str">
        <f t="shared" si="1"/>
        <v/>
      </c>
      <c r="J65" s="8"/>
    </row>
    <row r="66" spans="1:10" x14ac:dyDescent="0.2">
      <c r="A66" s="10" t="str">
        <f t="shared" si="0"/>
        <v/>
      </c>
      <c r="B66" s="9"/>
      <c r="C66" s="8"/>
      <c r="D66" s="8" t="str">
        <f ca="1">IFERROR(_xludf.XLOOKUP(C66,STUDENTS!$A$5:$A$204,STUDENTS!$C$5:$C$204,""),"")</f>
        <v/>
      </c>
      <c r="E66" s="8" t="str">
        <f ca="1">IFERROR(_xludf.XLOOKUP(C66,STUDENTS!$A$5:$A$204,STUDENTS!$L$5:$L$204,""),"")</f>
        <v/>
      </c>
      <c r="F66" s="8"/>
      <c r="G66" s="12"/>
      <c r="H66" s="12"/>
      <c r="I66" s="11" t="str">
        <f t="shared" si="1"/>
        <v/>
      </c>
      <c r="J66" s="8"/>
    </row>
    <row r="67" spans="1:10" x14ac:dyDescent="0.2">
      <c r="A67" s="10" t="str">
        <f t="shared" si="0"/>
        <v/>
      </c>
      <c r="B67" s="9"/>
      <c r="C67" s="8"/>
      <c r="D67" s="8" t="str">
        <f ca="1">IFERROR(_xludf.XLOOKUP(C67,STUDENTS!$A$5:$A$204,STUDENTS!$C$5:$C$204,""),"")</f>
        <v/>
      </c>
      <c r="E67" s="8" t="str">
        <f ca="1">IFERROR(_xludf.XLOOKUP(C67,STUDENTS!$A$5:$A$204,STUDENTS!$L$5:$L$204,""),"")</f>
        <v/>
      </c>
      <c r="F67" s="8"/>
      <c r="G67" s="12"/>
      <c r="H67" s="12"/>
      <c r="I67" s="11" t="str">
        <f t="shared" si="1"/>
        <v/>
      </c>
      <c r="J67" s="8"/>
    </row>
    <row r="68" spans="1:10" x14ac:dyDescent="0.2">
      <c r="A68" s="10" t="str">
        <f t="shared" si="0"/>
        <v/>
      </c>
      <c r="B68" s="9"/>
      <c r="C68" s="8"/>
      <c r="D68" s="8" t="str">
        <f ca="1">IFERROR(_xludf.XLOOKUP(C68,STUDENTS!$A$5:$A$204,STUDENTS!$C$5:$C$204,""),"")</f>
        <v/>
      </c>
      <c r="E68" s="8" t="str">
        <f ca="1">IFERROR(_xludf.XLOOKUP(C68,STUDENTS!$A$5:$A$204,STUDENTS!$L$5:$L$204,""),"")</f>
        <v/>
      </c>
      <c r="F68" s="8"/>
      <c r="G68" s="12"/>
      <c r="H68" s="12"/>
      <c r="I68" s="11" t="str">
        <f t="shared" si="1"/>
        <v/>
      </c>
      <c r="J68" s="8"/>
    </row>
    <row r="69" spans="1:10" x14ac:dyDescent="0.2">
      <c r="A69" s="10" t="str">
        <f t="shared" ref="A69:A132" si="2">IF(C69="","","EX-"&amp;TEXT(ROW()-4,"00000"))</f>
        <v/>
      </c>
      <c r="B69" s="9"/>
      <c r="C69" s="8"/>
      <c r="D69" s="8" t="str">
        <f ca="1">IFERROR(_xludf.XLOOKUP(C69,STUDENTS!$A$5:$A$204,STUDENTS!$C$5:$C$204,""),"")</f>
        <v/>
      </c>
      <c r="E69" s="8" t="str">
        <f ca="1">IFERROR(_xludf.XLOOKUP(C69,STUDENTS!$A$5:$A$204,STUDENTS!$L$5:$L$204,""),"")</f>
        <v/>
      </c>
      <c r="F69" s="8"/>
      <c r="G69" s="12"/>
      <c r="H69" s="12"/>
      <c r="I69" s="11" t="str">
        <f t="shared" ref="I69:I132" si="3">IF(G69="","",G69-H69)</f>
        <v/>
      </c>
      <c r="J69" s="8"/>
    </row>
    <row r="70" spans="1:10" x14ac:dyDescent="0.2">
      <c r="A70" s="10" t="str">
        <f t="shared" si="2"/>
        <v/>
      </c>
      <c r="B70" s="9"/>
      <c r="C70" s="8"/>
      <c r="D70" s="8" t="str">
        <f ca="1">IFERROR(_xludf.XLOOKUP(C70,STUDENTS!$A$5:$A$204,STUDENTS!$C$5:$C$204,""),"")</f>
        <v/>
      </c>
      <c r="E70" s="8" t="str">
        <f ca="1">IFERROR(_xludf.XLOOKUP(C70,STUDENTS!$A$5:$A$204,STUDENTS!$L$5:$L$204,""),"")</f>
        <v/>
      </c>
      <c r="F70" s="8"/>
      <c r="G70" s="12"/>
      <c r="H70" s="12"/>
      <c r="I70" s="11" t="str">
        <f t="shared" si="3"/>
        <v/>
      </c>
      <c r="J70" s="8"/>
    </row>
    <row r="71" spans="1:10" x14ac:dyDescent="0.2">
      <c r="A71" s="10" t="str">
        <f t="shared" si="2"/>
        <v/>
      </c>
      <c r="B71" s="9"/>
      <c r="C71" s="8"/>
      <c r="D71" s="8" t="str">
        <f ca="1">IFERROR(_xludf.XLOOKUP(C71,STUDENTS!$A$5:$A$204,STUDENTS!$C$5:$C$204,""),"")</f>
        <v/>
      </c>
      <c r="E71" s="8" t="str">
        <f ca="1">IFERROR(_xludf.XLOOKUP(C71,STUDENTS!$A$5:$A$204,STUDENTS!$L$5:$L$204,""),"")</f>
        <v/>
      </c>
      <c r="F71" s="8"/>
      <c r="G71" s="12"/>
      <c r="H71" s="12"/>
      <c r="I71" s="11" t="str">
        <f t="shared" si="3"/>
        <v/>
      </c>
      <c r="J71" s="8"/>
    </row>
    <row r="72" spans="1:10" x14ac:dyDescent="0.2">
      <c r="A72" s="10" t="str">
        <f t="shared" si="2"/>
        <v/>
      </c>
      <c r="B72" s="9"/>
      <c r="C72" s="8"/>
      <c r="D72" s="8" t="str">
        <f ca="1">IFERROR(_xludf.XLOOKUP(C72,STUDENTS!$A$5:$A$204,STUDENTS!$C$5:$C$204,""),"")</f>
        <v/>
      </c>
      <c r="E72" s="8" t="str">
        <f ca="1">IFERROR(_xludf.XLOOKUP(C72,STUDENTS!$A$5:$A$204,STUDENTS!$L$5:$L$204,""),"")</f>
        <v/>
      </c>
      <c r="F72" s="8"/>
      <c r="G72" s="12"/>
      <c r="H72" s="12"/>
      <c r="I72" s="11" t="str">
        <f t="shared" si="3"/>
        <v/>
      </c>
      <c r="J72" s="8"/>
    </row>
    <row r="73" spans="1:10" x14ac:dyDescent="0.2">
      <c r="A73" s="10" t="str">
        <f t="shared" si="2"/>
        <v/>
      </c>
      <c r="B73" s="9"/>
      <c r="C73" s="8"/>
      <c r="D73" s="8" t="str">
        <f ca="1">IFERROR(_xludf.XLOOKUP(C73,STUDENTS!$A$5:$A$204,STUDENTS!$C$5:$C$204,""),"")</f>
        <v/>
      </c>
      <c r="E73" s="8" t="str">
        <f ca="1">IFERROR(_xludf.XLOOKUP(C73,STUDENTS!$A$5:$A$204,STUDENTS!$L$5:$L$204,""),"")</f>
        <v/>
      </c>
      <c r="F73" s="8"/>
      <c r="G73" s="12"/>
      <c r="H73" s="12"/>
      <c r="I73" s="11" t="str">
        <f t="shared" si="3"/>
        <v/>
      </c>
      <c r="J73" s="8"/>
    </row>
    <row r="74" spans="1:10" x14ac:dyDescent="0.2">
      <c r="A74" s="10" t="str">
        <f t="shared" si="2"/>
        <v/>
      </c>
      <c r="B74" s="9"/>
      <c r="C74" s="8"/>
      <c r="D74" s="8" t="str">
        <f ca="1">IFERROR(_xludf.XLOOKUP(C74,STUDENTS!$A$5:$A$204,STUDENTS!$C$5:$C$204,""),"")</f>
        <v/>
      </c>
      <c r="E74" s="8" t="str">
        <f ca="1">IFERROR(_xludf.XLOOKUP(C74,STUDENTS!$A$5:$A$204,STUDENTS!$L$5:$L$204,""),"")</f>
        <v/>
      </c>
      <c r="F74" s="8"/>
      <c r="G74" s="12"/>
      <c r="H74" s="12"/>
      <c r="I74" s="11" t="str">
        <f t="shared" si="3"/>
        <v/>
      </c>
      <c r="J74" s="8"/>
    </row>
    <row r="75" spans="1:10" x14ac:dyDescent="0.2">
      <c r="A75" s="10" t="str">
        <f t="shared" si="2"/>
        <v/>
      </c>
      <c r="B75" s="9"/>
      <c r="C75" s="8"/>
      <c r="D75" s="8" t="str">
        <f ca="1">IFERROR(_xludf.XLOOKUP(C75,STUDENTS!$A$5:$A$204,STUDENTS!$C$5:$C$204,""),"")</f>
        <v/>
      </c>
      <c r="E75" s="8" t="str">
        <f ca="1">IFERROR(_xludf.XLOOKUP(C75,STUDENTS!$A$5:$A$204,STUDENTS!$L$5:$L$204,""),"")</f>
        <v/>
      </c>
      <c r="F75" s="8"/>
      <c r="G75" s="12"/>
      <c r="H75" s="12"/>
      <c r="I75" s="11" t="str">
        <f t="shared" si="3"/>
        <v/>
      </c>
      <c r="J75" s="8"/>
    </row>
    <row r="76" spans="1:10" x14ac:dyDescent="0.2">
      <c r="A76" s="10" t="str">
        <f t="shared" si="2"/>
        <v/>
      </c>
      <c r="B76" s="9"/>
      <c r="C76" s="8"/>
      <c r="D76" s="8" t="str">
        <f ca="1">IFERROR(_xludf.XLOOKUP(C76,STUDENTS!$A$5:$A$204,STUDENTS!$C$5:$C$204,""),"")</f>
        <v/>
      </c>
      <c r="E76" s="8" t="str">
        <f ca="1">IFERROR(_xludf.XLOOKUP(C76,STUDENTS!$A$5:$A$204,STUDENTS!$L$5:$L$204,""),"")</f>
        <v/>
      </c>
      <c r="F76" s="8"/>
      <c r="G76" s="12"/>
      <c r="H76" s="12"/>
      <c r="I76" s="11" t="str">
        <f t="shared" si="3"/>
        <v/>
      </c>
      <c r="J76" s="8"/>
    </row>
    <row r="77" spans="1:10" x14ac:dyDescent="0.2">
      <c r="A77" s="10" t="str">
        <f t="shared" si="2"/>
        <v/>
      </c>
      <c r="B77" s="9"/>
      <c r="C77" s="8"/>
      <c r="D77" s="8" t="str">
        <f ca="1">IFERROR(_xludf.XLOOKUP(C77,STUDENTS!$A$5:$A$204,STUDENTS!$C$5:$C$204,""),"")</f>
        <v/>
      </c>
      <c r="E77" s="8" t="str">
        <f ca="1">IFERROR(_xludf.XLOOKUP(C77,STUDENTS!$A$5:$A$204,STUDENTS!$L$5:$L$204,""),"")</f>
        <v/>
      </c>
      <c r="F77" s="8"/>
      <c r="G77" s="12"/>
      <c r="H77" s="12"/>
      <c r="I77" s="11" t="str">
        <f t="shared" si="3"/>
        <v/>
      </c>
      <c r="J77" s="8"/>
    </row>
    <row r="78" spans="1:10" x14ac:dyDescent="0.2">
      <c r="A78" s="10" t="str">
        <f t="shared" si="2"/>
        <v/>
      </c>
      <c r="B78" s="9"/>
      <c r="C78" s="8"/>
      <c r="D78" s="8" t="str">
        <f ca="1">IFERROR(_xludf.XLOOKUP(C78,STUDENTS!$A$5:$A$204,STUDENTS!$C$5:$C$204,""),"")</f>
        <v/>
      </c>
      <c r="E78" s="8" t="str">
        <f ca="1">IFERROR(_xludf.XLOOKUP(C78,STUDENTS!$A$5:$A$204,STUDENTS!$L$5:$L$204,""),"")</f>
        <v/>
      </c>
      <c r="F78" s="8"/>
      <c r="G78" s="12"/>
      <c r="H78" s="12"/>
      <c r="I78" s="11" t="str">
        <f t="shared" si="3"/>
        <v/>
      </c>
      <c r="J78" s="8"/>
    </row>
    <row r="79" spans="1:10" x14ac:dyDescent="0.2">
      <c r="A79" s="10" t="str">
        <f t="shared" si="2"/>
        <v/>
      </c>
      <c r="B79" s="9"/>
      <c r="C79" s="8"/>
      <c r="D79" s="8" t="str">
        <f ca="1">IFERROR(_xludf.XLOOKUP(C79,STUDENTS!$A$5:$A$204,STUDENTS!$C$5:$C$204,""),"")</f>
        <v/>
      </c>
      <c r="E79" s="8" t="str">
        <f ca="1">IFERROR(_xludf.XLOOKUP(C79,STUDENTS!$A$5:$A$204,STUDENTS!$L$5:$L$204,""),"")</f>
        <v/>
      </c>
      <c r="F79" s="8"/>
      <c r="G79" s="12"/>
      <c r="H79" s="12"/>
      <c r="I79" s="11" t="str">
        <f t="shared" si="3"/>
        <v/>
      </c>
      <c r="J79" s="8"/>
    </row>
    <row r="80" spans="1:10" x14ac:dyDescent="0.2">
      <c r="A80" s="10" t="str">
        <f t="shared" si="2"/>
        <v/>
      </c>
      <c r="B80" s="9"/>
      <c r="C80" s="8"/>
      <c r="D80" s="8" t="str">
        <f ca="1">IFERROR(_xludf.XLOOKUP(C80,STUDENTS!$A$5:$A$204,STUDENTS!$C$5:$C$204,""),"")</f>
        <v/>
      </c>
      <c r="E80" s="8" t="str">
        <f ca="1">IFERROR(_xludf.XLOOKUP(C80,STUDENTS!$A$5:$A$204,STUDENTS!$L$5:$L$204,""),"")</f>
        <v/>
      </c>
      <c r="F80" s="8"/>
      <c r="G80" s="12"/>
      <c r="H80" s="12"/>
      <c r="I80" s="11" t="str">
        <f t="shared" si="3"/>
        <v/>
      </c>
      <c r="J80" s="8"/>
    </row>
    <row r="81" spans="1:10" x14ac:dyDescent="0.2">
      <c r="A81" s="10" t="str">
        <f t="shared" si="2"/>
        <v/>
      </c>
      <c r="B81" s="9"/>
      <c r="C81" s="8"/>
      <c r="D81" s="8" t="str">
        <f ca="1">IFERROR(_xludf.XLOOKUP(C81,STUDENTS!$A$5:$A$204,STUDENTS!$C$5:$C$204,""),"")</f>
        <v/>
      </c>
      <c r="E81" s="8" t="str">
        <f ca="1">IFERROR(_xludf.XLOOKUP(C81,STUDENTS!$A$5:$A$204,STUDENTS!$L$5:$L$204,""),"")</f>
        <v/>
      </c>
      <c r="F81" s="8"/>
      <c r="G81" s="12"/>
      <c r="H81" s="12"/>
      <c r="I81" s="11" t="str">
        <f t="shared" si="3"/>
        <v/>
      </c>
      <c r="J81" s="8"/>
    </row>
    <row r="82" spans="1:10" x14ac:dyDescent="0.2">
      <c r="A82" s="10" t="str">
        <f t="shared" si="2"/>
        <v/>
      </c>
      <c r="B82" s="9"/>
      <c r="C82" s="8"/>
      <c r="D82" s="8" t="str">
        <f ca="1">IFERROR(_xludf.XLOOKUP(C82,STUDENTS!$A$5:$A$204,STUDENTS!$C$5:$C$204,""),"")</f>
        <v/>
      </c>
      <c r="E82" s="8" t="str">
        <f ca="1">IFERROR(_xludf.XLOOKUP(C82,STUDENTS!$A$5:$A$204,STUDENTS!$L$5:$L$204,""),"")</f>
        <v/>
      </c>
      <c r="F82" s="8"/>
      <c r="G82" s="12"/>
      <c r="H82" s="12"/>
      <c r="I82" s="11" t="str">
        <f t="shared" si="3"/>
        <v/>
      </c>
      <c r="J82" s="8"/>
    </row>
    <row r="83" spans="1:10" x14ac:dyDescent="0.2">
      <c r="A83" s="10" t="str">
        <f t="shared" si="2"/>
        <v/>
      </c>
      <c r="B83" s="9"/>
      <c r="C83" s="8"/>
      <c r="D83" s="8" t="str">
        <f ca="1">IFERROR(_xludf.XLOOKUP(C83,STUDENTS!$A$5:$A$204,STUDENTS!$C$5:$C$204,""),"")</f>
        <v/>
      </c>
      <c r="E83" s="8" t="str">
        <f ca="1">IFERROR(_xludf.XLOOKUP(C83,STUDENTS!$A$5:$A$204,STUDENTS!$L$5:$L$204,""),"")</f>
        <v/>
      </c>
      <c r="F83" s="8"/>
      <c r="G83" s="12"/>
      <c r="H83" s="12"/>
      <c r="I83" s="11" t="str">
        <f t="shared" si="3"/>
        <v/>
      </c>
      <c r="J83" s="8"/>
    </row>
    <row r="84" spans="1:10" x14ac:dyDescent="0.2">
      <c r="A84" s="10" t="str">
        <f t="shared" si="2"/>
        <v/>
      </c>
      <c r="B84" s="9"/>
      <c r="C84" s="8"/>
      <c r="D84" s="8" t="str">
        <f ca="1">IFERROR(_xludf.XLOOKUP(C84,STUDENTS!$A$5:$A$204,STUDENTS!$C$5:$C$204,""),"")</f>
        <v/>
      </c>
      <c r="E84" s="8" t="str">
        <f ca="1">IFERROR(_xludf.XLOOKUP(C84,STUDENTS!$A$5:$A$204,STUDENTS!$L$5:$L$204,""),"")</f>
        <v/>
      </c>
      <c r="F84" s="8"/>
      <c r="G84" s="12"/>
      <c r="H84" s="12"/>
      <c r="I84" s="11" t="str">
        <f t="shared" si="3"/>
        <v/>
      </c>
      <c r="J84" s="8"/>
    </row>
    <row r="85" spans="1:10" x14ac:dyDescent="0.2">
      <c r="A85" s="10" t="str">
        <f t="shared" si="2"/>
        <v/>
      </c>
      <c r="B85" s="9"/>
      <c r="C85" s="8"/>
      <c r="D85" s="8" t="str">
        <f ca="1">IFERROR(_xludf.XLOOKUP(C85,STUDENTS!$A$5:$A$204,STUDENTS!$C$5:$C$204,""),"")</f>
        <v/>
      </c>
      <c r="E85" s="8" t="str">
        <f ca="1">IFERROR(_xludf.XLOOKUP(C85,STUDENTS!$A$5:$A$204,STUDENTS!$L$5:$L$204,""),"")</f>
        <v/>
      </c>
      <c r="F85" s="8"/>
      <c r="G85" s="12"/>
      <c r="H85" s="12"/>
      <c r="I85" s="11" t="str">
        <f t="shared" si="3"/>
        <v/>
      </c>
      <c r="J85" s="8"/>
    </row>
    <row r="86" spans="1:10" x14ac:dyDescent="0.2">
      <c r="A86" s="10" t="str">
        <f t="shared" si="2"/>
        <v/>
      </c>
      <c r="B86" s="9"/>
      <c r="C86" s="8"/>
      <c r="D86" s="8" t="str">
        <f ca="1">IFERROR(_xludf.XLOOKUP(C86,STUDENTS!$A$5:$A$204,STUDENTS!$C$5:$C$204,""),"")</f>
        <v/>
      </c>
      <c r="E86" s="8" t="str">
        <f ca="1">IFERROR(_xludf.XLOOKUP(C86,STUDENTS!$A$5:$A$204,STUDENTS!$L$5:$L$204,""),"")</f>
        <v/>
      </c>
      <c r="F86" s="8"/>
      <c r="G86" s="12"/>
      <c r="H86" s="12"/>
      <c r="I86" s="11" t="str">
        <f t="shared" si="3"/>
        <v/>
      </c>
      <c r="J86" s="8"/>
    </row>
    <row r="87" spans="1:10" x14ac:dyDescent="0.2">
      <c r="A87" s="10" t="str">
        <f t="shared" si="2"/>
        <v/>
      </c>
      <c r="B87" s="9"/>
      <c r="C87" s="8"/>
      <c r="D87" s="8" t="str">
        <f ca="1">IFERROR(_xludf.XLOOKUP(C87,STUDENTS!$A$5:$A$204,STUDENTS!$C$5:$C$204,""),"")</f>
        <v/>
      </c>
      <c r="E87" s="8" t="str">
        <f ca="1">IFERROR(_xludf.XLOOKUP(C87,STUDENTS!$A$5:$A$204,STUDENTS!$L$5:$L$204,""),"")</f>
        <v/>
      </c>
      <c r="F87" s="8"/>
      <c r="G87" s="12"/>
      <c r="H87" s="12"/>
      <c r="I87" s="11" t="str">
        <f t="shared" si="3"/>
        <v/>
      </c>
      <c r="J87" s="8"/>
    </row>
    <row r="88" spans="1:10" x14ac:dyDescent="0.2">
      <c r="A88" s="10" t="str">
        <f t="shared" si="2"/>
        <v/>
      </c>
      <c r="B88" s="9"/>
      <c r="C88" s="8"/>
      <c r="D88" s="8" t="str">
        <f ca="1">IFERROR(_xludf.XLOOKUP(C88,STUDENTS!$A$5:$A$204,STUDENTS!$C$5:$C$204,""),"")</f>
        <v/>
      </c>
      <c r="E88" s="8" t="str">
        <f ca="1">IFERROR(_xludf.XLOOKUP(C88,STUDENTS!$A$5:$A$204,STUDENTS!$L$5:$L$204,""),"")</f>
        <v/>
      </c>
      <c r="F88" s="8"/>
      <c r="G88" s="12"/>
      <c r="H88" s="12"/>
      <c r="I88" s="11" t="str">
        <f t="shared" si="3"/>
        <v/>
      </c>
      <c r="J88" s="8"/>
    </row>
    <row r="89" spans="1:10" x14ac:dyDescent="0.2">
      <c r="A89" s="10" t="str">
        <f t="shared" si="2"/>
        <v/>
      </c>
      <c r="B89" s="9"/>
      <c r="C89" s="8"/>
      <c r="D89" s="8" t="str">
        <f ca="1">IFERROR(_xludf.XLOOKUP(C89,STUDENTS!$A$5:$A$204,STUDENTS!$C$5:$C$204,""),"")</f>
        <v/>
      </c>
      <c r="E89" s="8" t="str">
        <f ca="1">IFERROR(_xludf.XLOOKUP(C89,STUDENTS!$A$5:$A$204,STUDENTS!$L$5:$L$204,""),"")</f>
        <v/>
      </c>
      <c r="F89" s="8"/>
      <c r="G89" s="12"/>
      <c r="H89" s="12"/>
      <c r="I89" s="11" t="str">
        <f t="shared" si="3"/>
        <v/>
      </c>
      <c r="J89" s="8"/>
    </row>
    <row r="90" spans="1:10" x14ac:dyDescent="0.2">
      <c r="A90" s="10" t="str">
        <f t="shared" si="2"/>
        <v/>
      </c>
      <c r="B90" s="9"/>
      <c r="C90" s="8"/>
      <c r="D90" s="8" t="str">
        <f ca="1">IFERROR(_xludf.XLOOKUP(C90,STUDENTS!$A$5:$A$204,STUDENTS!$C$5:$C$204,""),"")</f>
        <v/>
      </c>
      <c r="E90" s="8" t="str">
        <f ca="1">IFERROR(_xludf.XLOOKUP(C90,STUDENTS!$A$5:$A$204,STUDENTS!$L$5:$L$204,""),"")</f>
        <v/>
      </c>
      <c r="F90" s="8"/>
      <c r="G90" s="12"/>
      <c r="H90" s="12"/>
      <c r="I90" s="11" t="str">
        <f t="shared" si="3"/>
        <v/>
      </c>
      <c r="J90" s="8"/>
    </row>
    <row r="91" spans="1:10" x14ac:dyDescent="0.2">
      <c r="A91" s="10" t="str">
        <f t="shared" si="2"/>
        <v/>
      </c>
      <c r="B91" s="9"/>
      <c r="C91" s="8"/>
      <c r="D91" s="8" t="str">
        <f ca="1">IFERROR(_xludf.XLOOKUP(C91,STUDENTS!$A$5:$A$204,STUDENTS!$C$5:$C$204,""),"")</f>
        <v/>
      </c>
      <c r="E91" s="8" t="str">
        <f ca="1">IFERROR(_xludf.XLOOKUP(C91,STUDENTS!$A$5:$A$204,STUDENTS!$L$5:$L$204,""),"")</f>
        <v/>
      </c>
      <c r="F91" s="8"/>
      <c r="G91" s="12"/>
      <c r="H91" s="12"/>
      <c r="I91" s="11" t="str">
        <f t="shared" si="3"/>
        <v/>
      </c>
      <c r="J91" s="8"/>
    </row>
    <row r="92" spans="1:10" x14ac:dyDescent="0.2">
      <c r="A92" s="10" t="str">
        <f t="shared" si="2"/>
        <v/>
      </c>
      <c r="B92" s="9"/>
      <c r="C92" s="8"/>
      <c r="D92" s="8" t="str">
        <f ca="1">IFERROR(_xludf.XLOOKUP(C92,STUDENTS!$A$5:$A$204,STUDENTS!$C$5:$C$204,""),"")</f>
        <v/>
      </c>
      <c r="E92" s="8" t="str">
        <f ca="1">IFERROR(_xludf.XLOOKUP(C92,STUDENTS!$A$5:$A$204,STUDENTS!$L$5:$L$204,""),"")</f>
        <v/>
      </c>
      <c r="F92" s="8"/>
      <c r="G92" s="12"/>
      <c r="H92" s="12"/>
      <c r="I92" s="11" t="str">
        <f t="shared" si="3"/>
        <v/>
      </c>
      <c r="J92" s="8"/>
    </row>
    <row r="93" spans="1:10" x14ac:dyDescent="0.2">
      <c r="A93" s="10" t="str">
        <f t="shared" si="2"/>
        <v/>
      </c>
      <c r="B93" s="9"/>
      <c r="C93" s="8"/>
      <c r="D93" s="8" t="str">
        <f ca="1">IFERROR(_xludf.XLOOKUP(C93,STUDENTS!$A$5:$A$204,STUDENTS!$C$5:$C$204,""),"")</f>
        <v/>
      </c>
      <c r="E93" s="8" t="str">
        <f ca="1">IFERROR(_xludf.XLOOKUP(C93,STUDENTS!$A$5:$A$204,STUDENTS!$L$5:$L$204,""),"")</f>
        <v/>
      </c>
      <c r="F93" s="8"/>
      <c r="G93" s="12"/>
      <c r="H93" s="12"/>
      <c r="I93" s="11" t="str">
        <f t="shared" si="3"/>
        <v/>
      </c>
      <c r="J93" s="8"/>
    </row>
    <row r="94" spans="1:10" x14ac:dyDescent="0.2">
      <c r="A94" s="10" t="str">
        <f t="shared" si="2"/>
        <v/>
      </c>
      <c r="B94" s="9"/>
      <c r="C94" s="8"/>
      <c r="D94" s="8" t="str">
        <f ca="1">IFERROR(_xludf.XLOOKUP(C94,STUDENTS!$A$5:$A$204,STUDENTS!$C$5:$C$204,""),"")</f>
        <v/>
      </c>
      <c r="E94" s="8" t="str">
        <f ca="1">IFERROR(_xludf.XLOOKUP(C94,STUDENTS!$A$5:$A$204,STUDENTS!$L$5:$L$204,""),"")</f>
        <v/>
      </c>
      <c r="F94" s="8"/>
      <c r="G94" s="12"/>
      <c r="H94" s="12"/>
      <c r="I94" s="11" t="str">
        <f t="shared" si="3"/>
        <v/>
      </c>
      <c r="J94" s="8"/>
    </row>
    <row r="95" spans="1:10" x14ac:dyDescent="0.2">
      <c r="A95" s="10" t="str">
        <f t="shared" si="2"/>
        <v/>
      </c>
      <c r="B95" s="9"/>
      <c r="C95" s="8"/>
      <c r="D95" s="8" t="str">
        <f ca="1">IFERROR(_xludf.XLOOKUP(C95,STUDENTS!$A$5:$A$204,STUDENTS!$C$5:$C$204,""),"")</f>
        <v/>
      </c>
      <c r="E95" s="8" t="str">
        <f ca="1">IFERROR(_xludf.XLOOKUP(C95,STUDENTS!$A$5:$A$204,STUDENTS!$L$5:$L$204,""),"")</f>
        <v/>
      </c>
      <c r="F95" s="8"/>
      <c r="G95" s="12"/>
      <c r="H95" s="12"/>
      <c r="I95" s="11" t="str">
        <f t="shared" si="3"/>
        <v/>
      </c>
      <c r="J95" s="8"/>
    </row>
    <row r="96" spans="1:10" x14ac:dyDescent="0.2">
      <c r="A96" s="10" t="str">
        <f t="shared" si="2"/>
        <v/>
      </c>
      <c r="B96" s="9"/>
      <c r="C96" s="8"/>
      <c r="D96" s="8" t="str">
        <f ca="1">IFERROR(_xludf.XLOOKUP(C96,STUDENTS!$A$5:$A$204,STUDENTS!$C$5:$C$204,""),"")</f>
        <v/>
      </c>
      <c r="E96" s="8" t="str">
        <f ca="1">IFERROR(_xludf.XLOOKUP(C96,STUDENTS!$A$5:$A$204,STUDENTS!$L$5:$L$204,""),"")</f>
        <v/>
      </c>
      <c r="F96" s="8"/>
      <c r="G96" s="12"/>
      <c r="H96" s="12"/>
      <c r="I96" s="11" t="str">
        <f t="shared" si="3"/>
        <v/>
      </c>
      <c r="J96" s="8"/>
    </row>
    <row r="97" spans="1:10" x14ac:dyDescent="0.2">
      <c r="A97" s="10" t="str">
        <f t="shared" si="2"/>
        <v/>
      </c>
      <c r="B97" s="9"/>
      <c r="C97" s="8"/>
      <c r="D97" s="8" t="str">
        <f ca="1">IFERROR(_xludf.XLOOKUP(C97,STUDENTS!$A$5:$A$204,STUDENTS!$C$5:$C$204,""),"")</f>
        <v/>
      </c>
      <c r="E97" s="8" t="str">
        <f ca="1">IFERROR(_xludf.XLOOKUP(C97,STUDENTS!$A$5:$A$204,STUDENTS!$L$5:$L$204,""),"")</f>
        <v/>
      </c>
      <c r="F97" s="8"/>
      <c r="G97" s="12"/>
      <c r="H97" s="12"/>
      <c r="I97" s="11" t="str">
        <f t="shared" si="3"/>
        <v/>
      </c>
      <c r="J97" s="8"/>
    </row>
    <row r="98" spans="1:10" x14ac:dyDescent="0.2">
      <c r="A98" s="10" t="str">
        <f t="shared" si="2"/>
        <v/>
      </c>
      <c r="B98" s="9"/>
      <c r="C98" s="8"/>
      <c r="D98" s="8" t="str">
        <f ca="1">IFERROR(_xludf.XLOOKUP(C98,STUDENTS!$A$5:$A$204,STUDENTS!$C$5:$C$204,""),"")</f>
        <v/>
      </c>
      <c r="E98" s="8" t="str">
        <f ca="1">IFERROR(_xludf.XLOOKUP(C98,STUDENTS!$A$5:$A$204,STUDENTS!$L$5:$L$204,""),"")</f>
        <v/>
      </c>
      <c r="F98" s="8"/>
      <c r="G98" s="12"/>
      <c r="H98" s="12"/>
      <c r="I98" s="11" t="str">
        <f t="shared" si="3"/>
        <v/>
      </c>
      <c r="J98" s="8"/>
    </row>
    <row r="99" spans="1:10" x14ac:dyDescent="0.2">
      <c r="A99" s="10" t="str">
        <f t="shared" si="2"/>
        <v/>
      </c>
      <c r="B99" s="9"/>
      <c r="C99" s="8"/>
      <c r="D99" s="8" t="str">
        <f ca="1">IFERROR(_xludf.XLOOKUP(C99,STUDENTS!$A$5:$A$204,STUDENTS!$C$5:$C$204,""),"")</f>
        <v/>
      </c>
      <c r="E99" s="8" t="str">
        <f ca="1">IFERROR(_xludf.XLOOKUP(C99,STUDENTS!$A$5:$A$204,STUDENTS!$L$5:$L$204,""),"")</f>
        <v/>
      </c>
      <c r="F99" s="8"/>
      <c r="G99" s="12"/>
      <c r="H99" s="12"/>
      <c r="I99" s="11" t="str">
        <f t="shared" si="3"/>
        <v/>
      </c>
      <c r="J99" s="8"/>
    </row>
    <row r="100" spans="1:10" x14ac:dyDescent="0.2">
      <c r="A100" s="10" t="str">
        <f t="shared" si="2"/>
        <v/>
      </c>
      <c r="B100" s="9"/>
      <c r="C100" s="8"/>
      <c r="D100" s="8" t="str">
        <f ca="1">IFERROR(_xludf.XLOOKUP(C100,STUDENTS!$A$5:$A$204,STUDENTS!$C$5:$C$204,""),"")</f>
        <v/>
      </c>
      <c r="E100" s="8" t="str">
        <f ca="1">IFERROR(_xludf.XLOOKUP(C100,STUDENTS!$A$5:$A$204,STUDENTS!$L$5:$L$204,""),"")</f>
        <v/>
      </c>
      <c r="F100" s="8"/>
      <c r="G100" s="12"/>
      <c r="H100" s="12"/>
      <c r="I100" s="11" t="str">
        <f t="shared" si="3"/>
        <v/>
      </c>
      <c r="J100" s="8"/>
    </row>
    <row r="101" spans="1:10" x14ac:dyDescent="0.2">
      <c r="A101" s="10" t="str">
        <f t="shared" si="2"/>
        <v/>
      </c>
      <c r="B101" s="9"/>
      <c r="C101" s="8"/>
      <c r="D101" s="8" t="str">
        <f ca="1">IFERROR(_xludf.XLOOKUP(C101,STUDENTS!$A$5:$A$204,STUDENTS!$C$5:$C$204,""),"")</f>
        <v/>
      </c>
      <c r="E101" s="8" t="str">
        <f ca="1">IFERROR(_xludf.XLOOKUP(C101,STUDENTS!$A$5:$A$204,STUDENTS!$L$5:$L$204,""),"")</f>
        <v/>
      </c>
      <c r="F101" s="8"/>
      <c r="G101" s="12"/>
      <c r="H101" s="12"/>
      <c r="I101" s="11" t="str">
        <f t="shared" si="3"/>
        <v/>
      </c>
      <c r="J101" s="8"/>
    </row>
    <row r="102" spans="1:10" x14ac:dyDescent="0.2">
      <c r="A102" s="10" t="str">
        <f t="shared" si="2"/>
        <v/>
      </c>
      <c r="B102" s="9"/>
      <c r="C102" s="8"/>
      <c r="D102" s="8" t="str">
        <f ca="1">IFERROR(_xludf.XLOOKUP(C102,STUDENTS!$A$5:$A$204,STUDENTS!$C$5:$C$204,""),"")</f>
        <v/>
      </c>
      <c r="E102" s="8" t="str">
        <f ca="1">IFERROR(_xludf.XLOOKUP(C102,STUDENTS!$A$5:$A$204,STUDENTS!$L$5:$L$204,""),"")</f>
        <v/>
      </c>
      <c r="F102" s="8"/>
      <c r="G102" s="12"/>
      <c r="H102" s="12"/>
      <c r="I102" s="11" t="str">
        <f t="shared" si="3"/>
        <v/>
      </c>
      <c r="J102" s="8"/>
    </row>
    <row r="103" spans="1:10" x14ac:dyDescent="0.2">
      <c r="A103" s="10" t="str">
        <f t="shared" si="2"/>
        <v/>
      </c>
      <c r="B103" s="9"/>
      <c r="C103" s="8"/>
      <c r="D103" s="8" t="str">
        <f ca="1">IFERROR(_xludf.XLOOKUP(C103,STUDENTS!$A$5:$A$204,STUDENTS!$C$5:$C$204,""),"")</f>
        <v/>
      </c>
      <c r="E103" s="8" t="str">
        <f ca="1">IFERROR(_xludf.XLOOKUP(C103,STUDENTS!$A$5:$A$204,STUDENTS!$L$5:$L$204,""),"")</f>
        <v/>
      </c>
      <c r="F103" s="8"/>
      <c r="G103" s="12"/>
      <c r="H103" s="12"/>
      <c r="I103" s="11" t="str">
        <f t="shared" si="3"/>
        <v/>
      </c>
      <c r="J103" s="8"/>
    </row>
    <row r="104" spans="1:10" x14ac:dyDescent="0.2">
      <c r="A104" s="10" t="str">
        <f t="shared" si="2"/>
        <v/>
      </c>
      <c r="B104" s="9"/>
      <c r="C104" s="8"/>
      <c r="D104" s="8" t="str">
        <f ca="1">IFERROR(_xludf.XLOOKUP(C104,STUDENTS!$A$5:$A$204,STUDENTS!$C$5:$C$204,""),"")</f>
        <v/>
      </c>
      <c r="E104" s="8" t="str">
        <f ca="1">IFERROR(_xludf.XLOOKUP(C104,STUDENTS!$A$5:$A$204,STUDENTS!$L$5:$L$204,""),"")</f>
        <v/>
      </c>
      <c r="F104" s="8"/>
      <c r="G104" s="12"/>
      <c r="H104" s="12"/>
      <c r="I104" s="11" t="str">
        <f t="shared" si="3"/>
        <v/>
      </c>
      <c r="J104" s="8"/>
    </row>
    <row r="105" spans="1:10" x14ac:dyDescent="0.2">
      <c r="A105" s="10" t="str">
        <f t="shared" si="2"/>
        <v/>
      </c>
      <c r="B105" s="9"/>
      <c r="C105" s="8"/>
      <c r="D105" s="8" t="str">
        <f ca="1">IFERROR(_xludf.XLOOKUP(C105,STUDENTS!$A$5:$A$204,STUDENTS!$C$5:$C$204,""),"")</f>
        <v/>
      </c>
      <c r="E105" s="8" t="str">
        <f ca="1">IFERROR(_xludf.XLOOKUP(C105,STUDENTS!$A$5:$A$204,STUDENTS!$L$5:$L$204,""),"")</f>
        <v/>
      </c>
      <c r="F105" s="8"/>
      <c r="G105" s="12"/>
      <c r="H105" s="12"/>
      <c r="I105" s="11" t="str">
        <f t="shared" si="3"/>
        <v/>
      </c>
      <c r="J105" s="8"/>
    </row>
    <row r="106" spans="1:10" x14ac:dyDescent="0.2">
      <c r="A106" s="10" t="str">
        <f t="shared" si="2"/>
        <v/>
      </c>
      <c r="B106" s="9"/>
      <c r="C106" s="8"/>
      <c r="D106" s="8" t="str">
        <f ca="1">IFERROR(_xludf.XLOOKUP(C106,STUDENTS!$A$5:$A$204,STUDENTS!$C$5:$C$204,""),"")</f>
        <v/>
      </c>
      <c r="E106" s="8" t="str">
        <f ca="1">IFERROR(_xludf.XLOOKUP(C106,STUDENTS!$A$5:$A$204,STUDENTS!$L$5:$L$204,""),"")</f>
        <v/>
      </c>
      <c r="F106" s="8"/>
      <c r="G106" s="12"/>
      <c r="H106" s="12"/>
      <c r="I106" s="11" t="str">
        <f t="shared" si="3"/>
        <v/>
      </c>
      <c r="J106" s="8"/>
    </row>
    <row r="107" spans="1:10" x14ac:dyDescent="0.2">
      <c r="A107" s="10" t="str">
        <f t="shared" si="2"/>
        <v/>
      </c>
      <c r="B107" s="9"/>
      <c r="C107" s="8"/>
      <c r="D107" s="8" t="str">
        <f ca="1">IFERROR(_xludf.XLOOKUP(C107,STUDENTS!$A$5:$A$204,STUDENTS!$C$5:$C$204,""),"")</f>
        <v/>
      </c>
      <c r="E107" s="8" t="str">
        <f ca="1">IFERROR(_xludf.XLOOKUP(C107,STUDENTS!$A$5:$A$204,STUDENTS!$L$5:$L$204,""),"")</f>
        <v/>
      </c>
      <c r="F107" s="8"/>
      <c r="G107" s="12"/>
      <c r="H107" s="12"/>
      <c r="I107" s="11" t="str">
        <f t="shared" si="3"/>
        <v/>
      </c>
      <c r="J107" s="8"/>
    </row>
    <row r="108" spans="1:10" x14ac:dyDescent="0.2">
      <c r="A108" s="10" t="str">
        <f t="shared" si="2"/>
        <v/>
      </c>
      <c r="B108" s="9"/>
      <c r="C108" s="8"/>
      <c r="D108" s="8" t="str">
        <f ca="1">IFERROR(_xludf.XLOOKUP(C108,STUDENTS!$A$5:$A$204,STUDENTS!$C$5:$C$204,""),"")</f>
        <v/>
      </c>
      <c r="E108" s="8" t="str">
        <f ca="1">IFERROR(_xludf.XLOOKUP(C108,STUDENTS!$A$5:$A$204,STUDENTS!$L$5:$L$204,""),"")</f>
        <v/>
      </c>
      <c r="F108" s="8"/>
      <c r="G108" s="12"/>
      <c r="H108" s="12"/>
      <c r="I108" s="11" t="str">
        <f t="shared" si="3"/>
        <v/>
      </c>
      <c r="J108" s="8"/>
    </row>
    <row r="109" spans="1:10" x14ac:dyDescent="0.2">
      <c r="A109" s="10" t="str">
        <f t="shared" si="2"/>
        <v/>
      </c>
      <c r="B109" s="9"/>
      <c r="C109" s="8"/>
      <c r="D109" s="8" t="str">
        <f ca="1">IFERROR(_xludf.XLOOKUP(C109,STUDENTS!$A$5:$A$204,STUDENTS!$C$5:$C$204,""),"")</f>
        <v/>
      </c>
      <c r="E109" s="8" t="str">
        <f ca="1">IFERROR(_xludf.XLOOKUP(C109,STUDENTS!$A$5:$A$204,STUDENTS!$L$5:$L$204,""),"")</f>
        <v/>
      </c>
      <c r="F109" s="8"/>
      <c r="G109" s="12"/>
      <c r="H109" s="12"/>
      <c r="I109" s="11" t="str">
        <f t="shared" si="3"/>
        <v/>
      </c>
      <c r="J109" s="8"/>
    </row>
    <row r="110" spans="1:10" x14ac:dyDescent="0.2">
      <c r="A110" s="10" t="str">
        <f t="shared" si="2"/>
        <v/>
      </c>
      <c r="B110" s="9"/>
      <c r="C110" s="8"/>
      <c r="D110" s="8" t="str">
        <f ca="1">IFERROR(_xludf.XLOOKUP(C110,STUDENTS!$A$5:$A$204,STUDENTS!$C$5:$C$204,""),"")</f>
        <v/>
      </c>
      <c r="E110" s="8" t="str">
        <f ca="1">IFERROR(_xludf.XLOOKUP(C110,STUDENTS!$A$5:$A$204,STUDENTS!$L$5:$L$204,""),"")</f>
        <v/>
      </c>
      <c r="F110" s="8"/>
      <c r="G110" s="12"/>
      <c r="H110" s="12"/>
      <c r="I110" s="11" t="str">
        <f t="shared" si="3"/>
        <v/>
      </c>
      <c r="J110" s="8"/>
    </row>
    <row r="111" spans="1:10" x14ac:dyDescent="0.2">
      <c r="A111" s="10" t="str">
        <f t="shared" si="2"/>
        <v/>
      </c>
      <c r="B111" s="9"/>
      <c r="C111" s="8"/>
      <c r="D111" s="8" t="str">
        <f ca="1">IFERROR(_xludf.XLOOKUP(C111,STUDENTS!$A$5:$A$204,STUDENTS!$C$5:$C$204,""),"")</f>
        <v/>
      </c>
      <c r="E111" s="8" t="str">
        <f ca="1">IFERROR(_xludf.XLOOKUP(C111,STUDENTS!$A$5:$A$204,STUDENTS!$L$5:$L$204,""),"")</f>
        <v/>
      </c>
      <c r="F111" s="8"/>
      <c r="G111" s="12"/>
      <c r="H111" s="12"/>
      <c r="I111" s="11" t="str">
        <f t="shared" si="3"/>
        <v/>
      </c>
      <c r="J111" s="8"/>
    </row>
    <row r="112" spans="1:10" x14ac:dyDescent="0.2">
      <c r="A112" s="10" t="str">
        <f t="shared" si="2"/>
        <v/>
      </c>
      <c r="B112" s="9"/>
      <c r="C112" s="8"/>
      <c r="D112" s="8" t="str">
        <f ca="1">IFERROR(_xludf.XLOOKUP(C112,STUDENTS!$A$5:$A$204,STUDENTS!$C$5:$C$204,""),"")</f>
        <v/>
      </c>
      <c r="E112" s="8" t="str">
        <f ca="1">IFERROR(_xludf.XLOOKUP(C112,STUDENTS!$A$5:$A$204,STUDENTS!$L$5:$L$204,""),"")</f>
        <v/>
      </c>
      <c r="F112" s="8"/>
      <c r="G112" s="12"/>
      <c r="H112" s="12"/>
      <c r="I112" s="11" t="str">
        <f t="shared" si="3"/>
        <v/>
      </c>
      <c r="J112" s="8"/>
    </row>
    <row r="113" spans="1:10" x14ac:dyDescent="0.2">
      <c r="A113" s="10" t="str">
        <f t="shared" si="2"/>
        <v/>
      </c>
      <c r="B113" s="9"/>
      <c r="C113" s="8"/>
      <c r="D113" s="8" t="str">
        <f ca="1">IFERROR(_xludf.XLOOKUP(C113,STUDENTS!$A$5:$A$204,STUDENTS!$C$5:$C$204,""),"")</f>
        <v/>
      </c>
      <c r="E113" s="8" t="str">
        <f ca="1">IFERROR(_xludf.XLOOKUP(C113,STUDENTS!$A$5:$A$204,STUDENTS!$L$5:$L$204,""),"")</f>
        <v/>
      </c>
      <c r="F113" s="8"/>
      <c r="G113" s="12"/>
      <c r="H113" s="12"/>
      <c r="I113" s="11" t="str">
        <f t="shared" si="3"/>
        <v/>
      </c>
      <c r="J113" s="8"/>
    </row>
    <row r="114" spans="1:10" x14ac:dyDescent="0.2">
      <c r="A114" s="10" t="str">
        <f t="shared" si="2"/>
        <v/>
      </c>
      <c r="B114" s="9"/>
      <c r="C114" s="8"/>
      <c r="D114" s="8" t="str">
        <f ca="1">IFERROR(_xludf.XLOOKUP(C114,STUDENTS!$A$5:$A$204,STUDENTS!$C$5:$C$204,""),"")</f>
        <v/>
      </c>
      <c r="E114" s="8" t="str">
        <f ca="1">IFERROR(_xludf.XLOOKUP(C114,STUDENTS!$A$5:$A$204,STUDENTS!$L$5:$L$204,""),"")</f>
        <v/>
      </c>
      <c r="F114" s="8"/>
      <c r="G114" s="12"/>
      <c r="H114" s="12"/>
      <c r="I114" s="11" t="str">
        <f t="shared" si="3"/>
        <v/>
      </c>
      <c r="J114" s="8"/>
    </row>
    <row r="115" spans="1:10" x14ac:dyDescent="0.2">
      <c r="A115" s="10" t="str">
        <f t="shared" si="2"/>
        <v/>
      </c>
      <c r="B115" s="9"/>
      <c r="C115" s="8"/>
      <c r="D115" s="8" t="str">
        <f ca="1">IFERROR(_xludf.XLOOKUP(C115,STUDENTS!$A$5:$A$204,STUDENTS!$C$5:$C$204,""),"")</f>
        <v/>
      </c>
      <c r="E115" s="8" t="str">
        <f ca="1">IFERROR(_xludf.XLOOKUP(C115,STUDENTS!$A$5:$A$204,STUDENTS!$L$5:$L$204,""),"")</f>
        <v/>
      </c>
      <c r="F115" s="8"/>
      <c r="G115" s="12"/>
      <c r="H115" s="12"/>
      <c r="I115" s="11" t="str">
        <f t="shared" si="3"/>
        <v/>
      </c>
      <c r="J115" s="8"/>
    </row>
    <row r="116" spans="1:10" x14ac:dyDescent="0.2">
      <c r="A116" s="10" t="str">
        <f t="shared" si="2"/>
        <v/>
      </c>
      <c r="B116" s="9"/>
      <c r="C116" s="8"/>
      <c r="D116" s="8" t="str">
        <f ca="1">IFERROR(_xludf.XLOOKUP(C116,STUDENTS!$A$5:$A$204,STUDENTS!$C$5:$C$204,""),"")</f>
        <v/>
      </c>
      <c r="E116" s="8" t="str">
        <f ca="1">IFERROR(_xludf.XLOOKUP(C116,STUDENTS!$A$5:$A$204,STUDENTS!$L$5:$L$204,""),"")</f>
        <v/>
      </c>
      <c r="F116" s="8"/>
      <c r="G116" s="12"/>
      <c r="H116" s="12"/>
      <c r="I116" s="11" t="str">
        <f t="shared" si="3"/>
        <v/>
      </c>
      <c r="J116" s="8"/>
    </row>
    <row r="117" spans="1:10" x14ac:dyDescent="0.2">
      <c r="A117" s="10" t="str">
        <f t="shared" si="2"/>
        <v/>
      </c>
      <c r="B117" s="9"/>
      <c r="C117" s="8"/>
      <c r="D117" s="8" t="str">
        <f ca="1">IFERROR(_xludf.XLOOKUP(C117,STUDENTS!$A$5:$A$204,STUDENTS!$C$5:$C$204,""),"")</f>
        <v/>
      </c>
      <c r="E117" s="8" t="str">
        <f ca="1">IFERROR(_xludf.XLOOKUP(C117,STUDENTS!$A$5:$A$204,STUDENTS!$L$5:$L$204,""),"")</f>
        <v/>
      </c>
      <c r="F117" s="8"/>
      <c r="G117" s="12"/>
      <c r="H117" s="12"/>
      <c r="I117" s="11" t="str">
        <f t="shared" si="3"/>
        <v/>
      </c>
      <c r="J117" s="8"/>
    </row>
    <row r="118" spans="1:10" x14ac:dyDescent="0.2">
      <c r="A118" s="10" t="str">
        <f t="shared" si="2"/>
        <v/>
      </c>
      <c r="B118" s="9"/>
      <c r="C118" s="8"/>
      <c r="D118" s="8" t="str">
        <f ca="1">IFERROR(_xludf.XLOOKUP(C118,STUDENTS!$A$5:$A$204,STUDENTS!$C$5:$C$204,""),"")</f>
        <v/>
      </c>
      <c r="E118" s="8" t="str">
        <f ca="1">IFERROR(_xludf.XLOOKUP(C118,STUDENTS!$A$5:$A$204,STUDENTS!$L$5:$L$204,""),"")</f>
        <v/>
      </c>
      <c r="F118" s="8"/>
      <c r="G118" s="12"/>
      <c r="H118" s="12"/>
      <c r="I118" s="11" t="str">
        <f t="shared" si="3"/>
        <v/>
      </c>
      <c r="J118" s="8"/>
    </row>
    <row r="119" spans="1:10" x14ac:dyDescent="0.2">
      <c r="A119" s="10" t="str">
        <f t="shared" si="2"/>
        <v/>
      </c>
      <c r="B119" s="9"/>
      <c r="C119" s="8"/>
      <c r="D119" s="8" t="str">
        <f ca="1">IFERROR(_xludf.XLOOKUP(C119,STUDENTS!$A$5:$A$204,STUDENTS!$C$5:$C$204,""),"")</f>
        <v/>
      </c>
      <c r="E119" s="8" t="str">
        <f ca="1">IFERROR(_xludf.XLOOKUP(C119,STUDENTS!$A$5:$A$204,STUDENTS!$L$5:$L$204,""),"")</f>
        <v/>
      </c>
      <c r="F119" s="8"/>
      <c r="G119" s="12"/>
      <c r="H119" s="12"/>
      <c r="I119" s="11" t="str">
        <f t="shared" si="3"/>
        <v/>
      </c>
      <c r="J119" s="8"/>
    </row>
    <row r="120" spans="1:10" x14ac:dyDescent="0.2">
      <c r="A120" s="10" t="str">
        <f t="shared" si="2"/>
        <v/>
      </c>
      <c r="B120" s="9"/>
      <c r="C120" s="8"/>
      <c r="D120" s="8" t="str">
        <f ca="1">IFERROR(_xludf.XLOOKUP(C120,STUDENTS!$A$5:$A$204,STUDENTS!$C$5:$C$204,""),"")</f>
        <v/>
      </c>
      <c r="E120" s="8" t="str">
        <f ca="1">IFERROR(_xludf.XLOOKUP(C120,STUDENTS!$A$5:$A$204,STUDENTS!$L$5:$L$204,""),"")</f>
        <v/>
      </c>
      <c r="F120" s="8"/>
      <c r="G120" s="12"/>
      <c r="H120" s="12"/>
      <c r="I120" s="11" t="str">
        <f t="shared" si="3"/>
        <v/>
      </c>
      <c r="J120" s="8"/>
    </row>
    <row r="121" spans="1:10" x14ac:dyDescent="0.2">
      <c r="A121" s="10" t="str">
        <f t="shared" si="2"/>
        <v/>
      </c>
      <c r="B121" s="9"/>
      <c r="C121" s="8"/>
      <c r="D121" s="8" t="str">
        <f ca="1">IFERROR(_xludf.XLOOKUP(C121,STUDENTS!$A$5:$A$204,STUDENTS!$C$5:$C$204,""),"")</f>
        <v/>
      </c>
      <c r="E121" s="8" t="str">
        <f ca="1">IFERROR(_xludf.XLOOKUP(C121,STUDENTS!$A$5:$A$204,STUDENTS!$L$5:$L$204,""),"")</f>
        <v/>
      </c>
      <c r="F121" s="8"/>
      <c r="G121" s="12"/>
      <c r="H121" s="12"/>
      <c r="I121" s="11" t="str">
        <f t="shared" si="3"/>
        <v/>
      </c>
      <c r="J121" s="8"/>
    </row>
    <row r="122" spans="1:10" x14ac:dyDescent="0.2">
      <c r="A122" s="10" t="str">
        <f t="shared" si="2"/>
        <v/>
      </c>
      <c r="B122" s="9"/>
      <c r="C122" s="8"/>
      <c r="D122" s="8" t="str">
        <f ca="1">IFERROR(_xludf.XLOOKUP(C122,STUDENTS!$A$5:$A$204,STUDENTS!$C$5:$C$204,""),"")</f>
        <v/>
      </c>
      <c r="E122" s="8" t="str">
        <f ca="1">IFERROR(_xludf.XLOOKUP(C122,STUDENTS!$A$5:$A$204,STUDENTS!$L$5:$L$204,""),"")</f>
        <v/>
      </c>
      <c r="F122" s="8"/>
      <c r="G122" s="12"/>
      <c r="H122" s="12"/>
      <c r="I122" s="11" t="str">
        <f t="shared" si="3"/>
        <v/>
      </c>
      <c r="J122" s="8"/>
    </row>
    <row r="123" spans="1:10" x14ac:dyDescent="0.2">
      <c r="A123" s="10" t="str">
        <f t="shared" si="2"/>
        <v/>
      </c>
      <c r="B123" s="9"/>
      <c r="C123" s="8"/>
      <c r="D123" s="8" t="str">
        <f ca="1">IFERROR(_xludf.XLOOKUP(C123,STUDENTS!$A$5:$A$204,STUDENTS!$C$5:$C$204,""),"")</f>
        <v/>
      </c>
      <c r="E123" s="8" t="str">
        <f ca="1">IFERROR(_xludf.XLOOKUP(C123,STUDENTS!$A$5:$A$204,STUDENTS!$L$5:$L$204,""),"")</f>
        <v/>
      </c>
      <c r="F123" s="8"/>
      <c r="G123" s="12"/>
      <c r="H123" s="12"/>
      <c r="I123" s="11" t="str">
        <f t="shared" si="3"/>
        <v/>
      </c>
      <c r="J123" s="8"/>
    </row>
    <row r="124" spans="1:10" x14ac:dyDescent="0.2">
      <c r="A124" s="10" t="str">
        <f t="shared" si="2"/>
        <v/>
      </c>
      <c r="B124" s="9"/>
      <c r="C124" s="8"/>
      <c r="D124" s="8" t="str">
        <f ca="1">IFERROR(_xludf.XLOOKUP(C124,STUDENTS!$A$5:$A$204,STUDENTS!$C$5:$C$204,""),"")</f>
        <v/>
      </c>
      <c r="E124" s="8" t="str">
        <f ca="1">IFERROR(_xludf.XLOOKUP(C124,STUDENTS!$A$5:$A$204,STUDENTS!$L$5:$L$204,""),"")</f>
        <v/>
      </c>
      <c r="F124" s="8"/>
      <c r="G124" s="12"/>
      <c r="H124" s="12"/>
      <c r="I124" s="11" t="str">
        <f t="shared" si="3"/>
        <v/>
      </c>
      <c r="J124" s="8"/>
    </row>
    <row r="125" spans="1:10" x14ac:dyDescent="0.2">
      <c r="A125" s="10" t="str">
        <f t="shared" si="2"/>
        <v/>
      </c>
      <c r="B125" s="9"/>
      <c r="C125" s="8"/>
      <c r="D125" s="8" t="str">
        <f ca="1">IFERROR(_xludf.XLOOKUP(C125,STUDENTS!$A$5:$A$204,STUDENTS!$C$5:$C$204,""),"")</f>
        <v/>
      </c>
      <c r="E125" s="8" t="str">
        <f ca="1">IFERROR(_xludf.XLOOKUP(C125,STUDENTS!$A$5:$A$204,STUDENTS!$L$5:$L$204,""),"")</f>
        <v/>
      </c>
      <c r="F125" s="8"/>
      <c r="G125" s="12"/>
      <c r="H125" s="12"/>
      <c r="I125" s="11" t="str">
        <f t="shared" si="3"/>
        <v/>
      </c>
      <c r="J125" s="8"/>
    </row>
    <row r="126" spans="1:10" x14ac:dyDescent="0.2">
      <c r="A126" s="10" t="str">
        <f t="shared" si="2"/>
        <v/>
      </c>
      <c r="B126" s="9"/>
      <c r="C126" s="8"/>
      <c r="D126" s="8" t="str">
        <f ca="1">IFERROR(_xludf.XLOOKUP(C126,STUDENTS!$A$5:$A$204,STUDENTS!$C$5:$C$204,""),"")</f>
        <v/>
      </c>
      <c r="E126" s="8" t="str">
        <f ca="1">IFERROR(_xludf.XLOOKUP(C126,STUDENTS!$A$5:$A$204,STUDENTS!$L$5:$L$204,""),"")</f>
        <v/>
      </c>
      <c r="F126" s="8"/>
      <c r="G126" s="12"/>
      <c r="H126" s="12"/>
      <c r="I126" s="11" t="str">
        <f t="shared" si="3"/>
        <v/>
      </c>
      <c r="J126" s="8"/>
    </row>
    <row r="127" spans="1:10" x14ac:dyDescent="0.2">
      <c r="A127" s="10" t="str">
        <f t="shared" si="2"/>
        <v/>
      </c>
      <c r="B127" s="9"/>
      <c r="C127" s="8"/>
      <c r="D127" s="8" t="str">
        <f ca="1">IFERROR(_xludf.XLOOKUP(C127,STUDENTS!$A$5:$A$204,STUDENTS!$C$5:$C$204,""),"")</f>
        <v/>
      </c>
      <c r="E127" s="8" t="str">
        <f ca="1">IFERROR(_xludf.XLOOKUP(C127,STUDENTS!$A$5:$A$204,STUDENTS!$L$5:$L$204,""),"")</f>
        <v/>
      </c>
      <c r="F127" s="8"/>
      <c r="G127" s="12"/>
      <c r="H127" s="12"/>
      <c r="I127" s="11" t="str">
        <f t="shared" si="3"/>
        <v/>
      </c>
      <c r="J127" s="8"/>
    </row>
    <row r="128" spans="1:10" x14ac:dyDescent="0.2">
      <c r="A128" s="10" t="str">
        <f t="shared" si="2"/>
        <v/>
      </c>
      <c r="B128" s="9"/>
      <c r="C128" s="8"/>
      <c r="D128" s="8" t="str">
        <f ca="1">IFERROR(_xludf.XLOOKUP(C128,STUDENTS!$A$5:$A$204,STUDENTS!$C$5:$C$204,""),"")</f>
        <v/>
      </c>
      <c r="E128" s="8" t="str">
        <f ca="1">IFERROR(_xludf.XLOOKUP(C128,STUDENTS!$A$5:$A$204,STUDENTS!$L$5:$L$204,""),"")</f>
        <v/>
      </c>
      <c r="F128" s="8"/>
      <c r="G128" s="12"/>
      <c r="H128" s="12"/>
      <c r="I128" s="11" t="str">
        <f t="shared" si="3"/>
        <v/>
      </c>
      <c r="J128" s="8"/>
    </row>
    <row r="129" spans="1:10" x14ac:dyDescent="0.2">
      <c r="A129" s="10" t="str">
        <f t="shared" si="2"/>
        <v/>
      </c>
      <c r="B129" s="9"/>
      <c r="C129" s="8"/>
      <c r="D129" s="8" t="str">
        <f ca="1">IFERROR(_xludf.XLOOKUP(C129,STUDENTS!$A$5:$A$204,STUDENTS!$C$5:$C$204,""),"")</f>
        <v/>
      </c>
      <c r="E129" s="8" t="str">
        <f ca="1">IFERROR(_xludf.XLOOKUP(C129,STUDENTS!$A$5:$A$204,STUDENTS!$L$5:$L$204,""),"")</f>
        <v/>
      </c>
      <c r="F129" s="8"/>
      <c r="G129" s="12"/>
      <c r="H129" s="12"/>
      <c r="I129" s="11" t="str">
        <f t="shared" si="3"/>
        <v/>
      </c>
      <c r="J129" s="8"/>
    </row>
    <row r="130" spans="1:10" x14ac:dyDescent="0.2">
      <c r="A130" s="10" t="str">
        <f t="shared" si="2"/>
        <v/>
      </c>
      <c r="B130" s="9"/>
      <c r="C130" s="8"/>
      <c r="D130" s="8" t="str">
        <f ca="1">IFERROR(_xludf.XLOOKUP(C130,STUDENTS!$A$5:$A$204,STUDENTS!$C$5:$C$204,""),"")</f>
        <v/>
      </c>
      <c r="E130" s="8" t="str">
        <f ca="1">IFERROR(_xludf.XLOOKUP(C130,STUDENTS!$A$5:$A$204,STUDENTS!$L$5:$L$204,""),"")</f>
        <v/>
      </c>
      <c r="F130" s="8"/>
      <c r="G130" s="12"/>
      <c r="H130" s="12"/>
      <c r="I130" s="11" t="str">
        <f t="shared" si="3"/>
        <v/>
      </c>
      <c r="J130" s="8"/>
    </row>
    <row r="131" spans="1:10" x14ac:dyDescent="0.2">
      <c r="A131" s="10" t="str">
        <f t="shared" si="2"/>
        <v/>
      </c>
      <c r="B131" s="9"/>
      <c r="C131" s="8"/>
      <c r="D131" s="8" t="str">
        <f ca="1">IFERROR(_xludf.XLOOKUP(C131,STUDENTS!$A$5:$A$204,STUDENTS!$C$5:$C$204,""),"")</f>
        <v/>
      </c>
      <c r="E131" s="8" t="str">
        <f ca="1">IFERROR(_xludf.XLOOKUP(C131,STUDENTS!$A$5:$A$204,STUDENTS!$L$5:$L$204,""),"")</f>
        <v/>
      </c>
      <c r="F131" s="8"/>
      <c r="G131" s="12"/>
      <c r="H131" s="12"/>
      <c r="I131" s="11" t="str">
        <f t="shared" si="3"/>
        <v/>
      </c>
      <c r="J131" s="8"/>
    </row>
    <row r="132" spans="1:10" x14ac:dyDescent="0.2">
      <c r="A132" s="10" t="str">
        <f t="shared" si="2"/>
        <v/>
      </c>
      <c r="B132" s="9"/>
      <c r="C132" s="8"/>
      <c r="D132" s="8" t="str">
        <f ca="1">IFERROR(_xludf.XLOOKUP(C132,STUDENTS!$A$5:$A$204,STUDENTS!$C$5:$C$204,""),"")</f>
        <v/>
      </c>
      <c r="E132" s="8" t="str">
        <f ca="1">IFERROR(_xludf.XLOOKUP(C132,STUDENTS!$A$5:$A$204,STUDENTS!$L$5:$L$204,""),"")</f>
        <v/>
      </c>
      <c r="F132" s="8"/>
      <c r="G132" s="12"/>
      <c r="H132" s="12"/>
      <c r="I132" s="11" t="str">
        <f t="shared" si="3"/>
        <v/>
      </c>
      <c r="J132" s="8"/>
    </row>
    <row r="133" spans="1:10" x14ac:dyDescent="0.2">
      <c r="A133" s="10" t="str">
        <f t="shared" ref="A133:A196" si="4">IF(C133="","","EX-"&amp;TEXT(ROW()-4,"00000"))</f>
        <v/>
      </c>
      <c r="B133" s="9"/>
      <c r="C133" s="8"/>
      <c r="D133" s="8" t="str">
        <f ca="1">IFERROR(_xludf.XLOOKUP(C133,STUDENTS!$A$5:$A$204,STUDENTS!$C$5:$C$204,""),"")</f>
        <v/>
      </c>
      <c r="E133" s="8" t="str">
        <f ca="1">IFERROR(_xludf.XLOOKUP(C133,STUDENTS!$A$5:$A$204,STUDENTS!$L$5:$L$204,""),"")</f>
        <v/>
      </c>
      <c r="F133" s="8"/>
      <c r="G133" s="12"/>
      <c r="H133" s="12"/>
      <c r="I133" s="11" t="str">
        <f t="shared" ref="I133:I196" si="5">IF(G133="","",G133-H133)</f>
        <v/>
      </c>
      <c r="J133" s="8"/>
    </row>
    <row r="134" spans="1:10" x14ac:dyDescent="0.2">
      <c r="A134" s="10" t="str">
        <f t="shared" si="4"/>
        <v/>
      </c>
      <c r="B134" s="9"/>
      <c r="C134" s="8"/>
      <c r="D134" s="8" t="str">
        <f ca="1">IFERROR(_xludf.XLOOKUP(C134,STUDENTS!$A$5:$A$204,STUDENTS!$C$5:$C$204,""),"")</f>
        <v/>
      </c>
      <c r="E134" s="8" t="str">
        <f ca="1">IFERROR(_xludf.XLOOKUP(C134,STUDENTS!$A$5:$A$204,STUDENTS!$L$5:$L$204,""),"")</f>
        <v/>
      </c>
      <c r="F134" s="8"/>
      <c r="G134" s="12"/>
      <c r="H134" s="12"/>
      <c r="I134" s="11" t="str">
        <f t="shared" si="5"/>
        <v/>
      </c>
      <c r="J134" s="8"/>
    </row>
    <row r="135" spans="1:10" x14ac:dyDescent="0.2">
      <c r="A135" s="10" t="str">
        <f t="shared" si="4"/>
        <v/>
      </c>
      <c r="B135" s="9"/>
      <c r="C135" s="8"/>
      <c r="D135" s="8" t="str">
        <f ca="1">IFERROR(_xludf.XLOOKUP(C135,STUDENTS!$A$5:$A$204,STUDENTS!$C$5:$C$204,""),"")</f>
        <v/>
      </c>
      <c r="E135" s="8" t="str">
        <f ca="1">IFERROR(_xludf.XLOOKUP(C135,STUDENTS!$A$5:$A$204,STUDENTS!$L$5:$L$204,""),"")</f>
        <v/>
      </c>
      <c r="F135" s="8"/>
      <c r="G135" s="12"/>
      <c r="H135" s="12"/>
      <c r="I135" s="11" t="str">
        <f t="shared" si="5"/>
        <v/>
      </c>
      <c r="J135" s="8"/>
    </row>
    <row r="136" spans="1:10" x14ac:dyDescent="0.2">
      <c r="A136" s="10" t="str">
        <f t="shared" si="4"/>
        <v/>
      </c>
      <c r="B136" s="9"/>
      <c r="C136" s="8"/>
      <c r="D136" s="8" t="str">
        <f ca="1">IFERROR(_xludf.XLOOKUP(C136,STUDENTS!$A$5:$A$204,STUDENTS!$C$5:$C$204,""),"")</f>
        <v/>
      </c>
      <c r="E136" s="8" t="str">
        <f ca="1">IFERROR(_xludf.XLOOKUP(C136,STUDENTS!$A$5:$A$204,STUDENTS!$L$5:$L$204,""),"")</f>
        <v/>
      </c>
      <c r="F136" s="8"/>
      <c r="G136" s="12"/>
      <c r="H136" s="12"/>
      <c r="I136" s="11" t="str">
        <f t="shared" si="5"/>
        <v/>
      </c>
      <c r="J136" s="8"/>
    </row>
    <row r="137" spans="1:10" x14ac:dyDescent="0.2">
      <c r="A137" s="10" t="str">
        <f t="shared" si="4"/>
        <v/>
      </c>
      <c r="B137" s="9"/>
      <c r="C137" s="8"/>
      <c r="D137" s="8" t="str">
        <f ca="1">IFERROR(_xludf.XLOOKUP(C137,STUDENTS!$A$5:$A$204,STUDENTS!$C$5:$C$204,""),"")</f>
        <v/>
      </c>
      <c r="E137" s="8" t="str">
        <f ca="1">IFERROR(_xludf.XLOOKUP(C137,STUDENTS!$A$5:$A$204,STUDENTS!$L$5:$L$204,""),"")</f>
        <v/>
      </c>
      <c r="F137" s="8"/>
      <c r="G137" s="12"/>
      <c r="H137" s="12"/>
      <c r="I137" s="11" t="str">
        <f t="shared" si="5"/>
        <v/>
      </c>
      <c r="J137" s="8"/>
    </row>
    <row r="138" spans="1:10" x14ac:dyDescent="0.2">
      <c r="A138" s="10" t="str">
        <f t="shared" si="4"/>
        <v/>
      </c>
      <c r="B138" s="9"/>
      <c r="C138" s="8"/>
      <c r="D138" s="8" t="str">
        <f ca="1">IFERROR(_xludf.XLOOKUP(C138,STUDENTS!$A$5:$A$204,STUDENTS!$C$5:$C$204,""),"")</f>
        <v/>
      </c>
      <c r="E138" s="8" t="str">
        <f ca="1">IFERROR(_xludf.XLOOKUP(C138,STUDENTS!$A$5:$A$204,STUDENTS!$L$5:$L$204,""),"")</f>
        <v/>
      </c>
      <c r="F138" s="8"/>
      <c r="G138" s="12"/>
      <c r="H138" s="12"/>
      <c r="I138" s="11" t="str">
        <f t="shared" si="5"/>
        <v/>
      </c>
      <c r="J138" s="8"/>
    </row>
    <row r="139" spans="1:10" x14ac:dyDescent="0.2">
      <c r="A139" s="10" t="str">
        <f t="shared" si="4"/>
        <v/>
      </c>
      <c r="B139" s="9"/>
      <c r="C139" s="8"/>
      <c r="D139" s="8" t="str">
        <f ca="1">IFERROR(_xludf.XLOOKUP(C139,STUDENTS!$A$5:$A$204,STUDENTS!$C$5:$C$204,""),"")</f>
        <v/>
      </c>
      <c r="E139" s="8" t="str">
        <f ca="1">IFERROR(_xludf.XLOOKUP(C139,STUDENTS!$A$5:$A$204,STUDENTS!$L$5:$L$204,""),"")</f>
        <v/>
      </c>
      <c r="F139" s="8"/>
      <c r="G139" s="12"/>
      <c r="H139" s="12"/>
      <c r="I139" s="11" t="str">
        <f t="shared" si="5"/>
        <v/>
      </c>
      <c r="J139" s="8"/>
    </row>
    <row r="140" spans="1:10" x14ac:dyDescent="0.2">
      <c r="A140" s="10" t="str">
        <f t="shared" si="4"/>
        <v/>
      </c>
      <c r="B140" s="9"/>
      <c r="C140" s="8"/>
      <c r="D140" s="8" t="str">
        <f ca="1">IFERROR(_xludf.XLOOKUP(C140,STUDENTS!$A$5:$A$204,STUDENTS!$C$5:$C$204,""),"")</f>
        <v/>
      </c>
      <c r="E140" s="8" t="str">
        <f ca="1">IFERROR(_xludf.XLOOKUP(C140,STUDENTS!$A$5:$A$204,STUDENTS!$L$5:$L$204,""),"")</f>
        <v/>
      </c>
      <c r="F140" s="8"/>
      <c r="G140" s="12"/>
      <c r="H140" s="12"/>
      <c r="I140" s="11" t="str">
        <f t="shared" si="5"/>
        <v/>
      </c>
      <c r="J140" s="8"/>
    </row>
    <row r="141" spans="1:10" x14ac:dyDescent="0.2">
      <c r="A141" s="10" t="str">
        <f t="shared" si="4"/>
        <v/>
      </c>
      <c r="B141" s="9"/>
      <c r="C141" s="8"/>
      <c r="D141" s="8" t="str">
        <f ca="1">IFERROR(_xludf.XLOOKUP(C141,STUDENTS!$A$5:$A$204,STUDENTS!$C$5:$C$204,""),"")</f>
        <v/>
      </c>
      <c r="E141" s="8" t="str">
        <f ca="1">IFERROR(_xludf.XLOOKUP(C141,STUDENTS!$A$5:$A$204,STUDENTS!$L$5:$L$204,""),"")</f>
        <v/>
      </c>
      <c r="F141" s="8"/>
      <c r="G141" s="12"/>
      <c r="H141" s="12"/>
      <c r="I141" s="11" t="str">
        <f t="shared" si="5"/>
        <v/>
      </c>
      <c r="J141" s="8"/>
    </row>
    <row r="142" spans="1:10" x14ac:dyDescent="0.2">
      <c r="A142" s="10" t="str">
        <f t="shared" si="4"/>
        <v/>
      </c>
      <c r="B142" s="9"/>
      <c r="C142" s="8"/>
      <c r="D142" s="8" t="str">
        <f ca="1">IFERROR(_xludf.XLOOKUP(C142,STUDENTS!$A$5:$A$204,STUDENTS!$C$5:$C$204,""),"")</f>
        <v/>
      </c>
      <c r="E142" s="8" t="str">
        <f ca="1">IFERROR(_xludf.XLOOKUP(C142,STUDENTS!$A$5:$A$204,STUDENTS!$L$5:$L$204,""),"")</f>
        <v/>
      </c>
      <c r="F142" s="8"/>
      <c r="G142" s="12"/>
      <c r="H142" s="12"/>
      <c r="I142" s="11" t="str">
        <f t="shared" si="5"/>
        <v/>
      </c>
      <c r="J142" s="8"/>
    </row>
    <row r="143" spans="1:10" x14ac:dyDescent="0.2">
      <c r="A143" s="10" t="str">
        <f t="shared" si="4"/>
        <v/>
      </c>
      <c r="B143" s="9"/>
      <c r="C143" s="8"/>
      <c r="D143" s="8" t="str">
        <f ca="1">IFERROR(_xludf.XLOOKUP(C143,STUDENTS!$A$5:$A$204,STUDENTS!$C$5:$C$204,""),"")</f>
        <v/>
      </c>
      <c r="E143" s="8" t="str">
        <f ca="1">IFERROR(_xludf.XLOOKUP(C143,STUDENTS!$A$5:$A$204,STUDENTS!$L$5:$L$204,""),"")</f>
        <v/>
      </c>
      <c r="F143" s="8"/>
      <c r="G143" s="12"/>
      <c r="H143" s="12"/>
      <c r="I143" s="11" t="str">
        <f t="shared" si="5"/>
        <v/>
      </c>
      <c r="J143" s="8"/>
    </row>
    <row r="144" spans="1:10" x14ac:dyDescent="0.2">
      <c r="A144" s="10" t="str">
        <f t="shared" si="4"/>
        <v/>
      </c>
      <c r="B144" s="9"/>
      <c r="C144" s="8"/>
      <c r="D144" s="8" t="str">
        <f ca="1">IFERROR(_xludf.XLOOKUP(C144,STUDENTS!$A$5:$A$204,STUDENTS!$C$5:$C$204,""),"")</f>
        <v/>
      </c>
      <c r="E144" s="8" t="str">
        <f ca="1">IFERROR(_xludf.XLOOKUP(C144,STUDENTS!$A$5:$A$204,STUDENTS!$L$5:$L$204,""),"")</f>
        <v/>
      </c>
      <c r="F144" s="8"/>
      <c r="G144" s="12"/>
      <c r="H144" s="12"/>
      <c r="I144" s="11" t="str">
        <f t="shared" si="5"/>
        <v/>
      </c>
      <c r="J144" s="8"/>
    </row>
    <row r="145" spans="1:10" x14ac:dyDescent="0.2">
      <c r="A145" s="10" t="str">
        <f t="shared" si="4"/>
        <v/>
      </c>
      <c r="B145" s="9"/>
      <c r="C145" s="8"/>
      <c r="D145" s="8" t="str">
        <f ca="1">IFERROR(_xludf.XLOOKUP(C145,STUDENTS!$A$5:$A$204,STUDENTS!$C$5:$C$204,""),"")</f>
        <v/>
      </c>
      <c r="E145" s="8" t="str">
        <f ca="1">IFERROR(_xludf.XLOOKUP(C145,STUDENTS!$A$5:$A$204,STUDENTS!$L$5:$L$204,""),"")</f>
        <v/>
      </c>
      <c r="F145" s="8"/>
      <c r="G145" s="12"/>
      <c r="H145" s="12"/>
      <c r="I145" s="11" t="str">
        <f t="shared" si="5"/>
        <v/>
      </c>
      <c r="J145" s="8"/>
    </row>
    <row r="146" spans="1:10" x14ac:dyDescent="0.2">
      <c r="A146" s="10" t="str">
        <f t="shared" si="4"/>
        <v/>
      </c>
      <c r="B146" s="9"/>
      <c r="C146" s="8"/>
      <c r="D146" s="8" t="str">
        <f ca="1">IFERROR(_xludf.XLOOKUP(C146,STUDENTS!$A$5:$A$204,STUDENTS!$C$5:$C$204,""),"")</f>
        <v/>
      </c>
      <c r="E146" s="8" t="str">
        <f ca="1">IFERROR(_xludf.XLOOKUP(C146,STUDENTS!$A$5:$A$204,STUDENTS!$L$5:$L$204,""),"")</f>
        <v/>
      </c>
      <c r="F146" s="8"/>
      <c r="G146" s="12"/>
      <c r="H146" s="12"/>
      <c r="I146" s="11" t="str">
        <f t="shared" si="5"/>
        <v/>
      </c>
      <c r="J146" s="8"/>
    </row>
    <row r="147" spans="1:10" x14ac:dyDescent="0.2">
      <c r="A147" s="10" t="str">
        <f t="shared" si="4"/>
        <v/>
      </c>
      <c r="B147" s="9"/>
      <c r="C147" s="8"/>
      <c r="D147" s="8" t="str">
        <f ca="1">IFERROR(_xludf.XLOOKUP(C147,STUDENTS!$A$5:$A$204,STUDENTS!$C$5:$C$204,""),"")</f>
        <v/>
      </c>
      <c r="E147" s="8" t="str">
        <f ca="1">IFERROR(_xludf.XLOOKUP(C147,STUDENTS!$A$5:$A$204,STUDENTS!$L$5:$L$204,""),"")</f>
        <v/>
      </c>
      <c r="F147" s="8"/>
      <c r="G147" s="12"/>
      <c r="H147" s="12"/>
      <c r="I147" s="11" t="str">
        <f t="shared" si="5"/>
        <v/>
      </c>
      <c r="J147" s="8"/>
    </row>
    <row r="148" spans="1:10" x14ac:dyDescent="0.2">
      <c r="A148" s="10" t="str">
        <f t="shared" si="4"/>
        <v/>
      </c>
      <c r="B148" s="9"/>
      <c r="C148" s="8"/>
      <c r="D148" s="8" t="str">
        <f ca="1">IFERROR(_xludf.XLOOKUP(C148,STUDENTS!$A$5:$A$204,STUDENTS!$C$5:$C$204,""),"")</f>
        <v/>
      </c>
      <c r="E148" s="8" t="str">
        <f ca="1">IFERROR(_xludf.XLOOKUP(C148,STUDENTS!$A$5:$A$204,STUDENTS!$L$5:$L$204,""),"")</f>
        <v/>
      </c>
      <c r="F148" s="8"/>
      <c r="G148" s="12"/>
      <c r="H148" s="12"/>
      <c r="I148" s="11" t="str">
        <f t="shared" si="5"/>
        <v/>
      </c>
      <c r="J148" s="8"/>
    </row>
    <row r="149" spans="1:10" x14ac:dyDescent="0.2">
      <c r="A149" s="10" t="str">
        <f t="shared" si="4"/>
        <v/>
      </c>
      <c r="B149" s="9"/>
      <c r="C149" s="8"/>
      <c r="D149" s="8" t="str">
        <f ca="1">IFERROR(_xludf.XLOOKUP(C149,STUDENTS!$A$5:$A$204,STUDENTS!$C$5:$C$204,""),"")</f>
        <v/>
      </c>
      <c r="E149" s="8" t="str">
        <f ca="1">IFERROR(_xludf.XLOOKUP(C149,STUDENTS!$A$5:$A$204,STUDENTS!$L$5:$L$204,""),"")</f>
        <v/>
      </c>
      <c r="F149" s="8"/>
      <c r="G149" s="12"/>
      <c r="H149" s="12"/>
      <c r="I149" s="11" t="str">
        <f t="shared" si="5"/>
        <v/>
      </c>
      <c r="J149" s="8"/>
    </row>
    <row r="150" spans="1:10" x14ac:dyDescent="0.2">
      <c r="A150" s="10" t="str">
        <f t="shared" si="4"/>
        <v/>
      </c>
      <c r="B150" s="9"/>
      <c r="C150" s="8"/>
      <c r="D150" s="8" t="str">
        <f ca="1">IFERROR(_xludf.XLOOKUP(C150,STUDENTS!$A$5:$A$204,STUDENTS!$C$5:$C$204,""),"")</f>
        <v/>
      </c>
      <c r="E150" s="8" t="str">
        <f ca="1">IFERROR(_xludf.XLOOKUP(C150,STUDENTS!$A$5:$A$204,STUDENTS!$L$5:$L$204,""),"")</f>
        <v/>
      </c>
      <c r="F150" s="8"/>
      <c r="G150" s="12"/>
      <c r="H150" s="12"/>
      <c r="I150" s="11" t="str">
        <f t="shared" si="5"/>
        <v/>
      </c>
      <c r="J150" s="8"/>
    </row>
    <row r="151" spans="1:10" x14ac:dyDescent="0.2">
      <c r="A151" s="10" t="str">
        <f t="shared" si="4"/>
        <v/>
      </c>
      <c r="B151" s="9"/>
      <c r="C151" s="8"/>
      <c r="D151" s="8" t="str">
        <f ca="1">IFERROR(_xludf.XLOOKUP(C151,STUDENTS!$A$5:$A$204,STUDENTS!$C$5:$C$204,""),"")</f>
        <v/>
      </c>
      <c r="E151" s="8" t="str">
        <f ca="1">IFERROR(_xludf.XLOOKUP(C151,STUDENTS!$A$5:$A$204,STUDENTS!$L$5:$L$204,""),"")</f>
        <v/>
      </c>
      <c r="F151" s="8"/>
      <c r="G151" s="12"/>
      <c r="H151" s="12"/>
      <c r="I151" s="11" t="str">
        <f t="shared" si="5"/>
        <v/>
      </c>
      <c r="J151" s="8"/>
    </row>
    <row r="152" spans="1:10" x14ac:dyDescent="0.2">
      <c r="A152" s="10" t="str">
        <f t="shared" si="4"/>
        <v/>
      </c>
      <c r="B152" s="9"/>
      <c r="C152" s="8"/>
      <c r="D152" s="8" t="str">
        <f ca="1">IFERROR(_xludf.XLOOKUP(C152,STUDENTS!$A$5:$A$204,STUDENTS!$C$5:$C$204,""),"")</f>
        <v/>
      </c>
      <c r="E152" s="8" t="str">
        <f ca="1">IFERROR(_xludf.XLOOKUP(C152,STUDENTS!$A$5:$A$204,STUDENTS!$L$5:$L$204,""),"")</f>
        <v/>
      </c>
      <c r="F152" s="8"/>
      <c r="G152" s="12"/>
      <c r="H152" s="12"/>
      <c r="I152" s="11" t="str">
        <f t="shared" si="5"/>
        <v/>
      </c>
      <c r="J152" s="8"/>
    </row>
    <row r="153" spans="1:10" x14ac:dyDescent="0.2">
      <c r="A153" s="10" t="str">
        <f t="shared" si="4"/>
        <v/>
      </c>
      <c r="B153" s="9"/>
      <c r="C153" s="8"/>
      <c r="D153" s="8" t="str">
        <f ca="1">IFERROR(_xludf.XLOOKUP(C153,STUDENTS!$A$5:$A$204,STUDENTS!$C$5:$C$204,""),"")</f>
        <v/>
      </c>
      <c r="E153" s="8" t="str">
        <f ca="1">IFERROR(_xludf.XLOOKUP(C153,STUDENTS!$A$5:$A$204,STUDENTS!$L$5:$L$204,""),"")</f>
        <v/>
      </c>
      <c r="F153" s="8"/>
      <c r="G153" s="12"/>
      <c r="H153" s="12"/>
      <c r="I153" s="11" t="str">
        <f t="shared" si="5"/>
        <v/>
      </c>
      <c r="J153" s="8"/>
    </row>
    <row r="154" spans="1:10" x14ac:dyDescent="0.2">
      <c r="A154" s="10" t="str">
        <f t="shared" si="4"/>
        <v/>
      </c>
      <c r="B154" s="9"/>
      <c r="C154" s="8"/>
      <c r="D154" s="8" t="str">
        <f ca="1">IFERROR(_xludf.XLOOKUP(C154,STUDENTS!$A$5:$A$204,STUDENTS!$C$5:$C$204,""),"")</f>
        <v/>
      </c>
      <c r="E154" s="8" t="str">
        <f ca="1">IFERROR(_xludf.XLOOKUP(C154,STUDENTS!$A$5:$A$204,STUDENTS!$L$5:$L$204,""),"")</f>
        <v/>
      </c>
      <c r="F154" s="8"/>
      <c r="G154" s="12"/>
      <c r="H154" s="12"/>
      <c r="I154" s="11" t="str">
        <f t="shared" si="5"/>
        <v/>
      </c>
      <c r="J154" s="8"/>
    </row>
    <row r="155" spans="1:10" x14ac:dyDescent="0.2">
      <c r="A155" s="10" t="str">
        <f t="shared" si="4"/>
        <v/>
      </c>
      <c r="B155" s="9"/>
      <c r="C155" s="8"/>
      <c r="D155" s="8" t="str">
        <f ca="1">IFERROR(_xludf.XLOOKUP(C155,STUDENTS!$A$5:$A$204,STUDENTS!$C$5:$C$204,""),"")</f>
        <v/>
      </c>
      <c r="E155" s="8" t="str">
        <f ca="1">IFERROR(_xludf.XLOOKUP(C155,STUDENTS!$A$5:$A$204,STUDENTS!$L$5:$L$204,""),"")</f>
        <v/>
      </c>
      <c r="F155" s="8"/>
      <c r="G155" s="12"/>
      <c r="H155" s="12"/>
      <c r="I155" s="11" t="str">
        <f t="shared" si="5"/>
        <v/>
      </c>
      <c r="J155" s="8"/>
    </row>
    <row r="156" spans="1:10" x14ac:dyDescent="0.2">
      <c r="A156" s="10" t="str">
        <f t="shared" si="4"/>
        <v/>
      </c>
      <c r="B156" s="9"/>
      <c r="C156" s="8"/>
      <c r="D156" s="8" t="str">
        <f ca="1">IFERROR(_xludf.XLOOKUP(C156,STUDENTS!$A$5:$A$204,STUDENTS!$C$5:$C$204,""),"")</f>
        <v/>
      </c>
      <c r="E156" s="8" t="str">
        <f ca="1">IFERROR(_xludf.XLOOKUP(C156,STUDENTS!$A$5:$A$204,STUDENTS!$L$5:$L$204,""),"")</f>
        <v/>
      </c>
      <c r="F156" s="8"/>
      <c r="G156" s="12"/>
      <c r="H156" s="12"/>
      <c r="I156" s="11" t="str">
        <f t="shared" si="5"/>
        <v/>
      </c>
      <c r="J156" s="8"/>
    </row>
    <row r="157" spans="1:10" x14ac:dyDescent="0.2">
      <c r="A157" s="10" t="str">
        <f t="shared" si="4"/>
        <v/>
      </c>
      <c r="B157" s="9"/>
      <c r="C157" s="8"/>
      <c r="D157" s="8" t="str">
        <f ca="1">IFERROR(_xludf.XLOOKUP(C157,STUDENTS!$A$5:$A$204,STUDENTS!$C$5:$C$204,""),"")</f>
        <v/>
      </c>
      <c r="E157" s="8" t="str">
        <f ca="1">IFERROR(_xludf.XLOOKUP(C157,STUDENTS!$A$5:$A$204,STUDENTS!$L$5:$L$204,""),"")</f>
        <v/>
      </c>
      <c r="F157" s="8"/>
      <c r="G157" s="12"/>
      <c r="H157" s="12"/>
      <c r="I157" s="11" t="str">
        <f t="shared" si="5"/>
        <v/>
      </c>
      <c r="J157" s="8"/>
    </row>
    <row r="158" spans="1:10" x14ac:dyDescent="0.2">
      <c r="A158" s="10" t="str">
        <f t="shared" si="4"/>
        <v/>
      </c>
      <c r="B158" s="9"/>
      <c r="C158" s="8"/>
      <c r="D158" s="8" t="str">
        <f ca="1">IFERROR(_xludf.XLOOKUP(C158,STUDENTS!$A$5:$A$204,STUDENTS!$C$5:$C$204,""),"")</f>
        <v/>
      </c>
      <c r="E158" s="8" t="str">
        <f ca="1">IFERROR(_xludf.XLOOKUP(C158,STUDENTS!$A$5:$A$204,STUDENTS!$L$5:$L$204,""),"")</f>
        <v/>
      </c>
      <c r="F158" s="8"/>
      <c r="G158" s="12"/>
      <c r="H158" s="12"/>
      <c r="I158" s="11" t="str">
        <f t="shared" si="5"/>
        <v/>
      </c>
      <c r="J158" s="8"/>
    </row>
    <row r="159" spans="1:10" x14ac:dyDescent="0.2">
      <c r="A159" s="10" t="str">
        <f t="shared" si="4"/>
        <v/>
      </c>
      <c r="B159" s="9"/>
      <c r="C159" s="8"/>
      <c r="D159" s="8" t="str">
        <f ca="1">IFERROR(_xludf.XLOOKUP(C159,STUDENTS!$A$5:$A$204,STUDENTS!$C$5:$C$204,""),"")</f>
        <v/>
      </c>
      <c r="E159" s="8" t="str">
        <f ca="1">IFERROR(_xludf.XLOOKUP(C159,STUDENTS!$A$5:$A$204,STUDENTS!$L$5:$L$204,""),"")</f>
        <v/>
      </c>
      <c r="F159" s="8"/>
      <c r="G159" s="12"/>
      <c r="H159" s="12"/>
      <c r="I159" s="11" t="str">
        <f t="shared" si="5"/>
        <v/>
      </c>
      <c r="J159" s="8"/>
    </row>
    <row r="160" spans="1:10" x14ac:dyDescent="0.2">
      <c r="A160" s="10" t="str">
        <f t="shared" si="4"/>
        <v/>
      </c>
      <c r="B160" s="9"/>
      <c r="C160" s="8"/>
      <c r="D160" s="8" t="str">
        <f ca="1">IFERROR(_xludf.XLOOKUP(C160,STUDENTS!$A$5:$A$204,STUDENTS!$C$5:$C$204,""),"")</f>
        <v/>
      </c>
      <c r="E160" s="8" t="str">
        <f ca="1">IFERROR(_xludf.XLOOKUP(C160,STUDENTS!$A$5:$A$204,STUDENTS!$L$5:$L$204,""),"")</f>
        <v/>
      </c>
      <c r="F160" s="8"/>
      <c r="G160" s="12"/>
      <c r="H160" s="12"/>
      <c r="I160" s="11" t="str">
        <f t="shared" si="5"/>
        <v/>
      </c>
      <c r="J160" s="8"/>
    </row>
    <row r="161" spans="1:10" x14ac:dyDescent="0.2">
      <c r="A161" s="10" t="str">
        <f t="shared" si="4"/>
        <v/>
      </c>
      <c r="B161" s="9"/>
      <c r="C161" s="8"/>
      <c r="D161" s="8" t="str">
        <f ca="1">IFERROR(_xludf.XLOOKUP(C161,STUDENTS!$A$5:$A$204,STUDENTS!$C$5:$C$204,""),"")</f>
        <v/>
      </c>
      <c r="E161" s="8" t="str">
        <f ca="1">IFERROR(_xludf.XLOOKUP(C161,STUDENTS!$A$5:$A$204,STUDENTS!$L$5:$L$204,""),"")</f>
        <v/>
      </c>
      <c r="F161" s="8"/>
      <c r="G161" s="12"/>
      <c r="H161" s="12"/>
      <c r="I161" s="11" t="str">
        <f t="shared" si="5"/>
        <v/>
      </c>
      <c r="J161" s="8"/>
    </row>
    <row r="162" spans="1:10" x14ac:dyDescent="0.2">
      <c r="A162" s="10" t="str">
        <f t="shared" si="4"/>
        <v/>
      </c>
      <c r="B162" s="9"/>
      <c r="C162" s="8"/>
      <c r="D162" s="8" t="str">
        <f ca="1">IFERROR(_xludf.XLOOKUP(C162,STUDENTS!$A$5:$A$204,STUDENTS!$C$5:$C$204,""),"")</f>
        <v/>
      </c>
      <c r="E162" s="8" t="str">
        <f ca="1">IFERROR(_xludf.XLOOKUP(C162,STUDENTS!$A$5:$A$204,STUDENTS!$L$5:$L$204,""),"")</f>
        <v/>
      </c>
      <c r="F162" s="8"/>
      <c r="G162" s="12"/>
      <c r="H162" s="12"/>
      <c r="I162" s="11" t="str">
        <f t="shared" si="5"/>
        <v/>
      </c>
      <c r="J162" s="8"/>
    </row>
    <row r="163" spans="1:10" x14ac:dyDescent="0.2">
      <c r="A163" s="10" t="str">
        <f t="shared" si="4"/>
        <v/>
      </c>
      <c r="B163" s="9"/>
      <c r="C163" s="8"/>
      <c r="D163" s="8" t="str">
        <f ca="1">IFERROR(_xludf.XLOOKUP(C163,STUDENTS!$A$5:$A$204,STUDENTS!$C$5:$C$204,""),"")</f>
        <v/>
      </c>
      <c r="E163" s="8" t="str">
        <f ca="1">IFERROR(_xludf.XLOOKUP(C163,STUDENTS!$A$5:$A$204,STUDENTS!$L$5:$L$204,""),"")</f>
        <v/>
      </c>
      <c r="F163" s="8"/>
      <c r="G163" s="12"/>
      <c r="H163" s="12"/>
      <c r="I163" s="11" t="str">
        <f t="shared" si="5"/>
        <v/>
      </c>
      <c r="J163" s="8"/>
    </row>
    <row r="164" spans="1:10" x14ac:dyDescent="0.2">
      <c r="A164" s="10" t="str">
        <f t="shared" si="4"/>
        <v/>
      </c>
      <c r="B164" s="9"/>
      <c r="C164" s="8"/>
      <c r="D164" s="8" t="str">
        <f ca="1">IFERROR(_xludf.XLOOKUP(C164,STUDENTS!$A$5:$A$204,STUDENTS!$C$5:$C$204,""),"")</f>
        <v/>
      </c>
      <c r="E164" s="8" t="str">
        <f ca="1">IFERROR(_xludf.XLOOKUP(C164,STUDENTS!$A$5:$A$204,STUDENTS!$L$5:$L$204,""),"")</f>
        <v/>
      </c>
      <c r="F164" s="8"/>
      <c r="G164" s="12"/>
      <c r="H164" s="12"/>
      <c r="I164" s="11" t="str">
        <f t="shared" si="5"/>
        <v/>
      </c>
      <c r="J164" s="8"/>
    </row>
    <row r="165" spans="1:10" x14ac:dyDescent="0.2">
      <c r="A165" s="10" t="str">
        <f t="shared" si="4"/>
        <v/>
      </c>
      <c r="B165" s="9"/>
      <c r="C165" s="8"/>
      <c r="D165" s="8" t="str">
        <f ca="1">IFERROR(_xludf.XLOOKUP(C165,STUDENTS!$A$5:$A$204,STUDENTS!$C$5:$C$204,""),"")</f>
        <v/>
      </c>
      <c r="E165" s="8" t="str">
        <f ca="1">IFERROR(_xludf.XLOOKUP(C165,STUDENTS!$A$5:$A$204,STUDENTS!$L$5:$L$204,""),"")</f>
        <v/>
      </c>
      <c r="F165" s="8"/>
      <c r="G165" s="12"/>
      <c r="H165" s="12"/>
      <c r="I165" s="11" t="str">
        <f t="shared" si="5"/>
        <v/>
      </c>
      <c r="J165" s="8"/>
    </row>
    <row r="166" spans="1:10" x14ac:dyDescent="0.2">
      <c r="A166" s="10" t="str">
        <f t="shared" si="4"/>
        <v/>
      </c>
      <c r="B166" s="9"/>
      <c r="C166" s="8"/>
      <c r="D166" s="8" t="str">
        <f ca="1">IFERROR(_xludf.XLOOKUP(C166,STUDENTS!$A$5:$A$204,STUDENTS!$C$5:$C$204,""),"")</f>
        <v/>
      </c>
      <c r="E166" s="8" t="str">
        <f ca="1">IFERROR(_xludf.XLOOKUP(C166,STUDENTS!$A$5:$A$204,STUDENTS!$L$5:$L$204,""),"")</f>
        <v/>
      </c>
      <c r="F166" s="8"/>
      <c r="G166" s="12"/>
      <c r="H166" s="12"/>
      <c r="I166" s="11" t="str">
        <f t="shared" si="5"/>
        <v/>
      </c>
      <c r="J166" s="8"/>
    </row>
    <row r="167" spans="1:10" x14ac:dyDescent="0.2">
      <c r="A167" s="10" t="str">
        <f t="shared" si="4"/>
        <v/>
      </c>
      <c r="B167" s="9"/>
      <c r="C167" s="8"/>
      <c r="D167" s="8" t="str">
        <f ca="1">IFERROR(_xludf.XLOOKUP(C167,STUDENTS!$A$5:$A$204,STUDENTS!$C$5:$C$204,""),"")</f>
        <v/>
      </c>
      <c r="E167" s="8" t="str">
        <f ca="1">IFERROR(_xludf.XLOOKUP(C167,STUDENTS!$A$5:$A$204,STUDENTS!$L$5:$L$204,""),"")</f>
        <v/>
      </c>
      <c r="F167" s="8"/>
      <c r="G167" s="12"/>
      <c r="H167" s="12"/>
      <c r="I167" s="11" t="str">
        <f t="shared" si="5"/>
        <v/>
      </c>
      <c r="J167" s="8"/>
    </row>
    <row r="168" spans="1:10" x14ac:dyDescent="0.2">
      <c r="A168" s="10" t="str">
        <f t="shared" si="4"/>
        <v/>
      </c>
      <c r="B168" s="9"/>
      <c r="C168" s="8"/>
      <c r="D168" s="8" t="str">
        <f ca="1">IFERROR(_xludf.XLOOKUP(C168,STUDENTS!$A$5:$A$204,STUDENTS!$C$5:$C$204,""),"")</f>
        <v/>
      </c>
      <c r="E168" s="8" t="str">
        <f ca="1">IFERROR(_xludf.XLOOKUP(C168,STUDENTS!$A$5:$A$204,STUDENTS!$L$5:$L$204,""),"")</f>
        <v/>
      </c>
      <c r="F168" s="8"/>
      <c r="G168" s="12"/>
      <c r="H168" s="12"/>
      <c r="I168" s="11" t="str">
        <f t="shared" si="5"/>
        <v/>
      </c>
      <c r="J168" s="8"/>
    </row>
    <row r="169" spans="1:10" x14ac:dyDescent="0.2">
      <c r="A169" s="10" t="str">
        <f t="shared" si="4"/>
        <v/>
      </c>
      <c r="B169" s="9"/>
      <c r="C169" s="8"/>
      <c r="D169" s="8" t="str">
        <f ca="1">IFERROR(_xludf.XLOOKUP(C169,STUDENTS!$A$5:$A$204,STUDENTS!$C$5:$C$204,""),"")</f>
        <v/>
      </c>
      <c r="E169" s="8" t="str">
        <f ca="1">IFERROR(_xludf.XLOOKUP(C169,STUDENTS!$A$5:$A$204,STUDENTS!$L$5:$L$204,""),"")</f>
        <v/>
      </c>
      <c r="F169" s="8"/>
      <c r="G169" s="12"/>
      <c r="H169" s="12"/>
      <c r="I169" s="11" t="str">
        <f t="shared" si="5"/>
        <v/>
      </c>
      <c r="J169" s="8"/>
    </row>
    <row r="170" spans="1:10" x14ac:dyDescent="0.2">
      <c r="A170" s="10" t="str">
        <f t="shared" si="4"/>
        <v/>
      </c>
      <c r="B170" s="9"/>
      <c r="C170" s="8"/>
      <c r="D170" s="8" t="str">
        <f ca="1">IFERROR(_xludf.XLOOKUP(C170,STUDENTS!$A$5:$A$204,STUDENTS!$C$5:$C$204,""),"")</f>
        <v/>
      </c>
      <c r="E170" s="8" t="str">
        <f ca="1">IFERROR(_xludf.XLOOKUP(C170,STUDENTS!$A$5:$A$204,STUDENTS!$L$5:$L$204,""),"")</f>
        <v/>
      </c>
      <c r="F170" s="8"/>
      <c r="G170" s="12"/>
      <c r="H170" s="12"/>
      <c r="I170" s="11" t="str">
        <f t="shared" si="5"/>
        <v/>
      </c>
      <c r="J170" s="8"/>
    </row>
    <row r="171" spans="1:10" x14ac:dyDescent="0.2">
      <c r="A171" s="10" t="str">
        <f t="shared" si="4"/>
        <v/>
      </c>
      <c r="B171" s="9"/>
      <c r="C171" s="8"/>
      <c r="D171" s="8" t="str">
        <f ca="1">IFERROR(_xludf.XLOOKUP(C171,STUDENTS!$A$5:$A$204,STUDENTS!$C$5:$C$204,""),"")</f>
        <v/>
      </c>
      <c r="E171" s="8" t="str">
        <f ca="1">IFERROR(_xludf.XLOOKUP(C171,STUDENTS!$A$5:$A$204,STUDENTS!$L$5:$L$204,""),"")</f>
        <v/>
      </c>
      <c r="F171" s="8"/>
      <c r="G171" s="12"/>
      <c r="H171" s="12"/>
      <c r="I171" s="11" t="str">
        <f t="shared" si="5"/>
        <v/>
      </c>
      <c r="J171" s="8"/>
    </row>
    <row r="172" spans="1:10" x14ac:dyDescent="0.2">
      <c r="A172" s="10" t="str">
        <f t="shared" si="4"/>
        <v/>
      </c>
      <c r="B172" s="9"/>
      <c r="C172" s="8"/>
      <c r="D172" s="8" t="str">
        <f ca="1">IFERROR(_xludf.XLOOKUP(C172,STUDENTS!$A$5:$A$204,STUDENTS!$C$5:$C$204,""),"")</f>
        <v/>
      </c>
      <c r="E172" s="8" t="str">
        <f ca="1">IFERROR(_xludf.XLOOKUP(C172,STUDENTS!$A$5:$A$204,STUDENTS!$L$5:$L$204,""),"")</f>
        <v/>
      </c>
      <c r="F172" s="8"/>
      <c r="G172" s="12"/>
      <c r="H172" s="12"/>
      <c r="I172" s="11" t="str">
        <f t="shared" si="5"/>
        <v/>
      </c>
      <c r="J172" s="8"/>
    </row>
    <row r="173" spans="1:10" x14ac:dyDescent="0.2">
      <c r="A173" s="10" t="str">
        <f t="shared" si="4"/>
        <v/>
      </c>
      <c r="B173" s="9"/>
      <c r="C173" s="8"/>
      <c r="D173" s="8" t="str">
        <f ca="1">IFERROR(_xludf.XLOOKUP(C173,STUDENTS!$A$5:$A$204,STUDENTS!$C$5:$C$204,""),"")</f>
        <v/>
      </c>
      <c r="E173" s="8" t="str">
        <f ca="1">IFERROR(_xludf.XLOOKUP(C173,STUDENTS!$A$5:$A$204,STUDENTS!$L$5:$L$204,""),"")</f>
        <v/>
      </c>
      <c r="F173" s="8"/>
      <c r="G173" s="12"/>
      <c r="H173" s="12"/>
      <c r="I173" s="11" t="str">
        <f t="shared" si="5"/>
        <v/>
      </c>
      <c r="J173" s="8"/>
    </row>
    <row r="174" spans="1:10" x14ac:dyDescent="0.2">
      <c r="A174" s="10" t="str">
        <f t="shared" si="4"/>
        <v/>
      </c>
      <c r="B174" s="9"/>
      <c r="C174" s="8"/>
      <c r="D174" s="8" t="str">
        <f ca="1">IFERROR(_xludf.XLOOKUP(C174,STUDENTS!$A$5:$A$204,STUDENTS!$C$5:$C$204,""),"")</f>
        <v/>
      </c>
      <c r="E174" s="8" t="str">
        <f ca="1">IFERROR(_xludf.XLOOKUP(C174,STUDENTS!$A$5:$A$204,STUDENTS!$L$5:$L$204,""),"")</f>
        <v/>
      </c>
      <c r="F174" s="8"/>
      <c r="G174" s="12"/>
      <c r="H174" s="12"/>
      <c r="I174" s="11" t="str">
        <f t="shared" si="5"/>
        <v/>
      </c>
      <c r="J174" s="8"/>
    </row>
    <row r="175" spans="1:10" x14ac:dyDescent="0.2">
      <c r="A175" s="10" t="str">
        <f t="shared" si="4"/>
        <v/>
      </c>
      <c r="B175" s="9"/>
      <c r="C175" s="8"/>
      <c r="D175" s="8" t="str">
        <f ca="1">IFERROR(_xludf.XLOOKUP(C175,STUDENTS!$A$5:$A$204,STUDENTS!$C$5:$C$204,""),"")</f>
        <v/>
      </c>
      <c r="E175" s="8" t="str">
        <f ca="1">IFERROR(_xludf.XLOOKUP(C175,STUDENTS!$A$5:$A$204,STUDENTS!$L$5:$L$204,""),"")</f>
        <v/>
      </c>
      <c r="F175" s="8"/>
      <c r="G175" s="12"/>
      <c r="H175" s="12"/>
      <c r="I175" s="11" t="str">
        <f t="shared" si="5"/>
        <v/>
      </c>
      <c r="J175" s="8"/>
    </row>
    <row r="176" spans="1:10" x14ac:dyDescent="0.2">
      <c r="A176" s="10" t="str">
        <f t="shared" si="4"/>
        <v/>
      </c>
      <c r="B176" s="9"/>
      <c r="C176" s="8"/>
      <c r="D176" s="8" t="str">
        <f ca="1">IFERROR(_xludf.XLOOKUP(C176,STUDENTS!$A$5:$A$204,STUDENTS!$C$5:$C$204,""),"")</f>
        <v/>
      </c>
      <c r="E176" s="8" t="str">
        <f ca="1">IFERROR(_xludf.XLOOKUP(C176,STUDENTS!$A$5:$A$204,STUDENTS!$L$5:$L$204,""),"")</f>
        <v/>
      </c>
      <c r="F176" s="8"/>
      <c r="G176" s="12"/>
      <c r="H176" s="12"/>
      <c r="I176" s="11" t="str">
        <f t="shared" si="5"/>
        <v/>
      </c>
      <c r="J176" s="8"/>
    </row>
    <row r="177" spans="1:10" x14ac:dyDescent="0.2">
      <c r="A177" s="10" t="str">
        <f t="shared" si="4"/>
        <v/>
      </c>
      <c r="B177" s="9"/>
      <c r="C177" s="8"/>
      <c r="D177" s="8" t="str">
        <f ca="1">IFERROR(_xludf.XLOOKUP(C177,STUDENTS!$A$5:$A$204,STUDENTS!$C$5:$C$204,""),"")</f>
        <v/>
      </c>
      <c r="E177" s="8" t="str">
        <f ca="1">IFERROR(_xludf.XLOOKUP(C177,STUDENTS!$A$5:$A$204,STUDENTS!$L$5:$L$204,""),"")</f>
        <v/>
      </c>
      <c r="F177" s="8"/>
      <c r="G177" s="12"/>
      <c r="H177" s="12"/>
      <c r="I177" s="11" t="str">
        <f t="shared" si="5"/>
        <v/>
      </c>
      <c r="J177" s="8"/>
    </row>
    <row r="178" spans="1:10" x14ac:dyDescent="0.2">
      <c r="A178" s="10" t="str">
        <f t="shared" si="4"/>
        <v/>
      </c>
      <c r="B178" s="9"/>
      <c r="C178" s="8"/>
      <c r="D178" s="8" t="str">
        <f ca="1">IFERROR(_xludf.XLOOKUP(C178,STUDENTS!$A$5:$A$204,STUDENTS!$C$5:$C$204,""),"")</f>
        <v/>
      </c>
      <c r="E178" s="8" t="str">
        <f ca="1">IFERROR(_xludf.XLOOKUP(C178,STUDENTS!$A$5:$A$204,STUDENTS!$L$5:$L$204,""),"")</f>
        <v/>
      </c>
      <c r="F178" s="8"/>
      <c r="G178" s="12"/>
      <c r="H178" s="12"/>
      <c r="I178" s="11" t="str">
        <f t="shared" si="5"/>
        <v/>
      </c>
      <c r="J178" s="8"/>
    </row>
    <row r="179" spans="1:10" x14ac:dyDescent="0.2">
      <c r="A179" s="10" t="str">
        <f t="shared" si="4"/>
        <v/>
      </c>
      <c r="B179" s="9"/>
      <c r="C179" s="8"/>
      <c r="D179" s="8" t="str">
        <f ca="1">IFERROR(_xludf.XLOOKUP(C179,STUDENTS!$A$5:$A$204,STUDENTS!$C$5:$C$204,""),"")</f>
        <v/>
      </c>
      <c r="E179" s="8" t="str">
        <f ca="1">IFERROR(_xludf.XLOOKUP(C179,STUDENTS!$A$5:$A$204,STUDENTS!$L$5:$L$204,""),"")</f>
        <v/>
      </c>
      <c r="F179" s="8"/>
      <c r="G179" s="12"/>
      <c r="H179" s="12"/>
      <c r="I179" s="11" t="str">
        <f t="shared" si="5"/>
        <v/>
      </c>
      <c r="J179" s="8"/>
    </row>
    <row r="180" spans="1:10" x14ac:dyDescent="0.2">
      <c r="A180" s="10" t="str">
        <f t="shared" si="4"/>
        <v/>
      </c>
      <c r="B180" s="9"/>
      <c r="C180" s="8"/>
      <c r="D180" s="8" t="str">
        <f ca="1">IFERROR(_xludf.XLOOKUP(C180,STUDENTS!$A$5:$A$204,STUDENTS!$C$5:$C$204,""),"")</f>
        <v/>
      </c>
      <c r="E180" s="8" t="str">
        <f ca="1">IFERROR(_xludf.XLOOKUP(C180,STUDENTS!$A$5:$A$204,STUDENTS!$L$5:$L$204,""),"")</f>
        <v/>
      </c>
      <c r="F180" s="8"/>
      <c r="G180" s="12"/>
      <c r="H180" s="12"/>
      <c r="I180" s="11" t="str">
        <f t="shared" si="5"/>
        <v/>
      </c>
      <c r="J180" s="8"/>
    </row>
    <row r="181" spans="1:10" x14ac:dyDescent="0.2">
      <c r="A181" s="10" t="str">
        <f t="shared" si="4"/>
        <v/>
      </c>
      <c r="B181" s="9"/>
      <c r="C181" s="8"/>
      <c r="D181" s="8" t="str">
        <f ca="1">IFERROR(_xludf.XLOOKUP(C181,STUDENTS!$A$5:$A$204,STUDENTS!$C$5:$C$204,""),"")</f>
        <v/>
      </c>
      <c r="E181" s="8" t="str">
        <f ca="1">IFERROR(_xludf.XLOOKUP(C181,STUDENTS!$A$5:$A$204,STUDENTS!$L$5:$L$204,""),"")</f>
        <v/>
      </c>
      <c r="F181" s="8"/>
      <c r="G181" s="12"/>
      <c r="H181" s="12"/>
      <c r="I181" s="11" t="str">
        <f t="shared" si="5"/>
        <v/>
      </c>
      <c r="J181" s="8"/>
    </row>
    <row r="182" spans="1:10" x14ac:dyDescent="0.2">
      <c r="A182" s="10" t="str">
        <f t="shared" si="4"/>
        <v/>
      </c>
      <c r="B182" s="9"/>
      <c r="C182" s="8"/>
      <c r="D182" s="8" t="str">
        <f ca="1">IFERROR(_xludf.XLOOKUP(C182,STUDENTS!$A$5:$A$204,STUDENTS!$C$5:$C$204,""),"")</f>
        <v/>
      </c>
      <c r="E182" s="8" t="str">
        <f ca="1">IFERROR(_xludf.XLOOKUP(C182,STUDENTS!$A$5:$A$204,STUDENTS!$L$5:$L$204,""),"")</f>
        <v/>
      </c>
      <c r="F182" s="8"/>
      <c r="G182" s="12"/>
      <c r="H182" s="12"/>
      <c r="I182" s="11" t="str">
        <f t="shared" si="5"/>
        <v/>
      </c>
      <c r="J182" s="8"/>
    </row>
    <row r="183" spans="1:10" x14ac:dyDescent="0.2">
      <c r="A183" s="10" t="str">
        <f t="shared" si="4"/>
        <v/>
      </c>
      <c r="B183" s="9"/>
      <c r="C183" s="8"/>
      <c r="D183" s="8" t="str">
        <f ca="1">IFERROR(_xludf.XLOOKUP(C183,STUDENTS!$A$5:$A$204,STUDENTS!$C$5:$C$204,""),"")</f>
        <v/>
      </c>
      <c r="E183" s="8" t="str">
        <f ca="1">IFERROR(_xludf.XLOOKUP(C183,STUDENTS!$A$5:$A$204,STUDENTS!$L$5:$L$204,""),"")</f>
        <v/>
      </c>
      <c r="F183" s="8"/>
      <c r="G183" s="12"/>
      <c r="H183" s="12"/>
      <c r="I183" s="11" t="str">
        <f t="shared" si="5"/>
        <v/>
      </c>
      <c r="J183" s="8"/>
    </row>
    <row r="184" spans="1:10" x14ac:dyDescent="0.2">
      <c r="A184" s="10" t="str">
        <f t="shared" si="4"/>
        <v/>
      </c>
      <c r="B184" s="9"/>
      <c r="C184" s="8"/>
      <c r="D184" s="8" t="str">
        <f ca="1">IFERROR(_xludf.XLOOKUP(C184,STUDENTS!$A$5:$A$204,STUDENTS!$C$5:$C$204,""),"")</f>
        <v/>
      </c>
      <c r="E184" s="8" t="str">
        <f ca="1">IFERROR(_xludf.XLOOKUP(C184,STUDENTS!$A$5:$A$204,STUDENTS!$L$5:$L$204,""),"")</f>
        <v/>
      </c>
      <c r="F184" s="8"/>
      <c r="G184" s="12"/>
      <c r="H184" s="12"/>
      <c r="I184" s="11" t="str">
        <f t="shared" si="5"/>
        <v/>
      </c>
      <c r="J184" s="8"/>
    </row>
    <row r="185" spans="1:10" x14ac:dyDescent="0.2">
      <c r="A185" s="10" t="str">
        <f t="shared" si="4"/>
        <v/>
      </c>
      <c r="B185" s="9"/>
      <c r="C185" s="8"/>
      <c r="D185" s="8" t="str">
        <f ca="1">IFERROR(_xludf.XLOOKUP(C185,STUDENTS!$A$5:$A$204,STUDENTS!$C$5:$C$204,""),"")</f>
        <v/>
      </c>
      <c r="E185" s="8" t="str">
        <f ca="1">IFERROR(_xludf.XLOOKUP(C185,STUDENTS!$A$5:$A$204,STUDENTS!$L$5:$L$204,""),"")</f>
        <v/>
      </c>
      <c r="F185" s="8"/>
      <c r="G185" s="12"/>
      <c r="H185" s="12"/>
      <c r="I185" s="11" t="str">
        <f t="shared" si="5"/>
        <v/>
      </c>
      <c r="J185" s="8"/>
    </row>
    <row r="186" spans="1:10" x14ac:dyDescent="0.2">
      <c r="A186" s="10" t="str">
        <f t="shared" si="4"/>
        <v/>
      </c>
      <c r="B186" s="9"/>
      <c r="C186" s="8"/>
      <c r="D186" s="8" t="str">
        <f ca="1">IFERROR(_xludf.XLOOKUP(C186,STUDENTS!$A$5:$A$204,STUDENTS!$C$5:$C$204,""),"")</f>
        <v/>
      </c>
      <c r="E186" s="8" t="str">
        <f ca="1">IFERROR(_xludf.XLOOKUP(C186,STUDENTS!$A$5:$A$204,STUDENTS!$L$5:$L$204,""),"")</f>
        <v/>
      </c>
      <c r="F186" s="8"/>
      <c r="G186" s="12"/>
      <c r="H186" s="12"/>
      <c r="I186" s="11" t="str">
        <f t="shared" si="5"/>
        <v/>
      </c>
      <c r="J186" s="8"/>
    </row>
    <row r="187" spans="1:10" x14ac:dyDescent="0.2">
      <c r="A187" s="10" t="str">
        <f t="shared" si="4"/>
        <v/>
      </c>
      <c r="B187" s="9"/>
      <c r="C187" s="8"/>
      <c r="D187" s="8" t="str">
        <f ca="1">IFERROR(_xludf.XLOOKUP(C187,STUDENTS!$A$5:$A$204,STUDENTS!$C$5:$C$204,""),"")</f>
        <v/>
      </c>
      <c r="E187" s="8" t="str">
        <f ca="1">IFERROR(_xludf.XLOOKUP(C187,STUDENTS!$A$5:$A$204,STUDENTS!$L$5:$L$204,""),"")</f>
        <v/>
      </c>
      <c r="F187" s="8"/>
      <c r="G187" s="12"/>
      <c r="H187" s="12"/>
      <c r="I187" s="11" t="str">
        <f t="shared" si="5"/>
        <v/>
      </c>
      <c r="J187" s="8"/>
    </row>
    <row r="188" spans="1:10" x14ac:dyDescent="0.2">
      <c r="A188" s="10" t="str">
        <f t="shared" si="4"/>
        <v/>
      </c>
      <c r="B188" s="9"/>
      <c r="C188" s="8"/>
      <c r="D188" s="8" t="str">
        <f ca="1">IFERROR(_xludf.XLOOKUP(C188,STUDENTS!$A$5:$A$204,STUDENTS!$C$5:$C$204,""),"")</f>
        <v/>
      </c>
      <c r="E188" s="8" t="str">
        <f ca="1">IFERROR(_xludf.XLOOKUP(C188,STUDENTS!$A$5:$A$204,STUDENTS!$L$5:$L$204,""),"")</f>
        <v/>
      </c>
      <c r="F188" s="8"/>
      <c r="G188" s="12"/>
      <c r="H188" s="12"/>
      <c r="I188" s="11" t="str">
        <f t="shared" si="5"/>
        <v/>
      </c>
      <c r="J188" s="8"/>
    </row>
    <row r="189" spans="1:10" x14ac:dyDescent="0.2">
      <c r="A189" s="10" t="str">
        <f t="shared" si="4"/>
        <v/>
      </c>
      <c r="B189" s="9"/>
      <c r="C189" s="8"/>
      <c r="D189" s="8" t="str">
        <f ca="1">IFERROR(_xludf.XLOOKUP(C189,STUDENTS!$A$5:$A$204,STUDENTS!$C$5:$C$204,""),"")</f>
        <v/>
      </c>
      <c r="E189" s="8" t="str">
        <f ca="1">IFERROR(_xludf.XLOOKUP(C189,STUDENTS!$A$5:$A$204,STUDENTS!$L$5:$L$204,""),"")</f>
        <v/>
      </c>
      <c r="F189" s="8"/>
      <c r="G189" s="12"/>
      <c r="H189" s="12"/>
      <c r="I189" s="11" t="str">
        <f t="shared" si="5"/>
        <v/>
      </c>
      <c r="J189" s="8"/>
    </row>
    <row r="190" spans="1:10" x14ac:dyDescent="0.2">
      <c r="A190" s="10" t="str">
        <f t="shared" si="4"/>
        <v/>
      </c>
      <c r="B190" s="9"/>
      <c r="C190" s="8"/>
      <c r="D190" s="8" t="str">
        <f ca="1">IFERROR(_xludf.XLOOKUP(C190,STUDENTS!$A$5:$A$204,STUDENTS!$C$5:$C$204,""),"")</f>
        <v/>
      </c>
      <c r="E190" s="8" t="str">
        <f ca="1">IFERROR(_xludf.XLOOKUP(C190,STUDENTS!$A$5:$A$204,STUDENTS!$L$5:$L$204,""),"")</f>
        <v/>
      </c>
      <c r="F190" s="8"/>
      <c r="G190" s="12"/>
      <c r="H190" s="12"/>
      <c r="I190" s="11" t="str">
        <f t="shared" si="5"/>
        <v/>
      </c>
      <c r="J190" s="8"/>
    </row>
    <row r="191" spans="1:10" x14ac:dyDescent="0.2">
      <c r="A191" s="10" t="str">
        <f t="shared" si="4"/>
        <v/>
      </c>
      <c r="B191" s="9"/>
      <c r="C191" s="8"/>
      <c r="D191" s="8" t="str">
        <f ca="1">IFERROR(_xludf.XLOOKUP(C191,STUDENTS!$A$5:$A$204,STUDENTS!$C$5:$C$204,""),"")</f>
        <v/>
      </c>
      <c r="E191" s="8" t="str">
        <f ca="1">IFERROR(_xludf.XLOOKUP(C191,STUDENTS!$A$5:$A$204,STUDENTS!$L$5:$L$204,""),"")</f>
        <v/>
      </c>
      <c r="F191" s="8"/>
      <c r="G191" s="12"/>
      <c r="H191" s="12"/>
      <c r="I191" s="11" t="str">
        <f t="shared" si="5"/>
        <v/>
      </c>
      <c r="J191" s="8"/>
    </row>
    <row r="192" spans="1:10" x14ac:dyDescent="0.2">
      <c r="A192" s="10" t="str">
        <f t="shared" si="4"/>
        <v/>
      </c>
      <c r="B192" s="9"/>
      <c r="C192" s="8"/>
      <c r="D192" s="8" t="str">
        <f ca="1">IFERROR(_xludf.XLOOKUP(C192,STUDENTS!$A$5:$A$204,STUDENTS!$C$5:$C$204,""),"")</f>
        <v/>
      </c>
      <c r="E192" s="8" t="str">
        <f ca="1">IFERROR(_xludf.XLOOKUP(C192,STUDENTS!$A$5:$A$204,STUDENTS!$L$5:$L$204,""),"")</f>
        <v/>
      </c>
      <c r="F192" s="8"/>
      <c r="G192" s="12"/>
      <c r="H192" s="12"/>
      <c r="I192" s="11" t="str">
        <f t="shared" si="5"/>
        <v/>
      </c>
      <c r="J192" s="8"/>
    </row>
    <row r="193" spans="1:10" x14ac:dyDescent="0.2">
      <c r="A193" s="10" t="str">
        <f t="shared" si="4"/>
        <v/>
      </c>
      <c r="B193" s="9"/>
      <c r="C193" s="8"/>
      <c r="D193" s="8" t="str">
        <f ca="1">IFERROR(_xludf.XLOOKUP(C193,STUDENTS!$A$5:$A$204,STUDENTS!$C$5:$C$204,""),"")</f>
        <v/>
      </c>
      <c r="E193" s="8" t="str">
        <f ca="1">IFERROR(_xludf.XLOOKUP(C193,STUDENTS!$A$5:$A$204,STUDENTS!$L$5:$L$204,""),"")</f>
        <v/>
      </c>
      <c r="F193" s="8"/>
      <c r="G193" s="12"/>
      <c r="H193" s="12"/>
      <c r="I193" s="11" t="str">
        <f t="shared" si="5"/>
        <v/>
      </c>
      <c r="J193" s="8"/>
    </row>
    <row r="194" spans="1:10" x14ac:dyDescent="0.2">
      <c r="A194" s="10" t="str">
        <f t="shared" si="4"/>
        <v/>
      </c>
      <c r="B194" s="9"/>
      <c r="C194" s="8"/>
      <c r="D194" s="8" t="str">
        <f ca="1">IFERROR(_xludf.XLOOKUP(C194,STUDENTS!$A$5:$A$204,STUDENTS!$C$5:$C$204,""),"")</f>
        <v/>
      </c>
      <c r="E194" s="8" t="str">
        <f ca="1">IFERROR(_xludf.XLOOKUP(C194,STUDENTS!$A$5:$A$204,STUDENTS!$L$5:$L$204,""),"")</f>
        <v/>
      </c>
      <c r="F194" s="8"/>
      <c r="G194" s="12"/>
      <c r="H194" s="12"/>
      <c r="I194" s="11" t="str">
        <f t="shared" si="5"/>
        <v/>
      </c>
      <c r="J194" s="8"/>
    </row>
    <row r="195" spans="1:10" x14ac:dyDescent="0.2">
      <c r="A195" s="10" t="str">
        <f t="shared" si="4"/>
        <v/>
      </c>
      <c r="B195" s="9"/>
      <c r="C195" s="8"/>
      <c r="D195" s="8" t="str">
        <f ca="1">IFERROR(_xludf.XLOOKUP(C195,STUDENTS!$A$5:$A$204,STUDENTS!$C$5:$C$204,""),"")</f>
        <v/>
      </c>
      <c r="E195" s="8" t="str">
        <f ca="1">IFERROR(_xludf.XLOOKUP(C195,STUDENTS!$A$5:$A$204,STUDENTS!$L$5:$L$204,""),"")</f>
        <v/>
      </c>
      <c r="F195" s="8"/>
      <c r="G195" s="12"/>
      <c r="H195" s="12"/>
      <c r="I195" s="11" t="str">
        <f t="shared" si="5"/>
        <v/>
      </c>
      <c r="J195" s="8"/>
    </row>
    <row r="196" spans="1:10" x14ac:dyDescent="0.2">
      <c r="A196" s="10" t="str">
        <f t="shared" si="4"/>
        <v/>
      </c>
      <c r="B196" s="9"/>
      <c r="C196" s="8"/>
      <c r="D196" s="8" t="str">
        <f ca="1">IFERROR(_xludf.XLOOKUP(C196,STUDENTS!$A$5:$A$204,STUDENTS!$C$5:$C$204,""),"")</f>
        <v/>
      </c>
      <c r="E196" s="8" t="str">
        <f ca="1">IFERROR(_xludf.XLOOKUP(C196,STUDENTS!$A$5:$A$204,STUDENTS!$L$5:$L$204,""),"")</f>
        <v/>
      </c>
      <c r="F196" s="8"/>
      <c r="G196" s="12"/>
      <c r="H196" s="12"/>
      <c r="I196" s="11" t="str">
        <f t="shared" si="5"/>
        <v/>
      </c>
      <c r="J196" s="8"/>
    </row>
    <row r="197" spans="1:10" x14ac:dyDescent="0.2">
      <c r="A197" s="10" t="str">
        <f t="shared" ref="A197:A260" si="6">IF(C197="","","EX-"&amp;TEXT(ROW()-4,"00000"))</f>
        <v/>
      </c>
      <c r="B197" s="9"/>
      <c r="C197" s="8"/>
      <c r="D197" s="8" t="str">
        <f ca="1">IFERROR(_xludf.XLOOKUP(C197,STUDENTS!$A$5:$A$204,STUDENTS!$C$5:$C$204,""),"")</f>
        <v/>
      </c>
      <c r="E197" s="8" t="str">
        <f ca="1">IFERROR(_xludf.XLOOKUP(C197,STUDENTS!$A$5:$A$204,STUDENTS!$L$5:$L$204,""),"")</f>
        <v/>
      </c>
      <c r="F197" s="8"/>
      <c r="G197" s="12"/>
      <c r="H197" s="12"/>
      <c r="I197" s="11" t="str">
        <f t="shared" ref="I197:I260" si="7">IF(G197="","",G197-H197)</f>
        <v/>
      </c>
      <c r="J197" s="8"/>
    </row>
    <row r="198" spans="1:10" x14ac:dyDescent="0.2">
      <c r="A198" s="10" t="str">
        <f t="shared" si="6"/>
        <v/>
      </c>
      <c r="B198" s="9"/>
      <c r="C198" s="8"/>
      <c r="D198" s="8" t="str">
        <f ca="1">IFERROR(_xludf.XLOOKUP(C198,STUDENTS!$A$5:$A$204,STUDENTS!$C$5:$C$204,""),"")</f>
        <v/>
      </c>
      <c r="E198" s="8" t="str">
        <f ca="1">IFERROR(_xludf.XLOOKUP(C198,STUDENTS!$A$5:$A$204,STUDENTS!$L$5:$L$204,""),"")</f>
        <v/>
      </c>
      <c r="F198" s="8"/>
      <c r="G198" s="12"/>
      <c r="H198" s="12"/>
      <c r="I198" s="11" t="str">
        <f t="shared" si="7"/>
        <v/>
      </c>
      <c r="J198" s="8"/>
    </row>
    <row r="199" spans="1:10" x14ac:dyDescent="0.2">
      <c r="A199" s="10" t="str">
        <f t="shared" si="6"/>
        <v/>
      </c>
      <c r="B199" s="9"/>
      <c r="C199" s="8"/>
      <c r="D199" s="8" t="str">
        <f ca="1">IFERROR(_xludf.XLOOKUP(C199,STUDENTS!$A$5:$A$204,STUDENTS!$C$5:$C$204,""),"")</f>
        <v/>
      </c>
      <c r="E199" s="8" t="str">
        <f ca="1">IFERROR(_xludf.XLOOKUP(C199,STUDENTS!$A$5:$A$204,STUDENTS!$L$5:$L$204,""),"")</f>
        <v/>
      </c>
      <c r="F199" s="8"/>
      <c r="G199" s="12"/>
      <c r="H199" s="12"/>
      <c r="I199" s="11" t="str">
        <f t="shared" si="7"/>
        <v/>
      </c>
      <c r="J199" s="8"/>
    </row>
    <row r="200" spans="1:10" x14ac:dyDescent="0.2">
      <c r="A200" s="10" t="str">
        <f t="shared" si="6"/>
        <v/>
      </c>
      <c r="B200" s="9"/>
      <c r="C200" s="8"/>
      <c r="D200" s="8" t="str">
        <f ca="1">IFERROR(_xludf.XLOOKUP(C200,STUDENTS!$A$5:$A$204,STUDENTS!$C$5:$C$204,""),"")</f>
        <v/>
      </c>
      <c r="E200" s="8" t="str">
        <f ca="1">IFERROR(_xludf.XLOOKUP(C200,STUDENTS!$A$5:$A$204,STUDENTS!$L$5:$L$204,""),"")</f>
        <v/>
      </c>
      <c r="F200" s="8"/>
      <c r="G200" s="12"/>
      <c r="H200" s="12"/>
      <c r="I200" s="11" t="str">
        <f t="shared" si="7"/>
        <v/>
      </c>
      <c r="J200" s="8"/>
    </row>
    <row r="201" spans="1:10" x14ac:dyDescent="0.2">
      <c r="A201" s="10" t="str">
        <f t="shared" si="6"/>
        <v/>
      </c>
      <c r="B201" s="9"/>
      <c r="C201" s="8"/>
      <c r="D201" s="8" t="str">
        <f ca="1">IFERROR(_xludf.XLOOKUP(C201,STUDENTS!$A$5:$A$204,STUDENTS!$C$5:$C$204,""),"")</f>
        <v/>
      </c>
      <c r="E201" s="8" t="str">
        <f ca="1">IFERROR(_xludf.XLOOKUP(C201,STUDENTS!$A$5:$A$204,STUDENTS!$L$5:$L$204,""),"")</f>
        <v/>
      </c>
      <c r="F201" s="8"/>
      <c r="G201" s="12"/>
      <c r="H201" s="12"/>
      <c r="I201" s="11" t="str">
        <f t="shared" si="7"/>
        <v/>
      </c>
      <c r="J201" s="8"/>
    </row>
    <row r="202" spans="1:10" x14ac:dyDescent="0.2">
      <c r="A202" s="10" t="str">
        <f t="shared" si="6"/>
        <v/>
      </c>
      <c r="B202" s="9"/>
      <c r="C202" s="8"/>
      <c r="D202" s="8" t="str">
        <f ca="1">IFERROR(_xludf.XLOOKUP(C202,STUDENTS!$A$5:$A$204,STUDENTS!$C$5:$C$204,""),"")</f>
        <v/>
      </c>
      <c r="E202" s="8" t="str">
        <f ca="1">IFERROR(_xludf.XLOOKUP(C202,STUDENTS!$A$5:$A$204,STUDENTS!$L$5:$L$204,""),"")</f>
        <v/>
      </c>
      <c r="F202" s="8"/>
      <c r="G202" s="12"/>
      <c r="H202" s="12"/>
      <c r="I202" s="11" t="str">
        <f t="shared" si="7"/>
        <v/>
      </c>
      <c r="J202" s="8"/>
    </row>
    <row r="203" spans="1:10" x14ac:dyDescent="0.2">
      <c r="A203" s="10" t="str">
        <f t="shared" si="6"/>
        <v/>
      </c>
      <c r="B203" s="9"/>
      <c r="C203" s="8"/>
      <c r="D203" s="8" t="str">
        <f ca="1">IFERROR(_xludf.XLOOKUP(C203,STUDENTS!$A$5:$A$204,STUDENTS!$C$5:$C$204,""),"")</f>
        <v/>
      </c>
      <c r="E203" s="8" t="str">
        <f ca="1">IFERROR(_xludf.XLOOKUP(C203,STUDENTS!$A$5:$A$204,STUDENTS!$L$5:$L$204,""),"")</f>
        <v/>
      </c>
      <c r="F203" s="8"/>
      <c r="G203" s="12"/>
      <c r="H203" s="12"/>
      <c r="I203" s="11" t="str">
        <f t="shared" si="7"/>
        <v/>
      </c>
      <c r="J203" s="8"/>
    </row>
    <row r="204" spans="1:10" x14ac:dyDescent="0.2">
      <c r="A204" s="10" t="str">
        <f t="shared" si="6"/>
        <v/>
      </c>
      <c r="B204" s="9"/>
      <c r="C204" s="8"/>
      <c r="D204" s="8" t="str">
        <f ca="1">IFERROR(_xludf.XLOOKUP(C204,STUDENTS!$A$5:$A$204,STUDENTS!$C$5:$C$204,""),"")</f>
        <v/>
      </c>
      <c r="E204" s="8" t="str">
        <f ca="1">IFERROR(_xludf.XLOOKUP(C204,STUDENTS!$A$5:$A$204,STUDENTS!$L$5:$L$204,""),"")</f>
        <v/>
      </c>
      <c r="F204" s="8"/>
      <c r="G204" s="12"/>
      <c r="H204" s="12"/>
      <c r="I204" s="11" t="str">
        <f t="shared" si="7"/>
        <v/>
      </c>
      <c r="J204" s="8"/>
    </row>
    <row r="205" spans="1:10" x14ac:dyDescent="0.2">
      <c r="A205" s="10" t="str">
        <f t="shared" si="6"/>
        <v/>
      </c>
      <c r="B205" s="9"/>
      <c r="C205" s="8"/>
      <c r="D205" s="8" t="str">
        <f ca="1">IFERROR(_xludf.XLOOKUP(C205,STUDENTS!$A$5:$A$204,STUDENTS!$C$5:$C$204,""),"")</f>
        <v/>
      </c>
      <c r="E205" s="8" t="str">
        <f ca="1">IFERROR(_xludf.XLOOKUP(C205,STUDENTS!$A$5:$A$204,STUDENTS!$L$5:$L$204,""),"")</f>
        <v/>
      </c>
      <c r="F205" s="8"/>
      <c r="G205" s="12"/>
      <c r="H205" s="12"/>
      <c r="I205" s="11" t="str">
        <f t="shared" si="7"/>
        <v/>
      </c>
      <c r="J205" s="8"/>
    </row>
    <row r="206" spans="1:10" x14ac:dyDescent="0.2">
      <c r="A206" s="10" t="str">
        <f t="shared" si="6"/>
        <v/>
      </c>
      <c r="B206" s="9"/>
      <c r="C206" s="8"/>
      <c r="D206" s="8" t="str">
        <f ca="1">IFERROR(_xludf.XLOOKUP(C206,STUDENTS!$A$5:$A$204,STUDENTS!$C$5:$C$204,""),"")</f>
        <v/>
      </c>
      <c r="E206" s="8" t="str">
        <f ca="1">IFERROR(_xludf.XLOOKUP(C206,STUDENTS!$A$5:$A$204,STUDENTS!$L$5:$L$204,""),"")</f>
        <v/>
      </c>
      <c r="F206" s="8"/>
      <c r="G206" s="12"/>
      <c r="H206" s="12"/>
      <c r="I206" s="11" t="str">
        <f t="shared" si="7"/>
        <v/>
      </c>
      <c r="J206" s="8"/>
    </row>
    <row r="207" spans="1:10" x14ac:dyDescent="0.2">
      <c r="A207" s="10" t="str">
        <f t="shared" si="6"/>
        <v/>
      </c>
      <c r="B207" s="9"/>
      <c r="C207" s="8"/>
      <c r="D207" s="8" t="str">
        <f ca="1">IFERROR(_xludf.XLOOKUP(C207,STUDENTS!$A$5:$A$204,STUDENTS!$C$5:$C$204,""),"")</f>
        <v/>
      </c>
      <c r="E207" s="8" t="str">
        <f ca="1">IFERROR(_xludf.XLOOKUP(C207,STUDENTS!$A$5:$A$204,STUDENTS!$L$5:$L$204,""),"")</f>
        <v/>
      </c>
      <c r="F207" s="8"/>
      <c r="G207" s="12"/>
      <c r="H207" s="12"/>
      <c r="I207" s="11" t="str">
        <f t="shared" si="7"/>
        <v/>
      </c>
      <c r="J207" s="8"/>
    </row>
    <row r="208" spans="1:10" x14ac:dyDescent="0.2">
      <c r="A208" s="10" t="str">
        <f t="shared" si="6"/>
        <v/>
      </c>
      <c r="B208" s="9"/>
      <c r="C208" s="8"/>
      <c r="D208" s="8" t="str">
        <f ca="1">IFERROR(_xludf.XLOOKUP(C208,STUDENTS!$A$5:$A$204,STUDENTS!$C$5:$C$204,""),"")</f>
        <v/>
      </c>
      <c r="E208" s="8" t="str">
        <f ca="1">IFERROR(_xludf.XLOOKUP(C208,STUDENTS!$A$5:$A$204,STUDENTS!$L$5:$L$204,""),"")</f>
        <v/>
      </c>
      <c r="F208" s="8"/>
      <c r="G208" s="12"/>
      <c r="H208" s="12"/>
      <c r="I208" s="11" t="str">
        <f t="shared" si="7"/>
        <v/>
      </c>
      <c r="J208" s="8"/>
    </row>
    <row r="209" spans="1:10" x14ac:dyDescent="0.2">
      <c r="A209" s="10" t="str">
        <f t="shared" si="6"/>
        <v/>
      </c>
      <c r="B209" s="9"/>
      <c r="C209" s="8"/>
      <c r="D209" s="8" t="str">
        <f ca="1">IFERROR(_xludf.XLOOKUP(C209,STUDENTS!$A$5:$A$204,STUDENTS!$C$5:$C$204,""),"")</f>
        <v/>
      </c>
      <c r="E209" s="8" t="str">
        <f ca="1">IFERROR(_xludf.XLOOKUP(C209,STUDENTS!$A$5:$A$204,STUDENTS!$L$5:$L$204,""),"")</f>
        <v/>
      </c>
      <c r="F209" s="8"/>
      <c r="G209" s="12"/>
      <c r="H209" s="12"/>
      <c r="I209" s="11" t="str">
        <f t="shared" si="7"/>
        <v/>
      </c>
      <c r="J209" s="8"/>
    </row>
    <row r="210" spans="1:10" x14ac:dyDescent="0.2">
      <c r="A210" s="10" t="str">
        <f t="shared" si="6"/>
        <v/>
      </c>
      <c r="B210" s="9"/>
      <c r="C210" s="8"/>
      <c r="D210" s="8" t="str">
        <f ca="1">IFERROR(_xludf.XLOOKUP(C210,STUDENTS!$A$5:$A$204,STUDENTS!$C$5:$C$204,""),"")</f>
        <v/>
      </c>
      <c r="E210" s="8" t="str">
        <f ca="1">IFERROR(_xludf.XLOOKUP(C210,STUDENTS!$A$5:$A$204,STUDENTS!$L$5:$L$204,""),"")</f>
        <v/>
      </c>
      <c r="F210" s="8"/>
      <c r="G210" s="12"/>
      <c r="H210" s="12"/>
      <c r="I210" s="11" t="str">
        <f t="shared" si="7"/>
        <v/>
      </c>
      <c r="J210" s="8"/>
    </row>
    <row r="211" spans="1:10" x14ac:dyDescent="0.2">
      <c r="A211" s="10" t="str">
        <f t="shared" si="6"/>
        <v/>
      </c>
      <c r="B211" s="9"/>
      <c r="C211" s="8"/>
      <c r="D211" s="8" t="str">
        <f ca="1">IFERROR(_xludf.XLOOKUP(C211,STUDENTS!$A$5:$A$204,STUDENTS!$C$5:$C$204,""),"")</f>
        <v/>
      </c>
      <c r="E211" s="8" t="str">
        <f ca="1">IFERROR(_xludf.XLOOKUP(C211,STUDENTS!$A$5:$A$204,STUDENTS!$L$5:$L$204,""),"")</f>
        <v/>
      </c>
      <c r="F211" s="8"/>
      <c r="G211" s="12"/>
      <c r="H211" s="12"/>
      <c r="I211" s="11" t="str">
        <f t="shared" si="7"/>
        <v/>
      </c>
      <c r="J211" s="8"/>
    </row>
    <row r="212" spans="1:10" x14ac:dyDescent="0.2">
      <c r="A212" s="10" t="str">
        <f t="shared" si="6"/>
        <v/>
      </c>
      <c r="B212" s="9"/>
      <c r="C212" s="8"/>
      <c r="D212" s="8" t="str">
        <f ca="1">IFERROR(_xludf.XLOOKUP(C212,STUDENTS!$A$5:$A$204,STUDENTS!$C$5:$C$204,""),"")</f>
        <v/>
      </c>
      <c r="E212" s="8" t="str">
        <f ca="1">IFERROR(_xludf.XLOOKUP(C212,STUDENTS!$A$5:$A$204,STUDENTS!$L$5:$L$204,""),"")</f>
        <v/>
      </c>
      <c r="F212" s="8"/>
      <c r="G212" s="12"/>
      <c r="H212" s="12"/>
      <c r="I212" s="11" t="str">
        <f t="shared" si="7"/>
        <v/>
      </c>
      <c r="J212" s="8"/>
    </row>
    <row r="213" spans="1:10" x14ac:dyDescent="0.2">
      <c r="A213" s="10" t="str">
        <f t="shared" si="6"/>
        <v/>
      </c>
      <c r="B213" s="9"/>
      <c r="C213" s="8"/>
      <c r="D213" s="8" t="str">
        <f ca="1">IFERROR(_xludf.XLOOKUP(C213,STUDENTS!$A$5:$A$204,STUDENTS!$C$5:$C$204,""),"")</f>
        <v/>
      </c>
      <c r="E213" s="8" t="str">
        <f ca="1">IFERROR(_xludf.XLOOKUP(C213,STUDENTS!$A$5:$A$204,STUDENTS!$L$5:$L$204,""),"")</f>
        <v/>
      </c>
      <c r="F213" s="8"/>
      <c r="G213" s="12"/>
      <c r="H213" s="12"/>
      <c r="I213" s="11" t="str">
        <f t="shared" si="7"/>
        <v/>
      </c>
      <c r="J213" s="8"/>
    </row>
    <row r="214" spans="1:10" x14ac:dyDescent="0.2">
      <c r="A214" s="10" t="str">
        <f t="shared" si="6"/>
        <v/>
      </c>
      <c r="B214" s="9"/>
      <c r="C214" s="8"/>
      <c r="D214" s="8" t="str">
        <f ca="1">IFERROR(_xludf.XLOOKUP(C214,STUDENTS!$A$5:$A$204,STUDENTS!$C$5:$C$204,""),"")</f>
        <v/>
      </c>
      <c r="E214" s="8" t="str">
        <f ca="1">IFERROR(_xludf.XLOOKUP(C214,STUDENTS!$A$5:$A$204,STUDENTS!$L$5:$L$204,""),"")</f>
        <v/>
      </c>
      <c r="F214" s="8"/>
      <c r="G214" s="12"/>
      <c r="H214" s="12"/>
      <c r="I214" s="11" t="str">
        <f t="shared" si="7"/>
        <v/>
      </c>
      <c r="J214" s="8"/>
    </row>
    <row r="215" spans="1:10" x14ac:dyDescent="0.2">
      <c r="A215" s="10" t="str">
        <f t="shared" si="6"/>
        <v/>
      </c>
      <c r="B215" s="9"/>
      <c r="C215" s="8"/>
      <c r="D215" s="8" t="str">
        <f ca="1">IFERROR(_xludf.XLOOKUP(C215,STUDENTS!$A$5:$A$204,STUDENTS!$C$5:$C$204,""),"")</f>
        <v/>
      </c>
      <c r="E215" s="8" t="str">
        <f ca="1">IFERROR(_xludf.XLOOKUP(C215,STUDENTS!$A$5:$A$204,STUDENTS!$L$5:$L$204,""),"")</f>
        <v/>
      </c>
      <c r="F215" s="8"/>
      <c r="G215" s="12"/>
      <c r="H215" s="12"/>
      <c r="I215" s="11" t="str">
        <f t="shared" si="7"/>
        <v/>
      </c>
      <c r="J215" s="8"/>
    </row>
    <row r="216" spans="1:10" x14ac:dyDescent="0.2">
      <c r="A216" s="10" t="str">
        <f t="shared" si="6"/>
        <v/>
      </c>
      <c r="B216" s="9"/>
      <c r="C216" s="8"/>
      <c r="D216" s="8" t="str">
        <f ca="1">IFERROR(_xludf.XLOOKUP(C216,STUDENTS!$A$5:$A$204,STUDENTS!$C$5:$C$204,""),"")</f>
        <v/>
      </c>
      <c r="E216" s="8" t="str">
        <f ca="1">IFERROR(_xludf.XLOOKUP(C216,STUDENTS!$A$5:$A$204,STUDENTS!$L$5:$L$204,""),"")</f>
        <v/>
      </c>
      <c r="F216" s="8"/>
      <c r="G216" s="12"/>
      <c r="H216" s="12"/>
      <c r="I216" s="11" t="str">
        <f t="shared" si="7"/>
        <v/>
      </c>
      <c r="J216" s="8"/>
    </row>
    <row r="217" spans="1:10" x14ac:dyDescent="0.2">
      <c r="A217" s="10" t="str">
        <f t="shared" si="6"/>
        <v/>
      </c>
      <c r="B217" s="9"/>
      <c r="C217" s="8"/>
      <c r="D217" s="8" t="str">
        <f ca="1">IFERROR(_xludf.XLOOKUP(C217,STUDENTS!$A$5:$A$204,STUDENTS!$C$5:$C$204,""),"")</f>
        <v/>
      </c>
      <c r="E217" s="8" t="str">
        <f ca="1">IFERROR(_xludf.XLOOKUP(C217,STUDENTS!$A$5:$A$204,STUDENTS!$L$5:$L$204,""),"")</f>
        <v/>
      </c>
      <c r="F217" s="8"/>
      <c r="G217" s="12"/>
      <c r="H217" s="12"/>
      <c r="I217" s="11" t="str">
        <f t="shared" si="7"/>
        <v/>
      </c>
      <c r="J217" s="8"/>
    </row>
    <row r="218" spans="1:10" x14ac:dyDescent="0.2">
      <c r="A218" s="10" t="str">
        <f t="shared" si="6"/>
        <v/>
      </c>
      <c r="B218" s="9"/>
      <c r="C218" s="8"/>
      <c r="D218" s="8" t="str">
        <f ca="1">IFERROR(_xludf.XLOOKUP(C218,STUDENTS!$A$5:$A$204,STUDENTS!$C$5:$C$204,""),"")</f>
        <v/>
      </c>
      <c r="E218" s="8" t="str">
        <f ca="1">IFERROR(_xludf.XLOOKUP(C218,STUDENTS!$A$5:$A$204,STUDENTS!$L$5:$L$204,""),"")</f>
        <v/>
      </c>
      <c r="F218" s="8"/>
      <c r="G218" s="12"/>
      <c r="H218" s="12"/>
      <c r="I218" s="11" t="str">
        <f t="shared" si="7"/>
        <v/>
      </c>
      <c r="J218" s="8"/>
    </row>
    <row r="219" spans="1:10" x14ac:dyDescent="0.2">
      <c r="A219" s="10" t="str">
        <f t="shared" si="6"/>
        <v/>
      </c>
      <c r="B219" s="9"/>
      <c r="C219" s="8"/>
      <c r="D219" s="8" t="str">
        <f ca="1">IFERROR(_xludf.XLOOKUP(C219,STUDENTS!$A$5:$A$204,STUDENTS!$C$5:$C$204,""),"")</f>
        <v/>
      </c>
      <c r="E219" s="8" t="str">
        <f ca="1">IFERROR(_xludf.XLOOKUP(C219,STUDENTS!$A$5:$A$204,STUDENTS!$L$5:$L$204,""),"")</f>
        <v/>
      </c>
      <c r="F219" s="8"/>
      <c r="G219" s="12"/>
      <c r="H219" s="12"/>
      <c r="I219" s="11" t="str">
        <f t="shared" si="7"/>
        <v/>
      </c>
      <c r="J219" s="8"/>
    </row>
    <row r="220" spans="1:10" x14ac:dyDescent="0.2">
      <c r="A220" s="10" t="str">
        <f t="shared" si="6"/>
        <v/>
      </c>
      <c r="B220" s="9"/>
      <c r="C220" s="8"/>
      <c r="D220" s="8" t="str">
        <f ca="1">IFERROR(_xludf.XLOOKUP(C220,STUDENTS!$A$5:$A$204,STUDENTS!$C$5:$C$204,""),"")</f>
        <v/>
      </c>
      <c r="E220" s="8" t="str">
        <f ca="1">IFERROR(_xludf.XLOOKUP(C220,STUDENTS!$A$5:$A$204,STUDENTS!$L$5:$L$204,""),"")</f>
        <v/>
      </c>
      <c r="F220" s="8"/>
      <c r="G220" s="12"/>
      <c r="H220" s="12"/>
      <c r="I220" s="11" t="str">
        <f t="shared" si="7"/>
        <v/>
      </c>
      <c r="J220" s="8"/>
    </row>
    <row r="221" spans="1:10" x14ac:dyDescent="0.2">
      <c r="A221" s="10" t="str">
        <f t="shared" si="6"/>
        <v/>
      </c>
      <c r="B221" s="9"/>
      <c r="C221" s="8"/>
      <c r="D221" s="8" t="str">
        <f ca="1">IFERROR(_xludf.XLOOKUP(C221,STUDENTS!$A$5:$A$204,STUDENTS!$C$5:$C$204,""),"")</f>
        <v/>
      </c>
      <c r="E221" s="8" t="str">
        <f ca="1">IFERROR(_xludf.XLOOKUP(C221,STUDENTS!$A$5:$A$204,STUDENTS!$L$5:$L$204,""),"")</f>
        <v/>
      </c>
      <c r="F221" s="8"/>
      <c r="G221" s="12"/>
      <c r="H221" s="12"/>
      <c r="I221" s="11" t="str">
        <f t="shared" si="7"/>
        <v/>
      </c>
      <c r="J221" s="8"/>
    </row>
    <row r="222" spans="1:10" x14ac:dyDescent="0.2">
      <c r="A222" s="10" t="str">
        <f t="shared" si="6"/>
        <v/>
      </c>
      <c r="B222" s="9"/>
      <c r="C222" s="8"/>
      <c r="D222" s="8" t="str">
        <f ca="1">IFERROR(_xludf.XLOOKUP(C222,STUDENTS!$A$5:$A$204,STUDENTS!$C$5:$C$204,""),"")</f>
        <v/>
      </c>
      <c r="E222" s="8" t="str">
        <f ca="1">IFERROR(_xludf.XLOOKUP(C222,STUDENTS!$A$5:$A$204,STUDENTS!$L$5:$L$204,""),"")</f>
        <v/>
      </c>
      <c r="F222" s="8"/>
      <c r="G222" s="12"/>
      <c r="H222" s="12"/>
      <c r="I222" s="11" t="str">
        <f t="shared" si="7"/>
        <v/>
      </c>
      <c r="J222" s="8"/>
    </row>
    <row r="223" spans="1:10" x14ac:dyDescent="0.2">
      <c r="A223" s="10" t="str">
        <f t="shared" si="6"/>
        <v/>
      </c>
      <c r="B223" s="9"/>
      <c r="C223" s="8"/>
      <c r="D223" s="8" t="str">
        <f ca="1">IFERROR(_xludf.XLOOKUP(C223,STUDENTS!$A$5:$A$204,STUDENTS!$C$5:$C$204,""),"")</f>
        <v/>
      </c>
      <c r="E223" s="8" t="str">
        <f ca="1">IFERROR(_xludf.XLOOKUP(C223,STUDENTS!$A$5:$A$204,STUDENTS!$L$5:$L$204,""),"")</f>
        <v/>
      </c>
      <c r="F223" s="8"/>
      <c r="G223" s="12"/>
      <c r="H223" s="12"/>
      <c r="I223" s="11" t="str">
        <f t="shared" si="7"/>
        <v/>
      </c>
      <c r="J223" s="8"/>
    </row>
    <row r="224" spans="1:10" x14ac:dyDescent="0.2">
      <c r="A224" s="10" t="str">
        <f t="shared" si="6"/>
        <v/>
      </c>
      <c r="B224" s="9"/>
      <c r="C224" s="8"/>
      <c r="D224" s="8" t="str">
        <f ca="1">IFERROR(_xludf.XLOOKUP(C224,STUDENTS!$A$5:$A$204,STUDENTS!$C$5:$C$204,""),"")</f>
        <v/>
      </c>
      <c r="E224" s="8" t="str">
        <f ca="1">IFERROR(_xludf.XLOOKUP(C224,STUDENTS!$A$5:$A$204,STUDENTS!$L$5:$L$204,""),"")</f>
        <v/>
      </c>
      <c r="F224" s="8"/>
      <c r="G224" s="12"/>
      <c r="H224" s="12"/>
      <c r="I224" s="11" t="str">
        <f t="shared" si="7"/>
        <v/>
      </c>
      <c r="J224" s="8"/>
    </row>
    <row r="225" spans="1:10" x14ac:dyDescent="0.2">
      <c r="A225" s="10" t="str">
        <f t="shared" si="6"/>
        <v/>
      </c>
      <c r="B225" s="9"/>
      <c r="C225" s="8"/>
      <c r="D225" s="8" t="str">
        <f ca="1">IFERROR(_xludf.XLOOKUP(C225,STUDENTS!$A$5:$A$204,STUDENTS!$C$5:$C$204,""),"")</f>
        <v/>
      </c>
      <c r="E225" s="8" t="str">
        <f ca="1">IFERROR(_xludf.XLOOKUP(C225,STUDENTS!$A$5:$A$204,STUDENTS!$L$5:$L$204,""),"")</f>
        <v/>
      </c>
      <c r="F225" s="8"/>
      <c r="G225" s="12"/>
      <c r="H225" s="12"/>
      <c r="I225" s="11" t="str">
        <f t="shared" si="7"/>
        <v/>
      </c>
      <c r="J225" s="8"/>
    </row>
    <row r="226" spans="1:10" x14ac:dyDescent="0.2">
      <c r="A226" s="10" t="str">
        <f t="shared" si="6"/>
        <v/>
      </c>
      <c r="B226" s="9"/>
      <c r="C226" s="8"/>
      <c r="D226" s="8" t="str">
        <f ca="1">IFERROR(_xludf.XLOOKUP(C226,STUDENTS!$A$5:$A$204,STUDENTS!$C$5:$C$204,""),"")</f>
        <v/>
      </c>
      <c r="E226" s="8" t="str">
        <f ca="1">IFERROR(_xludf.XLOOKUP(C226,STUDENTS!$A$5:$A$204,STUDENTS!$L$5:$L$204,""),"")</f>
        <v/>
      </c>
      <c r="F226" s="8"/>
      <c r="G226" s="12"/>
      <c r="H226" s="12"/>
      <c r="I226" s="11" t="str">
        <f t="shared" si="7"/>
        <v/>
      </c>
      <c r="J226" s="8"/>
    </row>
    <row r="227" spans="1:10" x14ac:dyDescent="0.2">
      <c r="A227" s="10" t="str">
        <f t="shared" si="6"/>
        <v/>
      </c>
      <c r="B227" s="9"/>
      <c r="C227" s="8"/>
      <c r="D227" s="8" t="str">
        <f ca="1">IFERROR(_xludf.XLOOKUP(C227,STUDENTS!$A$5:$A$204,STUDENTS!$C$5:$C$204,""),"")</f>
        <v/>
      </c>
      <c r="E227" s="8" t="str">
        <f ca="1">IFERROR(_xludf.XLOOKUP(C227,STUDENTS!$A$5:$A$204,STUDENTS!$L$5:$L$204,""),"")</f>
        <v/>
      </c>
      <c r="F227" s="8"/>
      <c r="G227" s="12"/>
      <c r="H227" s="12"/>
      <c r="I227" s="11" t="str">
        <f t="shared" si="7"/>
        <v/>
      </c>
      <c r="J227" s="8"/>
    </row>
    <row r="228" spans="1:10" x14ac:dyDescent="0.2">
      <c r="A228" s="10" t="str">
        <f t="shared" si="6"/>
        <v/>
      </c>
      <c r="B228" s="9"/>
      <c r="C228" s="8"/>
      <c r="D228" s="8" t="str">
        <f ca="1">IFERROR(_xludf.XLOOKUP(C228,STUDENTS!$A$5:$A$204,STUDENTS!$C$5:$C$204,""),"")</f>
        <v/>
      </c>
      <c r="E228" s="8" t="str">
        <f ca="1">IFERROR(_xludf.XLOOKUP(C228,STUDENTS!$A$5:$A$204,STUDENTS!$L$5:$L$204,""),"")</f>
        <v/>
      </c>
      <c r="F228" s="8"/>
      <c r="G228" s="12"/>
      <c r="H228" s="12"/>
      <c r="I228" s="11" t="str">
        <f t="shared" si="7"/>
        <v/>
      </c>
      <c r="J228" s="8"/>
    </row>
    <row r="229" spans="1:10" x14ac:dyDescent="0.2">
      <c r="A229" s="10" t="str">
        <f t="shared" si="6"/>
        <v/>
      </c>
      <c r="B229" s="9"/>
      <c r="C229" s="8"/>
      <c r="D229" s="8" t="str">
        <f ca="1">IFERROR(_xludf.XLOOKUP(C229,STUDENTS!$A$5:$A$204,STUDENTS!$C$5:$C$204,""),"")</f>
        <v/>
      </c>
      <c r="E229" s="8" t="str">
        <f ca="1">IFERROR(_xludf.XLOOKUP(C229,STUDENTS!$A$5:$A$204,STUDENTS!$L$5:$L$204,""),"")</f>
        <v/>
      </c>
      <c r="F229" s="8"/>
      <c r="G229" s="12"/>
      <c r="H229" s="12"/>
      <c r="I229" s="11" t="str">
        <f t="shared" si="7"/>
        <v/>
      </c>
      <c r="J229" s="8"/>
    </row>
    <row r="230" spans="1:10" x14ac:dyDescent="0.2">
      <c r="A230" s="10" t="str">
        <f t="shared" si="6"/>
        <v/>
      </c>
      <c r="B230" s="9"/>
      <c r="C230" s="8"/>
      <c r="D230" s="8" t="str">
        <f ca="1">IFERROR(_xludf.XLOOKUP(C230,STUDENTS!$A$5:$A$204,STUDENTS!$C$5:$C$204,""),"")</f>
        <v/>
      </c>
      <c r="E230" s="8" t="str">
        <f ca="1">IFERROR(_xludf.XLOOKUP(C230,STUDENTS!$A$5:$A$204,STUDENTS!$L$5:$L$204,""),"")</f>
        <v/>
      </c>
      <c r="F230" s="8"/>
      <c r="G230" s="12"/>
      <c r="H230" s="12"/>
      <c r="I230" s="11" t="str">
        <f t="shared" si="7"/>
        <v/>
      </c>
      <c r="J230" s="8"/>
    </row>
    <row r="231" spans="1:10" x14ac:dyDescent="0.2">
      <c r="A231" s="10" t="str">
        <f t="shared" si="6"/>
        <v/>
      </c>
      <c r="B231" s="9"/>
      <c r="C231" s="8"/>
      <c r="D231" s="8" t="str">
        <f ca="1">IFERROR(_xludf.XLOOKUP(C231,STUDENTS!$A$5:$A$204,STUDENTS!$C$5:$C$204,""),"")</f>
        <v/>
      </c>
      <c r="E231" s="8" t="str">
        <f ca="1">IFERROR(_xludf.XLOOKUP(C231,STUDENTS!$A$5:$A$204,STUDENTS!$L$5:$L$204,""),"")</f>
        <v/>
      </c>
      <c r="F231" s="8"/>
      <c r="G231" s="12"/>
      <c r="H231" s="12"/>
      <c r="I231" s="11" t="str">
        <f t="shared" si="7"/>
        <v/>
      </c>
      <c r="J231" s="8"/>
    </row>
    <row r="232" spans="1:10" x14ac:dyDescent="0.2">
      <c r="A232" s="10" t="str">
        <f t="shared" si="6"/>
        <v/>
      </c>
      <c r="B232" s="9"/>
      <c r="C232" s="8"/>
      <c r="D232" s="8" t="str">
        <f ca="1">IFERROR(_xludf.XLOOKUP(C232,STUDENTS!$A$5:$A$204,STUDENTS!$C$5:$C$204,""),"")</f>
        <v/>
      </c>
      <c r="E232" s="8" t="str">
        <f ca="1">IFERROR(_xludf.XLOOKUP(C232,STUDENTS!$A$5:$A$204,STUDENTS!$L$5:$L$204,""),"")</f>
        <v/>
      </c>
      <c r="F232" s="8"/>
      <c r="G232" s="12"/>
      <c r="H232" s="12"/>
      <c r="I232" s="11" t="str">
        <f t="shared" si="7"/>
        <v/>
      </c>
      <c r="J232" s="8"/>
    </row>
    <row r="233" spans="1:10" x14ac:dyDescent="0.2">
      <c r="A233" s="10" t="str">
        <f t="shared" si="6"/>
        <v/>
      </c>
      <c r="B233" s="9"/>
      <c r="C233" s="8"/>
      <c r="D233" s="8" t="str">
        <f ca="1">IFERROR(_xludf.XLOOKUP(C233,STUDENTS!$A$5:$A$204,STUDENTS!$C$5:$C$204,""),"")</f>
        <v/>
      </c>
      <c r="E233" s="8" t="str">
        <f ca="1">IFERROR(_xludf.XLOOKUP(C233,STUDENTS!$A$5:$A$204,STUDENTS!$L$5:$L$204,""),"")</f>
        <v/>
      </c>
      <c r="F233" s="8"/>
      <c r="G233" s="12"/>
      <c r="H233" s="12"/>
      <c r="I233" s="11" t="str">
        <f t="shared" si="7"/>
        <v/>
      </c>
      <c r="J233" s="8"/>
    </row>
    <row r="234" spans="1:10" x14ac:dyDescent="0.2">
      <c r="A234" s="10" t="str">
        <f t="shared" si="6"/>
        <v/>
      </c>
      <c r="B234" s="9"/>
      <c r="C234" s="8"/>
      <c r="D234" s="8" t="str">
        <f ca="1">IFERROR(_xludf.XLOOKUP(C234,STUDENTS!$A$5:$A$204,STUDENTS!$C$5:$C$204,""),"")</f>
        <v/>
      </c>
      <c r="E234" s="8" t="str">
        <f ca="1">IFERROR(_xludf.XLOOKUP(C234,STUDENTS!$A$5:$A$204,STUDENTS!$L$5:$L$204,""),"")</f>
        <v/>
      </c>
      <c r="F234" s="8"/>
      <c r="G234" s="12"/>
      <c r="H234" s="12"/>
      <c r="I234" s="11" t="str">
        <f t="shared" si="7"/>
        <v/>
      </c>
      <c r="J234" s="8"/>
    </row>
    <row r="235" spans="1:10" x14ac:dyDescent="0.2">
      <c r="A235" s="10" t="str">
        <f t="shared" si="6"/>
        <v/>
      </c>
      <c r="B235" s="9"/>
      <c r="C235" s="8"/>
      <c r="D235" s="8" t="str">
        <f ca="1">IFERROR(_xludf.XLOOKUP(C235,STUDENTS!$A$5:$A$204,STUDENTS!$C$5:$C$204,""),"")</f>
        <v/>
      </c>
      <c r="E235" s="8" t="str">
        <f ca="1">IFERROR(_xludf.XLOOKUP(C235,STUDENTS!$A$5:$A$204,STUDENTS!$L$5:$L$204,""),"")</f>
        <v/>
      </c>
      <c r="F235" s="8"/>
      <c r="G235" s="12"/>
      <c r="H235" s="12"/>
      <c r="I235" s="11" t="str">
        <f t="shared" si="7"/>
        <v/>
      </c>
      <c r="J235" s="8"/>
    </row>
    <row r="236" spans="1:10" x14ac:dyDescent="0.2">
      <c r="A236" s="10" t="str">
        <f t="shared" si="6"/>
        <v/>
      </c>
      <c r="B236" s="9"/>
      <c r="C236" s="8"/>
      <c r="D236" s="8" t="str">
        <f ca="1">IFERROR(_xludf.XLOOKUP(C236,STUDENTS!$A$5:$A$204,STUDENTS!$C$5:$C$204,""),"")</f>
        <v/>
      </c>
      <c r="E236" s="8" t="str">
        <f ca="1">IFERROR(_xludf.XLOOKUP(C236,STUDENTS!$A$5:$A$204,STUDENTS!$L$5:$L$204,""),"")</f>
        <v/>
      </c>
      <c r="F236" s="8"/>
      <c r="G236" s="12"/>
      <c r="H236" s="12"/>
      <c r="I236" s="11" t="str">
        <f t="shared" si="7"/>
        <v/>
      </c>
      <c r="J236" s="8"/>
    </row>
    <row r="237" spans="1:10" x14ac:dyDescent="0.2">
      <c r="A237" s="10" t="str">
        <f t="shared" si="6"/>
        <v/>
      </c>
      <c r="B237" s="9"/>
      <c r="C237" s="8"/>
      <c r="D237" s="8" t="str">
        <f ca="1">IFERROR(_xludf.XLOOKUP(C237,STUDENTS!$A$5:$A$204,STUDENTS!$C$5:$C$204,""),"")</f>
        <v/>
      </c>
      <c r="E237" s="8" t="str">
        <f ca="1">IFERROR(_xludf.XLOOKUP(C237,STUDENTS!$A$5:$A$204,STUDENTS!$L$5:$L$204,""),"")</f>
        <v/>
      </c>
      <c r="F237" s="8"/>
      <c r="G237" s="12"/>
      <c r="H237" s="12"/>
      <c r="I237" s="11" t="str">
        <f t="shared" si="7"/>
        <v/>
      </c>
      <c r="J237" s="8"/>
    </row>
    <row r="238" spans="1:10" x14ac:dyDescent="0.2">
      <c r="A238" s="10" t="str">
        <f t="shared" si="6"/>
        <v/>
      </c>
      <c r="B238" s="9"/>
      <c r="C238" s="8"/>
      <c r="D238" s="8" t="str">
        <f ca="1">IFERROR(_xludf.XLOOKUP(C238,STUDENTS!$A$5:$A$204,STUDENTS!$C$5:$C$204,""),"")</f>
        <v/>
      </c>
      <c r="E238" s="8" t="str">
        <f ca="1">IFERROR(_xludf.XLOOKUP(C238,STUDENTS!$A$5:$A$204,STUDENTS!$L$5:$L$204,""),"")</f>
        <v/>
      </c>
      <c r="F238" s="8"/>
      <c r="G238" s="12"/>
      <c r="H238" s="12"/>
      <c r="I238" s="11" t="str">
        <f t="shared" si="7"/>
        <v/>
      </c>
      <c r="J238" s="8"/>
    </row>
    <row r="239" spans="1:10" x14ac:dyDescent="0.2">
      <c r="A239" s="10" t="str">
        <f t="shared" si="6"/>
        <v/>
      </c>
      <c r="B239" s="9"/>
      <c r="C239" s="8"/>
      <c r="D239" s="8" t="str">
        <f ca="1">IFERROR(_xludf.XLOOKUP(C239,STUDENTS!$A$5:$A$204,STUDENTS!$C$5:$C$204,""),"")</f>
        <v/>
      </c>
      <c r="E239" s="8" t="str">
        <f ca="1">IFERROR(_xludf.XLOOKUP(C239,STUDENTS!$A$5:$A$204,STUDENTS!$L$5:$L$204,""),"")</f>
        <v/>
      </c>
      <c r="F239" s="8"/>
      <c r="G239" s="12"/>
      <c r="H239" s="12"/>
      <c r="I239" s="11" t="str">
        <f t="shared" si="7"/>
        <v/>
      </c>
      <c r="J239" s="8"/>
    </row>
    <row r="240" spans="1:10" x14ac:dyDescent="0.2">
      <c r="A240" s="10" t="str">
        <f t="shared" si="6"/>
        <v/>
      </c>
      <c r="B240" s="9"/>
      <c r="C240" s="8"/>
      <c r="D240" s="8" t="str">
        <f ca="1">IFERROR(_xludf.XLOOKUP(C240,STUDENTS!$A$5:$A$204,STUDENTS!$C$5:$C$204,""),"")</f>
        <v/>
      </c>
      <c r="E240" s="8" t="str">
        <f ca="1">IFERROR(_xludf.XLOOKUP(C240,STUDENTS!$A$5:$A$204,STUDENTS!$L$5:$L$204,""),"")</f>
        <v/>
      </c>
      <c r="F240" s="8"/>
      <c r="G240" s="12"/>
      <c r="H240" s="12"/>
      <c r="I240" s="11" t="str">
        <f t="shared" si="7"/>
        <v/>
      </c>
      <c r="J240" s="8"/>
    </row>
    <row r="241" spans="1:10" x14ac:dyDescent="0.2">
      <c r="A241" s="10" t="str">
        <f t="shared" si="6"/>
        <v/>
      </c>
      <c r="B241" s="9"/>
      <c r="C241" s="8"/>
      <c r="D241" s="8" t="str">
        <f ca="1">IFERROR(_xludf.XLOOKUP(C241,STUDENTS!$A$5:$A$204,STUDENTS!$C$5:$C$204,""),"")</f>
        <v/>
      </c>
      <c r="E241" s="8" t="str">
        <f ca="1">IFERROR(_xludf.XLOOKUP(C241,STUDENTS!$A$5:$A$204,STUDENTS!$L$5:$L$204,""),"")</f>
        <v/>
      </c>
      <c r="F241" s="8"/>
      <c r="G241" s="12"/>
      <c r="H241" s="12"/>
      <c r="I241" s="11" t="str">
        <f t="shared" si="7"/>
        <v/>
      </c>
      <c r="J241" s="8"/>
    </row>
    <row r="242" spans="1:10" x14ac:dyDescent="0.2">
      <c r="A242" s="10" t="str">
        <f t="shared" si="6"/>
        <v/>
      </c>
      <c r="B242" s="9"/>
      <c r="C242" s="8"/>
      <c r="D242" s="8" t="str">
        <f ca="1">IFERROR(_xludf.XLOOKUP(C242,STUDENTS!$A$5:$A$204,STUDENTS!$C$5:$C$204,""),"")</f>
        <v/>
      </c>
      <c r="E242" s="8" t="str">
        <f ca="1">IFERROR(_xludf.XLOOKUP(C242,STUDENTS!$A$5:$A$204,STUDENTS!$L$5:$L$204,""),"")</f>
        <v/>
      </c>
      <c r="F242" s="8"/>
      <c r="G242" s="12"/>
      <c r="H242" s="12"/>
      <c r="I242" s="11" t="str">
        <f t="shared" si="7"/>
        <v/>
      </c>
      <c r="J242" s="8"/>
    </row>
    <row r="243" spans="1:10" x14ac:dyDescent="0.2">
      <c r="A243" s="10" t="str">
        <f t="shared" si="6"/>
        <v/>
      </c>
      <c r="B243" s="9"/>
      <c r="C243" s="8"/>
      <c r="D243" s="8" t="str">
        <f ca="1">IFERROR(_xludf.XLOOKUP(C243,STUDENTS!$A$5:$A$204,STUDENTS!$C$5:$C$204,""),"")</f>
        <v/>
      </c>
      <c r="E243" s="8" t="str">
        <f ca="1">IFERROR(_xludf.XLOOKUP(C243,STUDENTS!$A$5:$A$204,STUDENTS!$L$5:$L$204,""),"")</f>
        <v/>
      </c>
      <c r="F243" s="8"/>
      <c r="G243" s="12"/>
      <c r="H243" s="12"/>
      <c r="I243" s="11" t="str">
        <f t="shared" si="7"/>
        <v/>
      </c>
      <c r="J243" s="8"/>
    </row>
    <row r="244" spans="1:10" x14ac:dyDescent="0.2">
      <c r="A244" s="10" t="str">
        <f t="shared" si="6"/>
        <v/>
      </c>
      <c r="B244" s="9"/>
      <c r="C244" s="8"/>
      <c r="D244" s="8" t="str">
        <f ca="1">IFERROR(_xludf.XLOOKUP(C244,STUDENTS!$A$5:$A$204,STUDENTS!$C$5:$C$204,""),"")</f>
        <v/>
      </c>
      <c r="E244" s="8" t="str">
        <f ca="1">IFERROR(_xludf.XLOOKUP(C244,STUDENTS!$A$5:$A$204,STUDENTS!$L$5:$L$204,""),"")</f>
        <v/>
      </c>
      <c r="F244" s="8"/>
      <c r="G244" s="12"/>
      <c r="H244" s="12"/>
      <c r="I244" s="11" t="str">
        <f t="shared" si="7"/>
        <v/>
      </c>
      <c r="J244" s="8"/>
    </row>
    <row r="245" spans="1:10" x14ac:dyDescent="0.2">
      <c r="A245" s="10" t="str">
        <f t="shared" si="6"/>
        <v/>
      </c>
      <c r="B245" s="9"/>
      <c r="C245" s="8"/>
      <c r="D245" s="8" t="str">
        <f ca="1">IFERROR(_xludf.XLOOKUP(C245,STUDENTS!$A$5:$A$204,STUDENTS!$C$5:$C$204,""),"")</f>
        <v/>
      </c>
      <c r="E245" s="8" t="str">
        <f ca="1">IFERROR(_xludf.XLOOKUP(C245,STUDENTS!$A$5:$A$204,STUDENTS!$L$5:$L$204,""),"")</f>
        <v/>
      </c>
      <c r="F245" s="8"/>
      <c r="G245" s="12"/>
      <c r="H245" s="12"/>
      <c r="I245" s="11" t="str">
        <f t="shared" si="7"/>
        <v/>
      </c>
      <c r="J245" s="8"/>
    </row>
    <row r="246" spans="1:10" x14ac:dyDescent="0.2">
      <c r="A246" s="10" t="str">
        <f t="shared" si="6"/>
        <v/>
      </c>
      <c r="B246" s="9"/>
      <c r="C246" s="8"/>
      <c r="D246" s="8" t="str">
        <f ca="1">IFERROR(_xludf.XLOOKUP(C246,STUDENTS!$A$5:$A$204,STUDENTS!$C$5:$C$204,""),"")</f>
        <v/>
      </c>
      <c r="E246" s="8" t="str">
        <f ca="1">IFERROR(_xludf.XLOOKUP(C246,STUDENTS!$A$5:$A$204,STUDENTS!$L$5:$L$204,""),"")</f>
        <v/>
      </c>
      <c r="F246" s="8"/>
      <c r="G246" s="12"/>
      <c r="H246" s="12"/>
      <c r="I246" s="11" t="str">
        <f t="shared" si="7"/>
        <v/>
      </c>
      <c r="J246" s="8"/>
    </row>
    <row r="247" spans="1:10" x14ac:dyDescent="0.2">
      <c r="A247" s="10" t="str">
        <f t="shared" si="6"/>
        <v/>
      </c>
      <c r="B247" s="9"/>
      <c r="C247" s="8"/>
      <c r="D247" s="8" t="str">
        <f ca="1">IFERROR(_xludf.XLOOKUP(C247,STUDENTS!$A$5:$A$204,STUDENTS!$C$5:$C$204,""),"")</f>
        <v/>
      </c>
      <c r="E247" s="8" t="str">
        <f ca="1">IFERROR(_xludf.XLOOKUP(C247,STUDENTS!$A$5:$A$204,STUDENTS!$L$5:$L$204,""),"")</f>
        <v/>
      </c>
      <c r="F247" s="8"/>
      <c r="G247" s="12"/>
      <c r="H247" s="12"/>
      <c r="I247" s="11" t="str">
        <f t="shared" si="7"/>
        <v/>
      </c>
      <c r="J247" s="8"/>
    </row>
    <row r="248" spans="1:10" x14ac:dyDescent="0.2">
      <c r="A248" s="10" t="str">
        <f t="shared" si="6"/>
        <v/>
      </c>
      <c r="B248" s="9"/>
      <c r="C248" s="8"/>
      <c r="D248" s="8" t="str">
        <f ca="1">IFERROR(_xludf.XLOOKUP(C248,STUDENTS!$A$5:$A$204,STUDENTS!$C$5:$C$204,""),"")</f>
        <v/>
      </c>
      <c r="E248" s="8" t="str">
        <f ca="1">IFERROR(_xludf.XLOOKUP(C248,STUDENTS!$A$5:$A$204,STUDENTS!$L$5:$L$204,""),"")</f>
        <v/>
      </c>
      <c r="F248" s="8"/>
      <c r="G248" s="12"/>
      <c r="H248" s="12"/>
      <c r="I248" s="11" t="str">
        <f t="shared" si="7"/>
        <v/>
      </c>
      <c r="J248" s="8"/>
    </row>
    <row r="249" spans="1:10" x14ac:dyDescent="0.2">
      <c r="A249" s="10" t="str">
        <f t="shared" si="6"/>
        <v/>
      </c>
      <c r="B249" s="9"/>
      <c r="C249" s="8"/>
      <c r="D249" s="8" t="str">
        <f ca="1">IFERROR(_xludf.XLOOKUP(C249,STUDENTS!$A$5:$A$204,STUDENTS!$C$5:$C$204,""),"")</f>
        <v/>
      </c>
      <c r="E249" s="8" t="str">
        <f ca="1">IFERROR(_xludf.XLOOKUP(C249,STUDENTS!$A$5:$A$204,STUDENTS!$L$5:$L$204,""),"")</f>
        <v/>
      </c>
      <c r="F249" s="8"/>
      <c r="G249" s="12"/>
      <c r="H249" s="12"/>
      <c r="I249" s="11" t="str">
        <f t="shared" si="7"/>
        <v/>
      </c>
      <c r="J249" s="8"/>
    </row>
    <row r="250" spans="1:10" x14ac:dyDescent="0.2">
      <c r="A250" s="10" t="str">
        <f t="shared" si="6"/>
        <v/>
      </c>
      <c r="B250" s="9"/>
      <c r="C250" s="8"/>
      <c r="D250" s="8" t="str">
        <f ca="1">IFERROR(_xludf.XLOOKUP(C250,STUDENTS!$A$5:$A$204,STUDENTS!$C$5:$C$204,""),"")</f>
        <v/>
      </c>
      <c r="E250" s="8" t="str">
        <f ca="1">IFERROR(_xludf.XLOOKUP(C250,STUDENTS!$A$5:$A$204,STUDENTS!$L$5:$L$204,""),"")</f>
        <v/>
      </c>
      <c r="F250" s="8"/>
      <c r="G250" s="12"/>
      <c r="H250" s="12"/>
      <c r="I250" s="11" t="str">
        <f t="shared" si="7"/>
        <v/>
      </c>
      <c r="J250" s="8"/>
    </row>
    <row r="251" spans="1:10" x14ac:dyDescent="0.2">
      <c r="A251" s="10" t="str">
        <f t="shared" si="6"/>
        <v/>
      </c>
      <c r="B251" s="9"/>
      <c r="C251" s="8"/>
      <c r="D251" s="8" t="str">
        <f ca="1">IFERROR(_xludf.XLOOKUP(C251,STUDENTS!$A$5:$A$204,STUDENTS!$C$5:$C$204,""),"")</f>
        <v/>
      </c>
      <c r="E251" s="8" t="str">
        <f ca="1">IFERROR(_xludf.XLOOKUP(C251,STUDENTS!$A$5:$A$204,STUDENTS!$L$5:$L$204,""),"")</f>
        <v/>
      </c>
      <c r="F251" s="8"/>
      <c r="G251" s="12"/>
      <c r="H251" s="12"/>
      <c r="I251" s="11" t="str">
        <f t="shared" si="7"/>
        <v/>
      </c>
      <c r="J251" s="8"/>
    </row>
    <row r="252" spans="1:10" x14ac:dyDescent="0.2">
      <c r="A252" s="10" t="str">
        <f t="shared" si="6"/>
        <v/>
      </c>
      <c r="B252" s="9"/>
      <c r="C252" s="8"/>
      <c r="D252" s="8" t="str">
        <f ca="1">IFERROR(_xludf.XLOOKUP(C252,STUDENTS!$A$5:$A$204,STUDENTS!$C$5:$C$204,""),"")</f>
        <v/>
      </c>
      <c r="E252" s="8" t="str">
        <f ca="1">IFERROR(_xludf.XLOOKUP(C252,STUDENTS!$A$5:$A$204,STUDENTS!$L$5:$L$204,""),"")</f>
        <v/>
      </c>
      <c r="F252" s="8"/>
      <c r="G252" s="12"/>
      <c r="H252" s="12"/>
      <c r="I252" s="11" t="str">
        <f t="shared" si="7"/>
        <v/>
      </c>
      <c r="J252" s="8"/>
    </row>
    <row r="253" spans="1:10" x14ac:dyDescent="0.2">
      <c r="A253" s="10" t="str">
        <f t="shared" si="6"/>
        <v/>
      </c>
      <c r="B253" s="9"/>
      <c r="C253" s="8"/>
      <c r="D253" s="8" t="str">
        <f ca="1">IFERROR(_xludf.XLOOKUP(C253,STUDENTS!$A$5:$A$204,STUDENTS!$C$5:$C$204,""),"")</f>
        <v/>
      </c>
      <c r="E253" s="8" t="str">
        <f ca="1">IFERROR(_xludf.XLOOKUP(C253,STUDENTS!$A$5:$A$204,STUDENTS!$L$5:$L$204,""),"")</f>
        <v/>
      </c>
      <c r="F253" s="8"/>
      <c r="G253" s="12"/>
      <c r="H253" s="12"/>
      <c r="I253" s="11" t="str">
        <f t="shared" si="7"/>
        <v/>
      </c>
      <c r="J253" s="8"/>
    </row>
    <row r="254" spans="1:10" x14ac:dyDescent="0.2">
      <c r="A254" s="10" t="str">
        <f t="shared" si="6"/>
        <v/>
      </c>
      <c r="B254" s="9"/>
      <c r="C254" s="8"/>
      <c r="D254" s="8" t="str">
        <f ca="1">IFERROR(_xludf.XLOOKUP(C254,STUDENTS!$A$5:$A$204,STUDENTS!$C$5:$C$204,""),"")</f>
        <v/>
      </c>
      <c r="E254" s="8" t="str">
        <f ca="1">IFERROR(_xludf.XLOOKUP(C254,STUDENTS!$A$5:$A$204,STUDENTS!$L$5:$L$204,""),"")</f>
        <v/>
      </c>
      <c r="F254" s="8"/>
      <c r="G254" s="12"/>
      <c r="H254" s="12"/>
      <c r="I254" s="11" t="str">
        <f t="shared" si="7"/>
        <v/>
      </c>
      <c r="J254" s="8"/>
    </row>
    <row r="255" spans="1:10" x14ac:dyDescent="0.2">
      <c r="A255" s="10" t="str">
        <f t="shared" si="6"/>
        <v/>
      </c>
      <c r="B255" s="9"/>
      <c r="C255" s="8"/>
      <c r="D255" s="8" t="str">
        <f ca="1">IFERROR(_xludf.XLOOKUP(C255,STUDENTS!$A$5:$A$204,STUDENTS!$C$5:$C$204,""),"")</f>
        <v/>
      </c>
      <c r="E255" s="8" t="str">
        <f ca="1">IFERROR(_xludf.XLOOKUP(C255,STUDENTS!$A$5:$A$204,STUDENTS!$L$5:$L$204,""),"")</f>
        <v/>
      </c>
      <c r="F255" s="8"/>
      <c r="G255" s="12"/>
      <c r="H255" s="12"/>
      <c r="I255" s="11" t="str">
        <f t="shared" si="7"/>
        <v/>
      </c>
      <c r="J255" s="8"/>
    </row>
    <row r="256" spans="1:10" x14ac:dyDescent="0.2">
      <c r="A256" s="10" t="str">
        <f t="shared" si="6"/>
        <v/>
      </c>
      <c r="B256" s="9"/>
      <c r="C256" s="8"/>
      <c r="D256" s="8" t="str">
        <f ca="1">IFERROR(_xludf.XLOOKUP(C256,STUDENTS!$A$5:$A$204,STUDENTS!$C$5:$C$204,""),"")</f>
        <v/>
      </c>
      <c r="E256" s="8" t="str">
        <f ca="1">IFERROR(_xludf.XLOOKUP(C256,STUDENTS!$A$5:$A$204,STUDENTS!$L$5:$L$204,""),"")</f>
        <v/>
      </c>
      <c r="F256" s="8"/>
      <c r="G256" s="12"/>
      <c r="H256" s="12"/>
      <c r="I256" s="11" t="str">
        <f t="shared" si="7"/>
        <v/>
      </c>
      <c r="J256" s="8"/>
    </row>
    <row r="257" spans="1:10" x14ac:dyDescent="0.2">
      <c r="A257" s="10" t="str">
        <f t="shared" si="6"/>
        <v/>
      </c>
      <c r="B257" s="9"/>
      <c r="C257" s="8"/>
      <c r="D257" s="8" t="str">
        <f ca="1">IFERROR(_xludf.XLOOKUP(C257,STUDENTS!$A$5:$A$204,STUDENTS!$C$5:$C$204,""),"")</f>
        <v/>
      </c>
      <c r="E257" s="8" t="str">
        <f ca="1">IFERROR(_xludf.XLOOKUP(C257,STUDENTS!$A$5:$A$204,STUDENTS!$L$5:$L$204,""),"")</f>
        <v/>
      </c>
      <c r="F257" s="8"/>
      <c r="G257" s="12"/>
      <c r="H257" s="12"/>
      <c r="I257" s="11" t="str">
        <f t="shared" si="7"/>
        <v/>
      </c>
      <c r="J257" s="8"/>
    </row>
    <row r="258" spans="1:10" x14ac:dyDescent="0.2">
      <c r="A258" s="10" t="str">
        <f t="shared" si="6"/>
        <v/>
      </c>
      <c r="B258" s="9"/>
      <c r="C258" s="8"/>
      <c r="D258" s="8" t="str">
        <f ca="1">IFERROR(_xludf.XLOOKUP(C258,STUDENTS!$A$5:$A$204,STUDENTS!$C$5:$C$204,""),"")</f>
        <v/>
      </c>
      <c r="E258" s="8" t="str">
        <f ca="1">IFERROR(_xludf.XLOOKUP(C258,STUDENTS!$A$5:$A$204,STUDENTS!$L$5:$L$204,""),"")</f>
        <v/>
      </c>
      <c r="F258" s="8"/>
      <c r="G258" s="12"/>
      <c r="H258" s="12"/>
      <c r="I258" s="11" t="str">
        <f t="shared" si="7"/>
        <v/>
      </c>
      <c r="J258" s="8"/>
    </row>
    <row r="259" spans="1:10" x14ac:dyDescent="0.2">
      <c r="A259" s="10" t="str">
        <f t="shared" si="6"/>
        <v/>
      </c>
      <c r="B259" s="9"/>
      <c r="C259" s="8"/>
      <c r="D259" s="8" t="str">
        <f ca="1">IFERROR(_xludf.XLOOKUP(C259,STUDENTS!$A$5:$A$204,STUDENTS!$C$5:$C$204,""),"")</f>
        <v/>
      </c>
      <c r="E259" s="8" t="str">
        <f ca="1">IFERROR(_xludf.XLOOKUP(C259,STUDENTS!$A$5:$A$204,STUDENTS!$L$5:$L$204,""),"")</f>
        <v/>
      </c>
      <c r="F259" s="8"/>
      <c r="G259" s="12"/>
      <c r="H259" s="12"/>
      <c r="I259" s="11" t="str">
        <f t="shared" si="7"/>
        <v/>
      </c>
      <c r="J259" s="8"/>
    </row>
    <row r="260" spans="1:10" x14ac:dyDescent="0.2">
      <c r="A260" s="10" t="str">
        <f t="shared" si="6"/>
        <v/>
      </c>
      <c r="B260" s="9"/>
      <c r="C260" s="8"/>
      <c r="D260" s="8" t="str">
        <f ca="1">IFERROR(_xludf.XLOOKUP(C260,STUDENTS!$A$5:$A$204,STUDENTS!$C$5:$C$204,""),"")</f>
        <v/>
      </c>
      <c r="E260" s="8" t="str">
        <f ca="1">IFERROR(_xludf.XLOOKUP(C260,STUDENTS!$A$5:$A$204,STUDENTS!$L$5:$L$204,""),"")</f>
        <v/>
      </c>
      <c r="F260" s="8"/>
      <c r="G260" s="12"/>
      <c r="H260" s="12"/>
      <c r="I260" s="11" t="str">
        <f t="shared" si="7"/>
        <v/>
      </c>
      <c r="J260" s="8"/>
    </row>
    <row r="261" spans="1:10" x14ac:dyDescent="0.2">
      <c r="A261" s="10" t="str">
        <f t="shared" ref="A261:A324" si="8">IF(C261="","","EX-"&amp;TEXT(ROW()-4,"00000"))</f>
        <v/>
      </c>
      <c r="B261" s="9"/>
      <c r="C261" s="8"/>
      <c r="D261" s="8" t="str">
        <f ca="1">IFERROR(_xludf.XLOOKUP(C261,STUDENTS!$A$5:$A$204,STUDENTS!$C$5:$C$204,""),"")</f>
        <v/>
      </c>
      <c r="E261" s="8" t="str">
        <f ca="1">IFERROR(_xludf.XLOOKUP(C261,STUDENTS!$A$5:$A$204,STUDENTS!$L$5:$L$204,""),"")</f>
        <v/>
      </c>
      <c r="F261" s="8"/>
      <c r="G261" s="12"/>
      <c r="H261" s="12"/>
      <c r="I261" s="11" t="str">
        <f t="shared" ref="I261:I324" si="9">IF(G261="","",G261-H261)</f>
        <v/>
      </c>
      <c r="J261" s="8"/>
    </row>
    <row r="262" spans="1:10" x14ac:dyDescent="0.2">
      <c r="A262" s="10" t="str">
        <f t="shared" si="8"/>
        <v/>
      </c>
      <c r="B262" s="9"/>
      <c r="C262" s="8"/>
      <c r="D262" s="8" t="str">
        <f ca="1">IFERROR(_xludf.XLOOKUP(C262,STUDENTS!$A$5:$A$204,STUDENTS!$C$5:$C$204,""),"")</f>
        <v/>
      </c>
      <c r="E262" s="8" t="str">
        <f ca="1">IFERROR(_xludf.XLOOKUP(C262,STUDENTS!$A$5:$A$204,STUDENTS!$L$5:$L$204,""),"")</f>
        <v/>
      </c>
      <c r="F262" s="8"/>
      <c r="G262" s="12"/>
      <c r="H262" s="12"/>
      <c r="I262" s="11" t="str">
        <f t="shared" si="9"/>
        <v/>
      </c>
      <c r="J262" s="8"/>
    </row>
    <row r="263" spans="1:10" x14ac:dyDescent="0.2">
      <c r="A263" s="10" t="str">
        <f t="shared" si="8"/>
        <v/>
      </c>
      <c r="B263" s="9"/>
      <c r="C263" s="8"/>
      <c r="D263" s="8" t="str">
        <f ca="1">IFERROR(_xludf.XLOOKUP(C263,STUDENTS!$A$5:$A$204,STUDENTS!$C$5:$C$204,""),"")</f>
        <v/>
      </c>
      <c r="E263" s="8" t="str">
        <f ca="1">IFERROR(_xludf.XLOOKUP(C263,STUDENTS!$A$5:$A$204,STUDENTS!$L$5:$L$204,""),"")</f>
        <v/>
      </c>
      <c r="F263" s="8"/>
      <c r="G263" s="12"/>
      <c r="H263" s="12"/>
      <c r="I263" s="11" t="str">
        <f t="shared" si="9"/>
        <v/>
      </c>
      <c r="J263" s="8"/>
    </row>
    <row r="264" spans="1:10" x14ac:dyDescent="0.2">
      <c r="A264" s="10" t="str">
        <f t="shared" si="8"/>
        <v/>
      </c>
      <c r="B264" s="9"/>
      <c r="C264" s="8"/>
      <c r="D264" s="8" t="str">
        <f ca="1">IFERROR(_xludf.XLOOKUP(C264,STUDENTS!$A$5:$A$204,STUDENTS!$C$5:$C$204,""),"")</f>
        <v/>
      </c>
      <c r="E264" s="8" t="str">
        <f ca="1">IFERROR(_xludf.XLOOKUP(C264,STUDENTS!$A$5:$A$204,STUDENTS!$L$5:$L$204,""),"")</f>
        <v/>
      </c>
      <c r="F264" s="8"/>
      <c r="G264" s="12"/>
      <c r="H264" s="12"/>
      <c r="I264" s="11" t="str">
        <f t="shared" si="9"/>
        <v/>
      </c>
      <c r="J264" s="8"/>
    </row>
    <row r="265" spans="1:10" x14ac:dyDescent="0.2">
      <c r="A265" s="10" t="str">
        <f t="shared" si="8"/>
        <v/>
      </c>
      <c r="B265" s="9"/>
      <c r="C265" s="8"/>
      <c r="D265" s="8" t="str">
        <f ca="1">IFERROR(_xludf.XLOOKUP(C265,STUDENTS!$A$5:$A$204,STUDENTS!$C$5:$C$204,""),"")</f>
        <v/>
      </c>
      <c r="E265" s="8" t="str">
        <f ca="1">IFERROR(_xludf.XLOOKUP(C265,STUDENTS!$A$5:$A$204,STUDENTS!$L$5:$L$204,""),"")</f>
        <v/>
      </c>
      <c r="F265" s="8"/>
      <c r="G265" s="12"/>
      <c r="H265" s="12"/>
      <c r="I265" s="11" t="str">
        <f t="shared" si="9"/>
        <v/>
      </c>
      <c r="J265" s="8"/>
    </row>
    <row r="266" spans="1:10" x14ac:dyDescent="0.2">
      <c r="A266" s="10" t="str">
        <f t="shared" si="8"/>
        <v/>
      </c>
      <c r="B266" s="9"/>
      <c r="C266" s="8"/>
      <c r="D266" s="8" t="str">
        <f ca="1">IFERROR(_xludf.XLOOKUP(C266,STUDENTS!$A$5:$A$204,STUDENTS!$C$5:$C$204,""),"")</f>
        <v/>
      </c>
      <c r="E266" s="8" t="str">
        <f ca="1">IFERROR(_xludf.XLOOKUP(C266,STUDENTS!$A$5:$A$204,STUDENTS!$L$5:$L$204,""),"")</f>
        <v/>
      </c>
      <c r="F266" s="8"/>
      <c r="G266" s="12"/>
      <c r="H266" s="12"/>
      <c r="I266" s="11" t="str">
        <f t="shared" si="9"/>
        <v/>
      </c>
      <c r="J266" s="8"/>
    </row>
    <row r="267" spans="1:10" x14ac:dyDescent="0.2">
      <c r="A267" s="10" t="str">
        <f t="shared" si="8"/>
        <v/>
      </c>
      <c r="B267" s="9"/>
      <c r="C267" s="8"/>
      <c r="D267" s="8" t="str">
        <f ca="1">IFERROR(_xludf.XLOOKUP(C267,STUDENTS!$A$5:$A$204,STUDENTS!$C$5:$C$204,""),"")</f>
        <v/>
      </c>
      <c r="E267" s="8" t="str">
        <f ca="1">IFERROR(_xludf.XLOOKUP(C267,STUDENTS!$A$5:$A$204,STUDENTS!$L$5:$L$204,""),"")</f>
        <v/>
      </c>
      <c r="F267" s="8"/>
      <c r="G267" s="12"/>
      <c r="H267" s="12"/>
      <c r="I267" s="11" t="str">
        <f t="shared" si="9"/>
        <v/>
      </c>
      <c r="J267" s="8"/>
    </row>
    <row r="268" spans="1:10" x14ac:dyDescent="0.2">
      <c r="A268" s="10" t="str">
        <f t="shared" si="8"/>
        <v/>
      </c>
      <c r="B268" s="9"/>
      <c r="C268" s="8"/>
      <c r="D268" s="8" t="str">
        <f ca="1">IFERROR(_xludf.XLOOKUP(C268,STUDENTS!$A$5:$A$204,STUDENTS!$C$5:$C$204,""),"")</f>
        <v/>
      </c>
      <c r="E268" s="8" t="str">
        <f ca="1">IFERROR(_xludf.XLOOKUP(C268,STUDENTS!$A$5:$A$204,STUDENTS!$L$5:$L$204,""),"")</f>
        <v/>
      </c>
      <c r="F268" s="8"/>
      <c r="G268" s="12"/>
      <c r="H268" s="12"/>
      <c r="I268" s="11" t="str">
        <f t="shared" si="9"/>
        <v/>
      </c>
      <c r="J268" s="8"/>
    </row>
    <row r="269" spans="1:10" x14ac:dyDescent="0.2">
      <c r="A269" s="10" t="str">
        <f t="shared" si="8"/>
        <v/>
      </c>
      <c r="B269" s="9"/>
      <c r="C269" s="8"/>
      <c r="D269" s="8" t="str">
        <f ca="1">IFERROR(_xludf.XLOOKUP(C269,STUDENTS!$A$5:$A$204,STUDENTS!$C$5:$C$204,""),"")</f>
        <v/>
      </c>
      <c r="E269" s="8" t="str">
        <f ca="1">IFERROR(_xludf.XLOOKUP(C269,STUDENTS!$A$5:$A$204,STUDENTS!$L$5:$L$204,""),"")</f>
        <v/>
      </c>
      <c r="F269" s="8"/>
      <c r="G269" s="12"/>
      <c r="H269" s="12"/>
      <c r="I269" s="11" t="str">
        <f t="shared" si="9"/>
        <v/>
      </c>
      <c r="J269" s="8"/>
    </row>
    <row r="270" spans="1:10" x14ac:dyDescent="0.2">
      <c r="A270" s="10" t="str">
        <f t="shared" si="8"/>
        <v/>
      </c>
      <c r="B270" s="9"/>
      <c r="C270" s="8"/>
      <c r="D270" s="8" t="str">
        <f ca="1">IFERROR(_xludf.XLOOKUP(C270,STUDENTS!$A$5:$A$204,STUDENTS!$C$5:$C$204,""),"")</f>
        <v/>
      </c>
      <c r="E270" s="8" t="str">
        <f ca="1">IFERROR(_xludf.XLOOKUP(C270,STUDENTS!$A$5:$A$204,STUDENTS!$L$5:$L$204,""),"")</f>
        <v/>
      </c>
      <c r="F270" s="8"/>
      <c r="G270" s="12"/>
      <c r="H270" s="12"/>
      <c r="I270" s="11" t="str">
        <f t="shared" si="9"/>
        <v/>
      </c>
      <c r="J270" s="8"/>
    </row>
    <row r="271" spans="1:10" x14ac:dyDescent="0.2">
      <c r="A271" s="10" t="str">
        <f t="shared" si="8"/>
        <v/>
      </c>
      <c r="B271" s="9"/>
      <c r="C271" s="8"/>
      <c r="D271" s="8" t="str">
        <f ca="1">IFERROR(_xludf.XLOOKUP(C271,STUDENTS!$A$5:$A$204,STUDENTS!$C$5:$C$204,""),"")</f>
        <v/>
      </c>
      <c r="E271" s="8" t="str">
        <f ca="1">IFERROR(_xludf.XLOOKUP(C271,STUDENTS!$A$5:$A$204,STUDENTS!$L$5:$L$204,""),"")</f>
        <v/>
      </c>
      <c r="F271" s="8"/>
      <c r="G271" s="12"/>
      <c r="H271" s="12"/>
      <c r="I271" s="11" t="str">
        <f t="shared" si="9"/>
        <v/>
      </c>
      <c r="J271" s="8"/>
    </row>
    <row r="272" spans="1:10" x14ac:dyDescent="0.2">
      <c r="A272" s="10" t="str">
        <f t="shared" si="8"/>
        <v/>
      </c>
      <c r="B272" s="9"/>
      <c r="C272" s="8"/>
      <c r="D272" s="8" t="str">
        <f ca="1">IFERROR(_xludf.XLOOKUP(C272,STUDENTS!$A$5:$A$204,STUDENTS!$C$5:$C$204,""),"")</f>
        <v/>
      </c>
      <c r="E272" s="8" t="str">
        <f ca="1">IFERROR(_xludf.XLOOKUP(C272,STUDENTS!$A$5:$A$204,STUDENTS!$L$5:$L$204,""),"")</f>
        <v/>
      </c>
      <c r="F272" s="8"/>
      <c r="G272" s="12"/>
      <c r="H272" s="12"/>
      <c r="I272" s="11" t="str">
        <f t="shared" si="9"/>
        <v/>
      </c>
      <c r="J272" s="8"/>
    </row>
    <row r="273" spans="1:10" x14ac:dyDescent="0.2">
      <c r="A273" s="10" t="str">
        <f t="shared" si="8"/>
        <v/>
      </c>
      <c r="B273" s="9"/>
      <c r="C273" s="8"/>
      <c r="D273" s="8" t="str">
        <f ca="1">IFERROR(_xludf.XLOOKUP(C273,STUDENTS!$A$5:$A$204,STUDENTS!$C$5:$C$204,""),"")</f>
        <v/>
      </c>
      <c r="E273" s="8" t="str">
        <f ca="1">IFERROR(_xludf.XLOOKUP(C273,STUDENTS!$A$5:$A$204,STUDENTS!$L$5:$L$204,""),"")</f>
        <v/>
      </c>
      <c r="F273" s="8"/>
      <c r="G273" s="12"/>
      <c r="H273" s="12"/>
      <c r="I273" s="11" t="str">
        <f t="shared" si="9"/>
        <v/>
      </c>
      <c r="J273" s="8"/>
    </row>
    <row r="274" spans="1:10" x14ac:dyDescent="0.2">
      <c r="A274" s="10" t="str">
        <f t="shared" si="8"/>
        <v/>
      </c>
      <c r="B274" s="9"/>
      <c r="C274" s="8"/>
      <c r="D274" s="8" t="str">
        <f ca="1">IFERROR(_xludf.XLOOKUP(C274,STUDENTS!$A$5:$A$204,STUDENTS!$C$5:$C$204,""),"")</f>
        <v/>
      </c>
      <c r="E274" s="8" t="str">
        <f ca="1">IFERROR(_xludf.XLOOKUP(C274,STUDENTS!$A$5:$A$204,STUDENTS!$L$5:$L$204,""),"")</f>
        <v/>
      </c>
      <c r="F274" s="8"/>
      <c r="G274" s="12"/>
      <c r="H274" s="12"/>
      <c r="I274" s="11" t="str">
        <f t="shared" si="9"/>
        <v/>
      </c>
      <c r="J274" s="8"/>
    </row>
    <row r="275" spans="1:10" x14ac:dyDescent="0.2">
      <c r="A275" s="10" t="str">
        <f t="shared" si="8"/>
        <v/>
      </c>
      <c r="B275" s="9"/>
      <c r="C275" s="8"/>
      <c r="D275" s="8" t="str">
        <f ca="1">IFERROR(_xludf.XLOOKUP(C275,STUDENTS!$A$5:$A$204,STUDENTS!$C$5:$C$204,""),"")</f>
        <v/>
      </c>
      <c r="E275" s="8" t="str">
        <f ca="1">IFERROR(_xludf.XLOOKUP(C275,STUDENTS!$A$5:$A$204,STUDENTS!$L$5:$L$204,""),"")</f>
        <v/>
      </c>
      <c r="F275" s="8"/>
      <c r="G275" s="12"/>
      <c r="H275" s="12"/>
      <c r="I275" s="11" t="str">
        <f t="shared" si="9"/>
        <v/>
      </c>
      <c r="J275" s="8"/>
    </row>
    <row r="276" spans="1:10" x14ac:dyDescent="0.2">
      <c r="A276" s="10" t="str">
        <f t="shared" si="8"/>
        <v/>
      </c>
      <c r="B276" s="9"/>
      <c r="C276" s="8"/>
      <c r="D276" s="8" t="str">
        <f ca="1">IFERROR(_xludf.XLOOKUP(C276,STUDENTS!$A$5:$A$204,STUDENTS!$C$5:$C$204,""),"")</f>
        <v/>
      </c>
      <c r="E276" s="8" t="str">
        <f ca="1">IFERROR(_xludf.XLOOKUP(C276,STUDENTS!$A$5:$A$204,STUDENTS!$L$5:$L$204,""),"")</f>
        <v/>
      </c>
      <c r="F276" s="8"/>
      <c r="G276" s="12"/>
      <c r="H276" s="12"/>
      <c r="I276" s="11" t="str">
        <f t="shared" si="9"/>
        <v/>
      </c>
      <c r="J276" s="8"/>
    </row>
    <row r="277" spans="1:10" x14ac:dyDescent="0.2">
      <c r="A277" s="10" t="str">
        <f t="shared" si="8"/>
        <v/>
      </c>
      <c r="B277" s="9"/>
      <c r="C277" s="8"/>
      <c r="D277" s="8" t="str">
        <f ca="1">IFERROR(_xludf.XLOOKUP(C277,STUDENTS!$A$5:$A$204,STUDENTS!$C$5:$C$204,""),"")</f>
        <v/>
      </c>
      <c r="E277" s="8" t="str">
        <f ca="1">IFERROR(_xludf.XLOOKUP(C277,STUDENTS!$A$5:$A$204,STUDENTS!$L$5:$L$204,""),"")</f>
        <v/>
      </c>
      <c r="F277" s="8"/>
      <c r="G277" s="12"/>
      <c r="H277" s="12"/>
      <c r="I277" s="11" t="str">
        <f t="shared" si="9"/>
        <v/>
      </c>
      <c r="J277" s="8"/>
    </row>
    <row r="278" spans="1:10" x14ac:dyDescent="0.2">
      <c r="A278" s="10" t="str">
        <f t="shared" si="8"/>
        <v/>
      </c>
      <c r="B278" s="9"/>
      <c r="C278" s="8"/>
      <c r="D278" s="8" t="str">
        <f ca="1">IFERROR(_xludf.XLOOKUP(C278,STUDENTS!$A$5:$A$204,STUDENTS!$C$5:$C$204,""),"")</f>
        <v/>
      </c>
      <c r="E278" s="8" t="str">
        <f ca="1">IFERROR(_xludf.XLOOKUP(C278,STUDENTS!$A$5:$A$204,STUDENTS!$L$5:$L$204,""),"")</f>
        <v/>
      </c>
      <c r="F278" s="8"/>
      <c r="G278" s="12"/>
      <c r="H278" s="12"/>
      <c r="I278" s="11" t="str">
        <f t="shared" si="9"/>
        <v/>
      </c>
      <c r="J278" s="8"/>
    </row>
    <row r="279" spans="1:10" x14ac:dyDescent="0.2">
      <c r="A279" s="10" t="str">
        <f t="shared" si="8"/>
        <v/>
      </c>
      <c r="B279" s="9"/>
      <c r="C279" s="8"/>
      <c r="D279" s="8" t="str">
        <f ca="1">IFERROR(_xludf.XLOOKUP(C279,STUDENTS!$A$5:$A$204,STUDENTS!$C$5:$C$204,""),"")</f>
        <v/>
      </c>
      <c r="E279" s="8" t="str">
        <f ca="1">IFERROR(_xludf.XLOOKUP(C279,STUDENTS!$A$5:$A$204,STUDENTS!$L$5:$L$204,""),"")</f>
        <v/>
      </c>
      <c r="F279" s="8"/>
      <c r="G279" s="12"/>
      <c r="H279" s="12"/>
      <c r="I279" s="11" t="str">
        <f t="shared" si="9"/>
        <v/>
      </c>
      <c r="J279" s="8"/>
    </row>
    <row r="280" spans="1:10" x14ac:dyDescent="0.2">
      <c r="A280" s="10" t="str">
        <f t="shared" si="8"/>
        <v/>
      </c>
      <c r="B280" s="9"/>
      <c r="C280" s="8"/>
      <c r="D280" s="8" t="str">
        <f ca="1">IFERROR(_xludf.XLOOKUP(C280,STUDENTS!$A$5:$A$204,STUDENTS!$C$5:$C$204,""),"")</f>
        <v/>
      </c>
      <c r="E280" s="8" t="str">
        <f ca="1">IFERROR(_xludf.XLOOKUP(C280,STUDENTS!$A$5:$A$204,STUDENTS!$L$5:$L$204,""),"")</f>
        <v/>
      </c>
      <c r="F280" s="8"/>
      <c r="G280" s="12"/>
      <c r="H280" s="12"/>
      <c r="I280" s="11" t="str">
        <f t="shared" si="9"/>
        <v/>
      </c>
      <c r="J280" s="8"/>
    </row>
    <row r="281" spans="1:10" x14ac:dyDescent="0.2">
      <c r="A281" s="10" t="str">
        <f t="shared" si="8"/>
        <v/>
      </c>
      <c r="B281" s="9"/>
      <c r="C281" s="8"/>
      <c r="D281" s="8" t="str">
        <f ca="1">IFERROR(_xludf.XLOOKUP(C281,STUDENTS!$A$5:$A$204,STUDENTS!$C$5:$C$204,""),"")</f>
        <v/>
      </c>
      <c r="E281" s="8" t="str">
        <f ca="1">IFERROR(_xludf.XLOOKUP(C281,STUDENTS!$A$5:$A$204,STUDENTS!$L$5:$L$204,""),"")</f>
        <v/>
      </c>
      <c r="F281" s="8"/>
      <c r="G281" s="12"/>
      <c r="H281" s="12"/>
      <c r="I281" s="11" t="str">
        <f t="shared" si="9"/>
        <v/>
      </c>
      <c r="J281" s="8"/>
    </row>
    <row r="282" spans="1:10" x14ac:dyDescent="0.2">
      <c r="A282" s="10" t="str">
        <f t="shared" si="8"/>
        <v/>
      </c>
      <c r="B282" s="9"/>
      <c r="C282" s="8"/>
      <c r="D282" s="8" t="str">
        <f ca="1">IFERROR(_xludf.XLOOKUP(C282,STUDENTS!$A$5:$A$204,STUDENTS!$C$5:$C$204,""),"")</f>
        <v/>
      </c>
      <c r="E282" s="8" t="str">
        <f ca="1">IFERROR(_xludf.XLOOKUP(C282,STUDENTS!$A$5:$A$204,STUDENTS!$L$5:$L$204,""),"")</f>
        <v/>
      </c>
      <c r="F282" s="8"/>
      <c r="G282" s="12"/>
      <c r="H282" s="12"/>
      <c r="I282" s="11" t="str">
        <f t="shared" si="9"/>
        <v/>
      </c>
      <c r="J282" s="8"/>
    </row>
    <row r="283" spans="1:10" x14ac:dyDescent="0.2">
      <c r="A283" s="10" t="str">
        <f t="shared" si="8"/>
        <v/>
      </c>
      <c r="B283" s="9"/>
      <c r="C283" s="8"/>
      <c r="D283" s="8" t="str">
        <f ca="1">IFERROR(_xludf.XLOOKUP(C283,STUDENTS!$A$5:$A$204,STUDENTS!$C$5:$C$204,""),"")</f>
        <v/>
      </c>
      <c r="E283" s="8" t="str">
        <f ca="1">IFERROR(_xludf.XLOOKUP(C283,STUDENTS!$A$5:$A$204,STUDENTS!$L$5:$L$204,""),"")</f>
        <v/>
      </c>
      <c r="F283" s="8"/>
      <c r="G283" s="12"/>
      <c r="H283" s="12"/>
      <c r="I283" s="11" t="str">
        <f t="shared" si="9"/>
        <v/>
      </c>
      <c r="J283" s="8"/>
    </row>
    <row r="284" spans="1:10" x14ac:dyDescent="0.2">
      <c r="A284" s="10" t="str">
        <f t="shared" si="8"/>
        <v/>
      </c>
      <c r="B284" s="9"/>
      <c r="C284" s="8"/>
      <c r="D284" s="8" t="str">
        <f ca="1">IFERROR(_xludf.XLOOKUP(C284,STUDENTS!$A$5:$A$204,STUDENTS!$C$5:$C$204,""),"")</f>
        <v/>
      </c>
      <c r="E284" s="8" t="str">
        <f ca="1">IFERROR(_xludf.XLOOKUP(C284,STUDENTS!$A$5:$A$204,STUDENTS!$L$5:$L$204,""),"")</f>
        <v/>
      </c>
      <c r="F284" s="8"/>
      <c r="G284" s="12"/>
      <c r="H284" s="12"/>
      <c r="I284" s="11" t="str">
        <f t="shared" si="9"/>
        <v/>
      </c>
      <c r="J284" s="8"/>
    </row>
    <row r="285" spans="1:10" x14ac:dyDescent="0.2">
      <c r="A285" s="10" t="str">
        <f t="shared" si="8"/>
        <v/>
      </c>
      <c r="B285" s="9"/>
      <c r="C285" s="8"/>
      <c r="D285" s="8" t="str">
        <f ca="1">IFERROR(_xludf.XLOOKUP(C285,STUDENTS!$A$5:$A$204,STUDENTS!$C$5:$C$204,""),"")</f>
        <v/>
      </c>
      <c r="E285" s="8" t="str">
        <f ca="1">IFERROR(_xludf.XLOOKUP(C285,STUDENTS!$A$5:$A$204,STUDENTS!$L$5:$L$204,""),"")</f>
        <v/>
      </c>
      <c r="F285" s="8"/>
      <c r="G285" s="12"/>
      <c r="H285" s="12"/>
      <c r="I285" s="11" t="str">
        <f t="shared" si="9"/>
        <v/>
      </c>
      <c r="J285" s="8"/>
    </row>
    <row r="286" spans="1:10" x14ac:dyDescent="0.2">
      <c r="A286" s="10" t="str">
        <f t="shared" si="8"/>
        <v/>
      </c>
      <c r="B286" s="9"/>
      <c r="C286" s="8"/>
      <c r="D286" s="8" t="str">
        <f ca="1">IFERROR(_xludf.XLOOKUP(C286,STUDENTS!$A$5:$A$204,STUDENTS!$C$5:$C$204,""),"")</f>
        <v/>
      </c>
      <c r="E286" s="8" t="str">
        <f ca="1">IFERROR(_xludf.XLOOKUP(C286,STUDENTS!$A$5:$A$204,STUDENTS!$L$5:$L$204,""),"")</f>
        <v/>
      </c>
      <c r="F286" s="8"/>
      <c r="G286" s="12"/>
      <c r="H286" s="12"/>
      <c r="I286" s="11" t="str">
        <f t="shared" si="9"/>
        <v/>
      </c>
      <c r="J286" s="8"/>
    </row>
    <row r="287" spans="1:10" x14ac:dyDescent="0.2">
      <c r="A287" s="10" t="str">
        <f t="shared" si="8"/>
        <v/>
      </c>
      <c r="B287" s="9"/>
      <c r="C287" s="8"/>
      <c r="D287" s="8" t="str">
        <f ca="1">IFERROR(_xludf.XLOOKUP(C287,STUDENTS!$A$5:$A$204,STUDENTS!$C$5:$C$204,""),"")</f>
        <v/>
      </c>
      <c r="E287" s="8" t="str">
        <f ca="1">IFERROR(_xludf.XLOOKUP(C287,STUDENTS!$A$5:$A$204,STUDENTS!$L$5:$L$204,""),"")</f>
        <v/>
      </c>
      <c r="F287" s="8"/>
      <c r="G287" s="12"/>
      <c r="H287" s="12"/>
      <c r="I287" s="11" t="str">
        <f t="shared" si="9"/>
        <v/>
      </c>
      <c r="J287" s="8"/>
    </row>
    <row r="288" spans="1:10" x14ac:dyDescent="0.2">
      <c r="A288" s="10" t="str">
        <f t="shared" si="8"/>
        <v/>
      </c>
      <c r="B288" s="9"/>
      <c r="C288" s="8"/>
      <c r="D288" s="8" t="str">
        <f ca="1">IFERROR(_xludf.XLOOKUP(C288,STUDENTS!$A$5:$A$204,STUDENTS!$C$5:$C$204,""),"")</f>
        <v/>
      </c>
      <c r="E288" s="8" t="str">
        <f ca="1">IFERROR(_xludf.XLOOKUP(C288,STUDENTS!$A$5:$A$204,STUDENTS!$L$5:$L$204,""),"")</f>
        <v/>
      </c>
      <c r="F288" s="8"/>
      <c r="G288" s="12"/>
      <c r="H288" s="12"/>
      <c r="I288" s="11" t="str">
        <f t="shared" si="9"/>
        <v/>
      </c>
      <c r="J288" s="8"/>
    </row>
    <row r="289" spans="1:10" x14ac:dyDescent="0.2">
      <c r="A289" s="10" t="str">
        <f t="shared" si="8"/>
        <v/>
      </c>
      <c r="B289" s="9"/>
      <c r="C289" s="8"/>
      <c r="D289" s="8" t="str">
        <f ca="1">IFERROR(_xludf.XLOOKUP(C289,STUDENTS!$A$5:$A$204,STUDENTS!$C$5:$C$204,""),"")</f>
        <v/>
      </c>
      <c r="E289" s="8" t="str">
        <f ca="1">IFERROR(_xludf.XLOOKUP(C289,STUDENTS!$A$5:$A$204,STUDENTS!$L$5:$L$204,""),"")</f>
        <v/>
      </c>
      <c r="F289" s="8"/>
      <c r="G289" s="12"/>
      <c r="H289" s="12"/>
      <c r="I289" s="11" t="str">
        <f t="shared" si="9"/>
        <v/>
      </c>
      <c r="J289" s="8"/>
    </row>
    <row r="290" spans="1:10" x14ac:dyDescent="0.2">
      <c r="A290" s="10" t="str">
        <f t="shared" si="8"/>
        <v/>
      </c>
      <c r="B290" s="9"/>
      <c r="C290" s="8"/>
      <c r="D290" s="8" t="str">
        <f ca="1">IFERROR(_xludf.XLOOKUP(C290,STUDENTS!$A$5:$A$204,STUDENTS!$C$5:$C$204,""),"")</f>
        <v/>
      </c>
      <c r="E290" s="8" t="str">
        <f ca="1">IFERROR(_xludf.XLOOKUP(C290,STUDENTS!$A$5:$A$204,STUDENTS!$L$5:$L$204,""),"")</f>
        <v/>
      </c>
      <c r="F290" s="8"/>
      <c r="G290" s="12"/>
      <c r="H290" s="12"/>
      <c r="I290" s="11" t="str">
        <f t="shared" si="9"/>
        <v/>
      </c>
      <c r="J290" s="8"/>
    </row>
    <row r="291" spans="1:10" x14ac:dyDescent="0.2">
      <c r="A291" s="10" t="str">
        <f t="shared" si="8"/>
        <v/>
      </c>
      <c r="B291" s="9"/>
      <c r="C291" s="8"/>
      <c r="D291" s="8" t="str">
        <f ca="1">IFERROR(_xludf.XLOOKUP(C291,STUDENTS!$A$5:$A$204,STUDENTS!$C$5:$C$204,""),"")</f>
        <v/>
      </c>
      <c r="E291" s="8" t="str">
        <f ca="1">IFERROR(_xludf.XLOOKUP(C291,STUDENTS!$A$5:$A$204,STUDENTS!$L$5:$L$204,""),"")</f>
        <v/>
      </c>
      <c r="F291" s="8"/>
      <c r="G291" s="12"/>
      <c r="H291" s="12"/>
      <c r="I291" s="11" t="str">
        <f t="shared" si="9"/>
        <v/>
      </c>
      <c r="J291" s="8"/>
    </row>
    <row r="292" spans="1:10" x14ac:dyDescent="0.2">
      <c r="A292" s="10" t="str">
        <f t="shared" si="8"/>
        <v/>
      </c>
      <c r="B292" s="9"/>
      <c r="C292" s="8"/>
      <c r="D292" s="8" t="str">
        <f ca="1">IFERROR(_xludf.XLOOKUP(C292,STUDENTS!$A$5:$A$204,STUDENTS!$C$5:$C$204,""),"")</f>
        <v/>
      </c>
      <c r="E292" s="8" t="str">
        <f ca="1">IFERROR(_xludf.XLOOKUP(C292,STUDENTS!$A$5:$A$204,STUDENTS!$L$5:$L$204,""),"")</f>
        <v/>
      </c>
      <c r="F292" s="8"/>
      <c r="G292" s="12"/>
      <c r="H292" s="12"/>
      <c r="I292" s="11" t="str">
        <f t="shared" si="9"/>
        <v/>
      </c>
      <c r="J292" s="8"/>
    </row>
    <row r="293" spans="1:10" x14ac:dyDescent="0.2">
      <c r="A293" s="10" t="str">
        <f t="shared" si="8"/>
        <v/>
      </c>
      <c r="B293" s="9"/>
      <c r="C293" s="8"/>
      <c r="D293" s="8" t="str">
        <f ca="1">IFERROR(_xludf.XLOOKUP(C293,STUDENTS!$A$5:$A$204,STUDENTS!$C$5:$C$204,""),"")</f>
        <v/>
      </c>
      <c r="E293" s="8" t="str">
        <f ca="1">IFERROR(_xludf.XLOOKUP(C293,STUDENTS!$A$5:$A$204,STUDENTS!$L$5:$L$204,""),"")</f>
        <v/>
      </c>
      <c r="F293" s="8"/>
      <c r="G293" s="12"/>
      <c r="H293" s="12"/>
      <c r="I293" s="11" t="str">
        <f t="shared" si="9"/>
        <v/>
      </c>
      <c r="J293" s="8"/>
    </row>
    <row r="294" spans="1:10" x14ac:dyDescent="0.2">
      <c r="A294" s="10" t="str">
        <f t="shared" si="8"/>
        <v/>
      </c>
      <c r="B294" s="9"/>
      <c r="C294" s="8"/>
      <c r="D294" s="8" t="str">
        <f ca="1">IFERROR(_xludf.XLOOKUP(C294,STUDENTS!$A$5:$A$204,STUDENTS!$C$5:$C$204,""),"")</f>
        <v/>
      </c>
      <c r="E294" s="8" t="str">
        <f ca="1">IFERROR(_xludf.XLOOKUP(C294,STUDENTS!$A$5:$A$204,STUDENTS!$L$5:$L$204,""),"")</f>
        <v/>
      </c>
      <c r="F294" s="8"/>
      <c r="G294" s="12"/>
      <c r="H294" s="12"/>
      <c r="I294" s="11" t="str">
        <f t="shared" si="9"/>
        <v/>
      </c>
      <c r="J294" s="8"/>
    </row>
    <row r="295" spans="1:10" x14ac:dyDescent="0.2">
      <c r="A295" s="10" t="str">
        <f t="shared" si="8"/>
        <v/>
      </c>
      <c r="B295" s="9"/>
      <c r="C295" s="8"/>
      <c r="D295" s="8" t="str">
        <f ca="1">IFERROR(_xludf.XLOOKUP(C295,STUDENTS!$A$5:$A$204,STUDENTS!$C$5:$C$204,""),"")</f>
        <v/>
      </c>
      <c r="E295" s="8" t="str">
        <f ca="1">IFERROR(_xludf.XLOOKUP(C295,STUDENTS!$A$5:$A$204,STUDENTS!$L$5:$L$204,""),"")</f>
        <v/>
      </c>
      <c r="F295" s="8"/>
      <c r="G295" s="12"/>
      <c r="H295" s="12"/>
      <c r="I295" s="11" t="str">
        <f t="shared" si="9"/>
        <v/>
      </c>
      <c r="J295" s="8"/>
    </row>
    <row r="296" spans="1:10" x14ac:dyDescent="0.2">
      <c r="A296" s="10" t="str">
        <f t="shared" si="8"/>
        <v/>
      </c>
      <c r="B296" s="9"/>
      <c r="C296" s="8"/>
      <c r="D296" s="8" t="str">
        <f ca="1">IFERROR(_xludf.XLOOKUP(C296,STUDENTS!$A$5:$A$204,STUDENTS!$C$5:$C$204,""),"")</f>
        <v/>
      </c>
      <c r="E296" s="8" t="str">
        <f ca="1">IFERROR(_xludf.XLOOKUP(C296,STUDENTS!$A$5:$A$204,STUDENTS!$L$5:$L$204,""),"")</f>
        <v/>
      </c>
      <c r="F296" s="8"/>
      <c r="G296" s="12"/>
      <c r="H296" s="12"/>
      <c r="I296" s="11" t="str">
        <f t="shared" si="9"/>
        <v/>
      </c>
      <c r="J296" s="8"/>
    </row>
    <row r="297" spans="1:10" x14ac:dyDescent="0.2">
      <c r="A297" s="10" t="str">
        <f t="shared" si="8"/>
        <v/>
      </c>
      <c r="B297" s="9"/>
      <c r="C297" s="8"/>
      <c r="D297" s="8" t="str">
        <f ca="1">IFERROR(_xludf.XLOOKUP(C297,STUDENTS!$A$5:$A$204,STUDENTS!$C$5:$C$204,""),"")</f>
        <v/>
      </c>
      <c r="E297" s="8" t="str">
        <f ca="1">IFERROR(_xludf.XLOOKUP(C297,STUDENTS!$A$5:$A$204,STUDENTS!$L$5:$L$204,""),"")</f>
        <v/>
      </c>
      <c r="F297" s="8"/>
      <c r="G297" s="12"/>
      <c r="H297" s="12"/>
      <c r="I297" s="11" t="str">
        <f t="shared" si="9"/>
        <v/>
      </c>
      <c r="J297" s="8"/>
    </row>
    <row r="298" spans="1:10" x14ac:dyDescent="0.2">
      <c r="A298" s="10" t="str">
        <f t="shared" si="8"/>
        <v/>
      </c>
      <c r="B298" s="9"/>
      <c r="C298" s="8"/>
      <c r="D298" s="8" t="str">
        <f ca="1">IFERROR(_xludf.XLOOKUP(C298,STUDENTS!$A$5:$A$204,STUDENTS!$C$5:$C$204,""),"")</f>
        <v/>
      </c>
      <c r="E298" s="8" t="str">
        <f ca="1">IFERROR(_xludf.XLOOKUP(C298,STUDENTS!$A$5:$A$204,STUDENTS!$L$5:$L$204,""),"")</f>
        <v/>
      </c>
      <c r="F298" s="8"/>
      <c r="G298" s="12"/>
      <c r="H298" s="12"/>
      <c r="I298" s="11" t="str">
        <f t="shared" si="9"/>
        <v/>
      </c>
      <c r="J298" s="8"/>
    </row>
    <row r="299" spans="1:10" x14ac:dyDescent="0.2">
      <c r="A299" s="10" t="str">
        <f t="shared" si="8"/>
        <v/>
      </c>
      <c r="B299" s="9"/>
      <c r="C299" s="8"/>
      <c r="D299" s="8" t="str">
        <f ca="1">IFERROR(_xludf.XLOOKUP(C299,STUDENTS!$A$5:$A$204,STUDENTS!$C$5:$C$204,""),"")</f>
        <v/>
      </c>
      <c r="E299" s="8" t="str">
        <f ca="1">IFERROR(_xludf.XLOOKUP(C299,STUDENTS!$A$5:$A$204,STUDENTS!$L$5:$L$204,""),"")</f>
        <v/>
      </c>
      <c r="F299" s="8"/>
      <c r="G299" s="12"/>
      <c r="H299" s="12"/>
      <c r="I299" s="11" t="str">
        <f t="shared" si="9"/>
        <v/>
      </c>
      <c r="J299" s="8"/>
    </row>
    <row r="300" spans="1:10" x14ac:dyDescent="0.2">
      <c r="A300" s="10" t="str">
        <f t="shared" si="8"/>
        <v/>
      </c>
      <c r="B300" s="9"/>
      <c r="C300" s="8"/>
      <c r="D300" s="8" t="str">
        <f ca="1">IFERROR(_xludf.XLOOKUP(C300,STUDENTS!$A$5:$A$204,STUDENTS!$C$5:$C$204,""),"")</f>
        <v/>
      </c>
      <c r="E300" s="8" t="str">
        <f ca="1">IFERROR(_xludf.XLOOKUP(C300,STUDENTS!$A$5:$A$204,STUDENTS!$L$5:$L$204,""),"")</f>
        <v/>
      </c>
      <c r="F300" s="8"/>
      <c r="G300" s="12"/>
      <c r="H300" s="12"/>
      <c r="I300" s="11" t="str">
        <f t="shared" si="9"/>
        <v/>
      </c>
      <c r="J300" s="8"/>
    </row>
    <row r="301" spans="1:10" x14ac:dyDescent="0.2">
      <c r="A301" s="10" t="str">
        <f t="shared" si="8"/>
        <v/>
      </c>
      <c r="B301" s="9"/>
      <c r="C301" s="8"/>
      <c r="D301" s="8" t="str">
        <f ca="1">IFERROR(_xludf.XLOOKUP(C301,STUDENTS!$A$5:$A$204,STUDENTS!$C$5:$C$204,""),"")</f>
        <v/>
      </c>
      <c r="E301" s="8" t="str">
        <f ca="1">IFERROR(_xludf.XLOOKUP(C301,STUDENTS!$A$5:$A$204,STUDENTS!$L$5:$L$204,""),"")</f>
        <v/>
      </c>
      <c r="F301" s="8"/>
      <c r="G301" s="12"/>
      <c r="H301" s="12"/>
      <c r="I301" s="11" t="str">
        <f t="shared" si="9"/>
        <v/>
      </c>
      <c r="J301" s="8"/>
    </row>
    <row r="302" spans="1:10" x14ac:dyDescent="0.2">
      <c r="A302" s="10" t="str">
        <f t="shared" si="8"/>
        <v/>
      </c>
      <c r="B302" s="9"/>
      <c r="C302" s="8"/>
      <c r="D302" s="8" t="str">
        <f ca="1">IFERROR(_xludf.XLOOKUP(C302,STUDENTS!$A$5:$A$204,STUDENTS!$C$5:$C$204,""),"")</f>
        <v/>
      </c>
      <c r="E302" s="8" t="str">
        <f ca="1">IFERROR(_xludf.XLOOKUP(C302,STUDENTS!$A$5:$A$204,STUDENTS!$L$5:$L$204,""),"")</f>
        <v/>
      </c>
      <c r="F302" s="8"/>
      <c r="G302" s="12"/>
      <c r="H302" s="12"/>
      <c r="I302" s="11" t="str">
        <f t="shared" si="9"/>
        <v/>
      </c>
      <c r="J302" s="8"/>
    </row>
    <row r="303" spans="1:10" x14ac:dyDescent="0.2">
      <c r="A303" s="10" t="str">
        <f t="shared" si="8"/>
        <v/>
      </c>
      <c r="B303" s="9"/>
      <c r="C303" s="8"/>
      <c r="D303" s="8" t="str">
        <f ca="1">IFERROR(_xludf.XLOOKUP(C303,STUDENTS!$A$5:$A$204,STUDENTS!$C$5:$C$204,""),"")</f>
        <v/>
      </c>
      <c r="E303" s="8" t="str">
        <f ca="1">IFERROR(_xludf.XLOOKUP(C303,STUDENTS!$A$5:$A$204,STUDENTS!$L$5:$L$204,""),"")</f>
        <v/>
      </c>
      <c r="F303" s="8"/>
      <c r="G303" s="12"/>
      <c r="H303" s="12"/>
      <c r="I303" s="11" t="str">
        <f t="shared" si="9"/>
        <v/>
      </c>
      <c r="J303" s="8"/>
    </row>
    <row r="304" spans="1:10" x14ac:dyDescent="0.2">
      <c r="A304" s="10" t="str">
        <f t="shared" si="8"/>
        <v/>
      </c>
      <c r="B304" s="9"/>
      <c r="C304" s="8"/>
      <c r="D304" s="8" t="str">
        <f ca="1">IFERROR(_xludf.XLOOKUP(C304,STUDENTS!$A$5:$A$204,STUDENTS!$C$5:$C$204,""),"")</f>
        <v/>
      </c>
      <c r="E304" s="8" t="str">
        <f ca="1">IFERROR(_xludf.XLOOKUP(C304,STUDENTS!$A$5:$A$204,STUDENTS!$L$5:$L$204,""),"")</f>
        <v/>
      </c>
      <c r="F304" s="8"/>
      <c r="G304" s="12"/>
      <c r="H304" s="12"/>
      <c r="I304" s="11" t="str">
        <f t="shared" si="9"/>
        <v/>
      </c>
      <c r="J304" s="8"/>
    </row>
    <row r="305" spans="1:10" x14ac:dyDescent="0.2">
      <c r="A305" s="10" t="str">
        <f t="shared" si="8"/>
        <v/>
      </c>
      <c r="B305" s="9"/>
      <c r="C305" s="8"/>
      <c r="D305" s="8" t="str">
        <f ca="1">IFERROR(_xludf.XLOOKUP(C305,STUDENTS!$A$5:$A$204,STUDENTS!$C$5:$C$204,""),"")</f>
        <v/>
      </c>
      <c r="E305" s="8" t="str">
        <f ca="1">IFERROR(_xludf.XLOOKUP(C305,STUDENTS!$A$5:$A$204,STUDENTS!$L$5:$L$204,""),"")</f>
        <v/>
      </c>
      <c r="F305" s="8"/>
      <c r="G305" s="12"/>
      <c r="H305" s="12"/>
      <c r="I305" s="11" t="str">
        <f t="shared" si="9"/>
        <v/>
      </c>
      <c r="J305" s="8"/>
    </row>
    <row r="306" spans="1:10" x14ac:dyDescent="0.2">
      <c r="A306" s="10" t="str">
        <f t="shared" si="8"/>
        <v/>
      </c>
      <c r="B306" s="9"/>
      <c r="C306" s="8"/>
      <c r="D306" s="8" t="str">
        <f ca="1">IFERROR(_xludf.XLOOKUP(C306,STUDENTS!$A$5:$A$204,STUDENTS!$C$5:$C$204,""),"")</f>
        <v/>
      </c>
      <c r="E306" s="8" t="str">
        <f ca="1">IFERROR(_xludf.XLOOKUP(C306,STUDENTS!$A$5:$A$204,STUDENTS!$L$5:$L$204,""),"")</f>
        <v/>
      </c>
      <c r="F306" s="8"/>
      <c r="G306" s="12"/>
      <c r="H306" s="12"/>
      <c r="I306" s="11" t="str">
        <f t="shared" si="9"/>
        <v/>
      </c>
      <c r="J306" s="8"/>
    </row>
    <row r="307" spans="1:10" x14ac:dyDescent="0.2">
      <c r="A307" s="10" t="str">
        <f t="shared" si="8"/>
        <v/>
      </c>
      <c r="B307" s="9"/>
      <c r="C307" s="8"/>
      <c r="D307" s="8" t="str">
        <f ca="1">IFERROR(_xludf.XLOOKUP(C307,STUDENTS!$A$5:$A$204,STUDENTS!$C$5:$C$204,""),"")</f>
        <v/>
      </c>
      <c r="E307" s="8" t="str">
        <f ca="1">IFERROR(_xludf.XLOOKUP(C307,STUDENTS!$A$5:$A$204,STUDENTS!$L$5:$L$204,""),"")</f>
        <v/>
      </c>
      <c r="F307" s="8"/>
      <c r="G307" s="12"/>
      <c r="H307" s="12"/>
      <c r="I307" s="11" t="str">
        <f t="shared" si="9"/>
        <v/>
      </c>
      <c r="J307" s="8"/>
    </row>
    <row r="308" spans="1:10" x14ac:dyDescent="0.2">
      <c r="A308" s="10" t="str">
        <f t="shared" si="8"/>
        <v/>
      </c>
      <c r="B308" s="9"/>
      <c r="C308" s="8"/>
      <c r="D308" s="8" t="str">
        <f ca="1">IFERROR(_xludf.XLOOKUP(C308,STUDENTS!$A$5:$A$204,STUDENTS!$C$5:$C$204,""),"")</f>
        <v/>
      </c>
      <c r="E308" s="8" t="str">
        <f ca="1">IFERROR(_xludf.XLOOKUP(C308,STUDENTS!$A$5:$A$204,STUDENTS!$L$5:$L$204,""),"")</f>
        <v/>
      </c>
      <c r="F308" s="8"/>
      <c r="G308" s="12"/>
      <c r="H308" s="12"/>
      <c r="I308" s="11" t="str">
        <f t="shared" si="9"/>
        <v/>
      </c>
      <c r="J308" s="8"/>
    </row>
    <row r="309" spans="1:10" x14ac:dyDescent="0.2">
      <c r="A309" s="10" t="str">
        <f t="shared" si="8"/>
        <v/>
      </c>
      <c r="B309" s="9"/>
      <c r="C309" s="8"/>
      <c r="D309" s="8" t="str">
        <f ca="1">IFERROR(_xludf.XLOOKUP(C309,STUDENTS!$A$5:$A$204,STUDENTS!$C$5:$C$204,""),"")</f>
        <v/>
      </c>
      <c r="E309" s="8" t="str">
        <f ca="1">IFERROR(_xludf.XLOOKUP(C309,STUDENTS!$A$5:$A$204,STUDENTS!$L$5:$L$204,""),"")</f>
        <v/>
      </c>
      <c r="F309" s="8"/>
      <c r="G309" s="12"/>
      <c r="H309" s="12"/>
      <c r="I309" s="11" t="str">
        <f t="shared" si="9"/>
        <v/>
      </c>
      <c r="J309" s="8"/>
    </row>
    <row r="310" spans="1:10" x14ac:dyDescent="0.2">
      <c r="A310" s="10" t="str">
        <f t="shared" si="8"/>
        <v/>
      </c>
      <c r="B310" s="9"/>
      <c r="C310" s="8"/>
      <c r="D310" s="8" t="str">
        <f ca="1">IFERROR(_xludf.XLOOKUP(C310,STUDENTS!$A$5:$A$204,STUDENTS!$C$5:$C$204,""),"")</f>
        <v/>
      </c>
      <c r="E310" s="8" t="str">
        <f ca="1">IFERROR(_xludf.XLOOKUP(C310,STUDENTS!$A$5:$A$204,STUDENTS!$L$5:$L$204,""),"")</f>
        <v/>
      </c>
      <c r="F310" s="8"/>
      <c r="G310" s="12"/>
      <c r="H310" s="12"/>
      <c r="I310" s="11" t="str">
        <f t="shared" si="9"/>
        <v/>
      </c>
      <c r="J310" s="8"/>
    </row>
    <row r="311" spans="1:10" x14ac:dyDescent="0.2">
      <c r="A311" s="10" t="str">
        <f t="shared" si="8"/>
        <v/>
      </c>
      <c r="B311" s="9"/>
      <c r="C311" s="8"/>
      <c r="D311" s="8" t="str">
        <f ca="1">IFERROR(_xludf.XLOOKUP(C311,STUDENTS!$A$5:$A$204,STUDENTS!$C$5:$C$204,""),"")</f>
        <v/>
      </c>
      <c r="E311" s="8" t="str">
        <f ca="1">IFERROR(_xludf.XLOOKUP(C311,STUDENTS!$A$5:$A$204,STUDENTS!$L$5:$L$204,""),"")</f>
        <v/>
      </c>
      <c r="F311" s="8"/>
      <c r="G311" s="12"/>
      <c r="H311" s="12"/>
      <c r="I311" s="11" t="str">
        <f t="shared" si="9"/>
        <v/>
      </c>
      <c r="J311" s="8"/>
    </row>
    <row r="312" spans="1:10" x14ac:dyDescent="0.2">
      <c r="A312" s="10" t="str">
        <f t="shared" si="8"/>
        <v/>
      </c>
      <c r="B312" s="9"/>
      <c r="C312" s="8"/>
      <c r="D312" s="8" t="str">
        <f ca="1">IFERROR(_xludf.XLOOKUP(C312,STUDENTS!$A$5:$A$204,STUDENTS!$C$5:$C$204,""),"")</f>
        <v/>
      </c>
      <c r="E312" s="8" t="str">
        <f ca="1">IFERROR(_xludf.XLOOKUP(C312,STUDENTS!$A$5:$A$204,STUDENTS!$L$5:$L$204,""),"")</f>
        <v/>
      </c>
      <c r="F312" s="8"/>
      <c r="G312" s="12"/>
      <c r="H312" s="12"/>
      <c r="I312" s="11" t="str">
        <f t="shared" si="9"/>
        <v/>
      </c>
      <c r="J312" s="8"/>
    </row>
    <row r="313" spans="1:10" x14ac:dyDescent="0.2">
      <c r="A313" s="10" t="str">
        <f t="shared" si="8"/>
        <v/>
      </c>
      <c r="B313" s="9"/>
      <c r="C313" s="8"/>
      <c r="D313" s="8" t="str">
        <f ca="1">IFERROR(_xludf.XLOOKUP(C313,STUDENTS!$A$5:$A$204,STUDENTS!$C$5:$C$204,""),"")</f>
        <v/>
      </c>
      <c r="E313" s="8" t="str">
        <f ca="1">IFERROR(_xludf.XLOOKUP(C313,STUDENTS!$A$5:$A$204,STUDENTS!$L$5:$L$204,""),"")</f>
        <v/>
      </c>
      <c r="F313" s="8"/>
      <c r="G313" s="12"/>
      <c r="H313" s="12"/>
      <c r="I313" s="11" t="str">
        <f t="shared" si="9"/>
        <v/>
      </c>
      <c r="J313" s="8"/>
    </row>
    <row r="314" spans="1:10" x14ac:dyDescent="0.2">
      <c r="A314" s="10" t="str">
        <f t="shared" si="8"/>
        <v/>
      </c>
      <c r="B314" s="9"/>
      <c r="C314" s="8"/>
      <c r="D314" s="8" t="str">
        <f ca="1">IFERROR(_xludf.XLOOKUP(C314,STUDENTS!$A$5:$A$204,STUDENTS!$C$5:$C$204,""),"")</f>
        <v/>
      </c>
      <c r="E314" s="8" t="str">
        <f ca="1">IFERROR(_xludf.XLOOKUP(C314,STUDENTS!$A$5:$A$204,STUDENTS!$L$5:$L$204,""),"")</f>
        <v/>
      </c>
      <c r="F314" s="8"/>
      <c r="G314" s="12"/>
      <c r="H314" s="12"/>
      <c r="I314" s="11" t="str">
        <f t="shared" si="9"/>
        <v/>
      </c>
      <c r="J314" s="8"/>
    </row>
    <row r="315" spans="1:10" x14ac:dyDescent="0.2">
      <c r="A315" s="10" t="str">
        <f t="shared" si="8"/>
        <v/>
      </c>
      <c r="B315" s="9"/>
      <c r="C315" s="8"/>
      <c r="D315" s="8" t="str">
        <f ca="1">IFERROR(_xludf.XLOOKUP(C315,STUDENTS!$A$5:$A$204,STUDENTS!$C$5:$C$204,""),"")</f>
        <v/>
      </c>
      <c r="E315" s="8" t="str">
        <f ca="1">IFERROR(_xludf.XLOOKUP(C315,STUDENTS!$A$5:$A$204,STUDENTS!$L$5:$L$204,""),"")</f>
        <v/>
      </c>
      <c r="F315" s="8"/>
      <c r="G315" s="12"/>
      <c r="H315" s="12"/>
      <c r="I315" s="11" t="str">
        <f t="shared" si="9"/>
        <v/>
      </c>
      <c r="J315" s="8"/>
    </row>
    <row r="316" spans="1:10" x14ac:dyDescent="0.2">
      <c r="A316" s="10" t="str">
        <f t="shared" si="8"/>
        <v/>
      </c>
      <c r="B316" s="9"/>
      <c r="C316" s="8"/>
      <c r="D316" s="8" t="str">
        <f ca="1">IFERROR(_xludf.XLOOKUP(C316,STUDENTS!$A$5:$A$204,STUDENTS!$C$5:$C$204,""),"")</f>
        <v/>
      </c>
      <c r="E316" s="8" t="str">
        <f ca="1">IFERROR(_xludf.XLOOKUP(C316,STUDENTS!$A$5:$A$204,STUDENTS!$L$5:$L$204,""),"")</f>
        <v/>
      </c>
      <c r="F316" s="8"/>
      <c r="G316" s="12"/>
      <c r="H316" s="12"/>
      <c r="I316" s="11" t="str">
        <f t="shared" si="9"/>
        <v/>
      </c>
      <c r="J316" s="8"/>
    </row>
    <row r="317" spans="1:10" x14ac:dyDescent="0.2">
      <c r="A317" s="10" t="str">
        <f t="shared" si="8"/>
        <v/>
      </c>
      <c r="B317" s="9"/>
      <c r="C317" s="8"/>
      <c r="D317" s="8" t="str">
        <f ca="1">IFERROR(_xludf.XLOOKUP(C317,STUDENTS!$A$5:$A$204,STUDENTS!$C$5:$C$204,""),"")</f>
        <v/>
      </c>
      <c r="E317" s="8" t="str">
        <f ca="1">IFERROR(_xludf.XLOOKUP(C317,STUDENTS!$A$5:$A$204,STUDENTS!$L$5:$L$204,""),"")</f>
        <v/>
      </c>
      <c r="F317" s="8"/>
      <c r="G317" s="12"/>
      <c r="H317" s="12"/>
      <c r="I317" s="11" t="str">
        <f t="shared" si="9"/>
        <v/>
      </c>
      <c r="J317" s="8"/>
    </row>
    <row r="318" spans="1:10" x14ac:dyDescent="0.2">
      <c r="A318" s="10" t="str">
        <f t="shared" si="8"/>
        <v/>
      </c>
      <c r="B318" s="9"/>
      <c r="C318" s="8"/>
      <c r="D318" s="8" t="str">
        <f ca="1">IFERROR(_xludf.XLOOKUP(C318,STUDENTS!$A$5:$A$204,STUDENTS!$C$5:$C$204,""),"")</f>
        <v/>
      </c>
      <c r="E318" s="8" t="str">
        <f ca="1">IFERROR(_xludf.XLOOKUP(C318,STUDENTS!$A$5:$A$204,STUDENTS!$L$5:$L$204,""),"")</f>
        <v/>
      </c>
      <c r="F318" s="8"/>
      <c r="G318" s="12"/>
      <c r="H318" s="12"/>
      <c r="I318" s="11" t="str">
        <f t="shared" si="9"/>
        <v/>
      </c>
      <c r="J318" s="8"/>
    </row>
    <row r="319" spans="1:10" x14ac:dyDescent="0.2">
      <c r="A319" s="10" t="str">
        <f t="shared" si="8"/>
        <v/>
      </c>
      <c r="B319" s="9"/>
      <c r="C319" s="8"/>
      <c r="D319" s="8" t="str">
        <f ca="1">IFERROR(_xludf.XLOOKUP(C319,STUDENTS!$A$5:$A$204,STUDENTS!$C$5:$C$204,""),"")</f>
        <v/>
      </c>
      <c r="E319" s="8" t="str">
        <f ca="1">IFERROR(_xludf.XLOOKUP(C319,STUDENTS!$A$5:$A$204,STUDENTS!$L$5:$L$204,""),"")</f>
        <v/>
      </c>
      <c r="F319" s="8"/>
      <c r="G319" s="12"/>
      <c r="H319" s="12"/>
      <c r="I319" s="11" t="str">
        <f t="shared" si="9"/>
        <v/>
      </c>
      <c r="J319" s="8"/>
    </row>
    <row r="320" spans="1:10" x14ac:dyDescent="0.2">
      <c r="A320" s="10" t="str">
        <f t="shared" si="8"/>
        <v/>
      </c>
      <c r="B320" s="9"/>
      <c r="C320" s="8"/>
      <c r="D320" s="8" t="str">
        <f ca="1">IFERROR(_xludf.XLOOKUP(C320,STUDENTS!$A$5:$A$204,STUDENTS!$C$5:$C$204,""),"")</f>
        <v/>
      </c>
      <c r="E320" s="8" t="str">
        <f ca="1">IFERROR(_xludf.XLOOKUP(C320,STUDENTS!$A$5:$A$204,STUDENTS!$L$5:$L$204,""),"")</f>
        <v/>
      </c>
      <c r="F320" s="8"/>
      <c r="G320" s="12"/>
      <c r="H320" s="12"/>
      <c r="I320" s="11" t="str">
        <f t="shared" si="9"/>
        <v/>
      </c>
      <c r="J320" s="8"/>
    </row>
    <row r="321" spans="1:10" x14ac:dyDescent="0.2">
      <c r="A321" s="10" t="str">
        <f t="shared" si="8"/>
        <v/>
      </c>
      <c r="B321" s="9"/>
      <c r="C321" s="8"/>
      <c r="D321" s="8" t="str">
        <f ca="1">IFERROR(_xludf.XLOOKUP(C321,STUDENTS!$A$5:$A$204,STUDENTS!$C$5:$C$204,""),"")</f>
        <v/>
      </c>
      <c r="E321" s="8" t="str">
        <f ca="1">IFERROR(_xludf.XLOOKUP(C321,STUDENTS!$A$5:$A$204,STUDENTS!$L$5:$L$204,""),"")</f>
        <v/>
      </c>
      <c r="F321" s="8"/>
      <c r="G321" s="12"/>
      <c r="H321" s="12"/>
      <c r="I321" s="11" t="str">
        <f t="shared" si="9"/>
        <v/>
      </c>
      <c r="J321" s="8"/>
    </row>
    <row r="322" spans="1:10" x14ac:dyDescent="0.2">
      <c r="A322" s="10" t="str">
        <f t="shared" si="8"/>
        <v/>
      </c>
      <c r="B322" s="9"/>
      <c r="C322" s="8"/>
      <c r="D322" s="8" t="str">
        <f ca="1">IFERROR(_xludf.XLOOKUP(C322,STUDENTS!$A$5:$A$204,STUDENTS!$C$5:$C$204,""),"")</f>
        <v/>
      </c>
      <c r="E322" s="8" t="str">
        <f ca="1">IFERROR(_xludf.XLOOKUP(C322,STUDENTS!$A$5:$A$204,STUDENTS!$L$5:$L$204,""),"")</f>
        <v/>
      </c>
      <c r="F322" s="8"/>
      <c r="G322" s="12"/>
      <c r="H322" s="12"/>
      <c r="I322" s="11" t="str">
        <f t="shared" si="9"/>
        <v/>
      </c>
      <c r="J322" s="8"/>
    </row>
    <row r="323" spans="1:10" x14ac:dyDescent="0.2">
      <c r="A323" s="10" t="str">
        <f t="shared" si="8"/>
        <v/>
      </c>
      <c r="B323" s="9"/>
      <c r="C323" s="8"/>
      <c r="D323" s="8" t="str">
        <f ca="1">IFERROR(_xludf.XLOOKUP(C323,STUDENTS!$A$5:$A$204,STUDENTS!$C$5:$C$204,""),"")</f>
        <v/>
      </c>
      <c r="E323" s="8" t="str">
        <f ca="1">IFERROR(_xludf.XLOOKUP(C323,STUDENTS!$A$5:$A$204,STUDENTS!$L$5:$L$204,""),"")</f>
        <v/>
      </c>
      <c r="F323" s="8"/>
      <c r="G323" s="12"/>
      <c r="H323" s="12"/>
      <c r="I323" s="11" t="str">
        <f t="shared" si="9"/>
        <v/>
      </c>
      <c r="J323" s="8"/>
    </row>
    <row r="324" spans="1:10" x14ac:dyDescent="0.2">
      <c r="A324" s="10" t="str">
        <f t="shared" si="8"/>
        <v/>
      </c>
      <c r="B324" s="9"/>
      <c r="C324" s="8"/>
      <c r="D324" s="8" t="str">
        <f ca="1">IFERROR(_xludf.XLOOKUP(C324,STUDENTS!$A$5:$A$204,STUDENTS!$C$5:$C$204,""),"")</f>
        <v/>
      </c>
      <c r="E324" s="8" t="str">
        <f ca="1">IFERROR(_xludf.XLOOKUP(C324,STUDENTS!$A$5:$A$204,STUDENTS!$L$5:$L$204,""),"")</f>
        <v/>
      </c>
      <c r="F324" s="8"/>
      <c r="G324" s="12"/>
      <c r="H324" s="12"/>
      <c r="I324" s="11" t="str">
        <f t="shared" si="9"/>
        <v/>
      </c>
      <c r="J324" s="8"/>
    </row>
    <row r="325" spans="1:10" x14ac:dyDescent="0.2">
      <c r="A325" s="10" t="str">
        <f t="shared" ref="A325:A388" si="10">IF(C325="","","EX-"&amp;TEXT(ROW()-4,"00000"))</f>
        <v/>
      </c>
      <c r="B325" s="9"/>
      <c r="C325" s="8"/>
      <c r="D325" s="8" t="str">
        <f ca="1">IFERROR(_xludf.XLOOKUP(C325,STUDENTS!$A$5:$A$204,STUDENTS!$C$5:$C$204,""),"")</f>
        <v/>
      </c>
      <c r="E325" s="8" t="str">
        <f ca="1">IFERROR(_xludf.XLOOKUP(C325,STUDENTS!$A$5:$A$204,STUDENTS!$L$5:$L$204,""),"")</f>
        <v/>
      </c>
      <c r="F325" s="8"/>
      <c r="G325" s="12"/>
      <c r="H325" s="12"/>
      <c r="I325" s="11" t="str">
        <f t="shared" ref="I325:I388" si="11">IF(G325="","",G325-H325)</f>
        <v/>
      </c>
      <c r="J325" s="8"/>
    </row>
    <row r="326" spans="1:10" x14ac:dyDescent="0.2">
      <c r="A326" s="10" t="str">
        <f t="shared" si="10"/>
        <v/>
      </c>
      <c r="B326" s="9"/>
      <c r="C326" s="8"/>
      <c r="D326" s="8" t="str">
        <f ca="1">IFERROR(_xludf.XLOOKUP(C326,STUDENTS!$A$5:$A$204,STUDENTS!$C$5:$C$204,""),"")</f>
        <v/>
      </c>
      <c r="E326" s="8" t="str">
        <f ca="1">IFERROR(_xludf.XLOOKUP(C326,STUDENTS!$A$5:$A$204,STUDENTS!$L$5:$L$204,""),"")</f>
        <v/>
      </c>
      <c r="F326" s="8"/>
      <c r="G326" s="12"/>
      <c r="H326" s="12"/>
      <c r="I326" s="11" t="str">
        <f t="shared" si="11"/>
        <v/>
      </c>
      <c r="J326" s="8"/>
    </row>
    <row r="327" spans="1:10" x14ac:dyDescent="0.2">
      <c r="A327" s="10" t="str">
        <f t="shared" si="10"/>
        <v/>
      </c>
      <c r="B327" s="9"/>
      <c r="C327" s="8"/>
      <c r="D327" s="8" t="str">
        <f ca="1">IFERROR(_xludf.XLOOKUP(C327,STUDENTS!$A$5:$A$204,STUDENTS!$C$5:$C$204,""),"")</f>
        <v/>
      </c>
      <c r="E327" s="8" t="str">
        <f ca="1">IFERROR(_xludf.XLOOKUP(C327,STUDENTS!$A$5:$A$204,STUDENTS!$L$5:$L$204,""),"")</f>
        <v/>
      </c>
      <c r="F327" s="8"/>
      <c r="G327" s="12"/>
      <c r="H327" s="12"/>
      <c r="I327" s="11" t="str">
        <f t="shared" si="11"/>
        <v/>
      </c>
      <c r="J327" s="8"/>
    </row>
    <row r="328" spans="1:10" x14ac:dyDescent="0.2">
      <c r="A328" s="10" t="str">
        <f t="shared" si="10"/>
        <v/>
      </c>
      <c r="B328" s="9"/>
      <c r="C328" s="8"/>
      <c r="D328" s="8" t="str">
        <f ca="1">IFERROR(_xludf.XLOOKUP(C328,STUDENTS!$A$5:$A$204,STUDENTS!$C$5:$C$204,""),"")</f>
        <v/>
      </c>
      <c r="E328" s="8" t="str">
        <f ca="1">IFERROR(_xludf.XLOOKUP(C328,STUDENTS!$A$5:$A$204,STUDENTS!$L$5:$L$204,""),"")</f>
        <v/>
      </c>
      <c r="F328" s="8"/>
      <c r="G328" s="12"/>
      <c r="H328" s="12"/>
      <c r="I328" s="11" t="str">
        <f t="shared" si="11"/>
        <v/>
      </c>
      <c r="J328" s="8"/>
    </row>
    <row r="329" spans="1:10" x14ac:dyDescent="0.2">
      <c r="A329" s="10" t="str">
        <f t="shared" si="10"/>
        <v/>
      </c>
      <c r="B329" s="9"/>
      <c r="C329" s="8"/>
      <c r="D329" s="8" t="str">
        <f ca="1">IFERROR(_xludf.XLOOKUP(C329,STUDENTS!$A$5:$A$204,STUDENTS!$C$5:$C$204,""),"")</f>
        <v/>
      </c>
      <c r="E329" s="8" t="str">
        <f ca="1">IFERROR(_xludf.XLOOKUP(C329,STUDENTS!$A$5:$A$204,STUDENTS!$L$5:$L$204,""),"")</f>
        <v/>
      </c>
      <c r="F329" s="8"/>
      <c r="G329" s="12"/>
      <c r="H329" s="12"/>
      <c r="I329" s="11" t="str">
        <f t="shared" si="11"/>
        <v/>
      </c>
      <c r="J329" s="8"/>
    </row>
    <row r="330" spans="1:10" x14ac:dyDescent="0.2">
      <c r="A330" s="10" t="str">
        <f t="shared" si="10"/>
        <v/>
      </c>
      <c r="B330" s="9"/>
      <c r="C330" s="8"/>
      <c r="D330" s="8" t="str">
        <f ca="1">IFERROR(_xludf.XLOOKUP(C330,STUDENTS!$A$5:$A$204,STUDENTS!$C$5:$C$204,""),"")</f>
        <v/>
      </c>
      <c r="E330" s="8" t="str">
        <f ca="1">IFERROR(_xludf.XLOOKUP(C330,STUDENTS!$A$5:$A$204,STUDENTS!$L$5:$L$204,""),"")</f>
        <v/>
      </c>
      <c r="F330" s="8"/>
      <c r="G330" s="12"/>
      <c r="H330" s="12"/>
      <c r="I330" s="11" t="str">
        <f t="shared" si="11"/>
        <v/>
      </c>
      <c r="J330" s="8"/>
    </row>
    <row r="331" spans="1:10" x14ac:dyDescent="0.2">
      <c r="A331" s="10" t="str">
        <f t="shared" si="10"/>
        <v/>
      </c>
      <c r="B331" s="9"/>
      <c r="C331" s="8"/>
      <c r="D331" s="8" t="str">
        <f ca="1">IFERROR(_xludf.XLOOKUP(C331,STUDENTS!$A$5:$A$204,STUDENTS!$C$5:$C$204,""),"")</f>
        <v/>
      </c>
      <c r="E331" s="8" t="str">
        <f ca="1">IFERROR(_xludf.XLOOKUP(C331,STUDENTS!$A$5:$A$204,STUDENTS!$L$5:$L$204,""),"")</f>
        <v/>
      </c>
      <c r="F331" s="8"/>
      <c r="G331" s="12"/>
      <c r="H331" s="12"/>
      <c r="I331" s="11" t="str">
        <f t="shared" si="11"/>
        <v/>
      </c>
      <c r="J331" s="8"/>
    </row>
    <row r="332" spans="1:10" x14ac:dyDescent="0.2">
      <c r="A332" s="10" t="str">
        <f t="shared" si="10"/>
        <v/>
      </c>
      <c r="B332" s="9"/>
      <c r="C332" s="8"/>
      <c r="D332" s="8" t="str">
        <f ca="1">IFERROR(_xludf.XLOOKUP(C332,STUDENTS!$A$5:$A$204,STUDENTS!$C$5:$C$204,""),"")</f>
        <v/>
      </c>
      <c r="E332" s="8" t="str">
        <f ca="1">IFERROR(_xludf.XLOOKUP(C332,STUDENTS!$A$5:$A$204,STUDENTS!$L$5:$L$204,""),"")</f>
        <v/>
      </c>
      <c r="F332" s="8"/>
      <c r="G332" s="12"/>
      <c r="H332" s="12"/>
      <c r="I332" s="11" t="str">
        <f t="shared" si="11"/>
        <v/>
      </c>
      <c r="J332" s="8"/>
    </row>
    <row r="333" spans="1:10" x14ac:dyDescent="0.2">
      <c r="A333" s="10" t="str">
        <f t="shared" si="10"/>
        <v/>
      </c>
      <c r="B333" s="9"/>
      <c r="C333" s="8"/>
      <c r="D333" s="8" t="str">
        <f ca="1">IFERROR(_xludf.XLOOKUP(C333,STUDENTS!$A$5:$A$204,STUDENTS!$C$5:$C$204,""),"")</f>
        <v/>
      </c>
      <c r="E333" s="8" t="str">
        <f ca="1">IFERROR(_xludf.XLOOKUP(C333,STUDENTS!$A$5:$A$204,STUDENTS!$L$5:$L$204,""),"")</f>
        <v/>
      </c>
      <c r="F333" s="8"/>
      <c r="G333" s="12"/>
      <c r="H333" s="12"/>
      <c r="I333" s="11" t="str">
        <f t="shared" si="11"/>
        <v/>
      </c>
      <c r="J333" s="8"/>
    </row>
    <row r="334" spans="1:10" x14ac:dyDescent="0.2">
      <c r="A334" s="10" t="str">
        <f t="shared" si="10"/>
        <v/>
      </c>
      <c r="B334" s="9"/>
      <c r="C334" s="8"/>
      <c r="D334" s="8" t="str">
        <f ca="1">IFERROR(_xludf.XLOOKUP(C334,STUDENTS!$A$5:$A$204,STUDENTS!$C$5:$C$204,""),"")</f>
        <v/>
      </c>
      <c r="E334" s="8" t="str">
        <f ca="1">IFERROR(_xludf.XLOOKUP(C334,STUDENTS!$A$5:$A$204,STUDENTS!$L$5:$L$204,""),"")</f>
        <v/>
      </c>
      <c r="F334" s="8"/>
      <c r="G334" s="12"/>
      <c r="H334" s="12"/>
      <c r="I334" s="11" t="str">
        <f t="shared" si="11"/>
        <v/>
      </c>
      <c r="J334" s="8"/>
    </row>
    <row r="335" spans="1:10" x14ac:dyDescent="0.2">
      <c r="A335" s="10" t="str">
        <f t="shared" si="10"/>
        <v/>
      </c>
      <c r="B335" s="9"/>
      <c r="C335" s="8"/>
      <c r="D335" s="8" t="str">
        <f ca="1">IFERROR(_xludf.XLOOKUP(C335,STUDENTS!$A$5:$A$204,STUDENTS!$C$5:$C$204,""),"")</f>
        <v/>
      </c>
      <c r="E335" s="8" t="str">
        <f ca="1">IFERROR(_xludf.XLOOKUP(C335,STUDENTS!$A$5:$A$204,STUDENTS!$L$5:$L$204,""),"")</f>
        <v/>
      </c>
      <c r="F335" s="8"/>
      <c r="G335" s="12"/>
      <c r="H335" s="12"/>
      <c r="I335" s="11" t="str">
        <f t="shared" si="11"/>
        <v/>
      </c>
      <c r="J335" s="8"/>
    </row>
    <row r="336" spans="1:10" x14ac:dyDescent="0.2">
      <c r="A336" s="10" t="str">
        <f t="shared" si="10"/>
        <v/>
      </c>
      <c r="B336" s="9"/>
      <c r="C336" s="8"/>
      <c r="D336" s="8" t="str">
        <f ca="1">IFERROR(_xludf.XLOOKUP(C336,STUDENTS!$A$5:$A$204,STUDENTS!$C$5:$C$204,""),"")</f>
        <v/>
      </c>
      <c r="E336" s="8" t="str">
        <f ca="1">IFERROR(_xludf.XLOOKUP(C336,STUDENTS!$A$5:$A$204,STUDENTS!$L$5:$L$204,""),"")</f>
        <v/>
      </c>
      <c r="F336" s="8"/>
      <c r="G336" s="12"/>
      <c r="H336" s="12"/>
      <c r="I336" s="11" t="str">
        <f t="shared" si="11"/>
        <v/>
      </c>
      <c r="J336" s="8"/>
    </row>
    <row r="337" spans="1:10" x14ac:dyDescent="0.2">
      <c r="A337" s="10" t="str">
        <f t="shared" si="10"/>
        <v/>
      </c>
      <c r="B337" s="9"/>
      <c r="C337" s="8"/>
      <c r="D337" s="8" t="str">
        <f ca="1">IFERROR(_xludf.XLOOKUP(C337,STUDENTS!$A$5:$A$204,STUDENTS!$C$5:$C$204,""),"")</f>
        <v/>
      </c>
      <c r="E337" s="8" t="str">
        <f ca="1">IFERROR(_xludf.XLOOKUP(C337,STUDENTS!$A$5:$A$204,STUDENTS!$L$5:$L$204,""),"")</f>
        <v/>
      </c>
      <c r="F337" s="8"/>
      <c r="G337" s="12"/>
      <c r="H337" s="12"/>
      <c r="I337" s="11" t="str">
        <f t="shared" si="11"/>
        <v/>
      </c>
      <c r="J337" s="8"/>
    </row>
    <row r="338" spans="1:10" x14ac:dyDescent="0.2">
      <c r="A338" s="10" t="str">
        <f t="shared" si="10"/>
        <v/>
      </c>
      <c r="B338" s="9"/>
      <c r="C338" s="8"/>
      <c r="D338" s="8" t="str">
        <f ca="1">IFERROR(_xludf.XLOOKUP(C338,STUDENTS!$A$5:$A$204,STUDENTS!$C$5:$C$204,""),"")</f>
        <v/>
      </c>
      <c r="E338" s="8" t="str">
        <f ca="1">IFERROR(_xludf.XLOOKUP(C338,STUDENTS!$A$5:$A$204,STUDENTS!$L$5:$L$204,""),"")</f>
        <v/>
      </c>
      <c r="F338" s="8"/>
      <c r="G338" s="12"/>
      <c r="H338" s="12"/>
      <c r="I338" s="11" t="str">
        <f t="shared" si="11"/>
        <v/>
      </c>
      <c r="J338" s="8"/>
    </row>
    <row r="339" spans="1:10" x14ac:dyDescent="0.2">
      <c r="A339" s="10" t="str">
        <f t="shared" si="10"/>
        <v/>
      </c>
      <c r="B339" s="9"/>
      <c r="C339" s="8"/>
      <c r="D339" s="8" t="str">
        <f ca="1">IFERROR(_xludf.XLOOKUP(C339,STUDENTS!$A$5:$A$204,STUDENTS!$C$5:$C$204,""),"")</f>
        <v/>
      </c>
      <c r="E339" s="8" t="str">
        <f ca="1">IFERROR(_xludf.XLOOKUP(C339,STUDENTS!$A$5:$A$204,STUDENTS!$L$5:$L$204,""),"")</f>
        <v/>
      </c>
      <c r="F339" s="8"/>
      <c r="G339" s="12"/>
      <c r="H339" s="12"/>
      <c r="I339" s="11" t="str">
        <f t="shared" si="11"/>
        <v/>
      </c>
      <c r="J339" s="8"/>
    </row>
    <row r="340" spans="1:10" x14ac:dyDescent="0.2">
      <c r="A340" s="10" t="str">
        <f t="shared" si="10"/>
        <v/>
      </c>
      <c r="B340" s="9"/>
      <c r="C340" s="8"/>
      <c r="D340" s="8" t="str">
        <f ca="1">IFERROR(_xludf.XLOOKUP(C340,STUDENTS!$A$5:$A$204,STUDENTS!$C$5:$C$204,""),"")</f>
        <v/>
      </c>
      <c r="E340" s="8" t="str">
        <f ca="1">IFERROR(_xludf.XLOOKUP(C340,STUDENTS!$A$5:$A$204,STUDENTS!$L$5:$L$204,""),"")</f>
        <v/>
      </c>
      <c r="F340" s="8"/>
      <c r="G340" s="12"/>
      <c r="H340" s="12"/>
      <c r="I340" s="11" t="str">
        <f t="shared" si="11"/>
        <v/>
      </c>
      <c r="J340" s="8"/>
    </row>
    <row r="341" spans="1:10" x14ac:dyDescent="0.2">
      <c r="A341" s="10" t="str">
        <f t="shared" si="10"/>
        <v/>
      </c>
      <c r="B341" s="9"/>
      <c r="C341" s="8"/>
      <c r="D341" s="8" t="str">
        <f ca="1">IFERROR(_xludf.XLOOKUP(C341,STUDENTS!$A$5:$A$204,STUDENTS!$C$5:$C$204,""),"")</f>
        <v/>
      </c>
      <c r="E341" s="8" t="str">
        <f ca="1">IFERROR(_xludf.XLOOKUP(C341,STUDENTS!$A$5:$A$204,STUDENTS!$L$5:$L$204,""),"")</f>
        <v/>
      </c>
      <c r="F341" s="8"/>
      <c r="G341" s="12"/>
      <c r="H341" s="12"/>
      <c r="I341" s="11" t="str">
        <f t="shared" si="11"/>
        <v/>
      </c>
      <c r="J341" s="8"/>
    </row>
    <row r="342" spans="1:10" x14ac:dyDescent="0.2">
      <c r="A342" s="10" t="str">
        <f t="shared" si="10"/>
        <v/>
      </c>
      <c r="B342" s="9"/>
      <c r="C342" s="8"/>
      <c r="D342" s="8" t="str">
        <f ca="1">IFERROR(_xludf.XLOOKUP(C342,STUDENTS!$A$5:$A$204,STUDENTS!$C$5:$C$204,""),"")</f>
        <v/>
      </c>
      <c r="E342" s="8" t="str">
        <f ca="1">IFERROR(_xludf.XLOOKUP(C342,STUDENTS!$A$5:$A$204,STUDENTS!$L$5:$L$204,""),"")</f>
        <v/>
      </c>
      <c r="F342" s="8"/>
      <c r="G342" s="12"/>
      <c r="H342" s="12"/>
      <c r="I342" s="11" t="str">
        <f t="shared" si="11"/>
        <v/>
      </c>
      <c r="J342" s="8"/>
    </row>
    <row r="343" spans="1:10" x14ac:dyDescent="0.2">
      <c r="A343" s="10" t="str">
        <f t="shared" si="10"/>
        <v/>
      </c>
      <c r="B343" s="9"/>
      <c r="C343" s="8"/>
      <c r="D343" s="8" t="str">
        <f ca="1">IFERROR(_xludf.XLOOKUP(C343,STUDENTS!$A$5:$A$204,STUDENTS!$C$5:$C$204,""),"")</f>
        <v/>
      </c>
      <c r="E343" s="8" t="str">
        <f ca="1">IFERROR(_xludf.XLOOKUP(C343,STUDENTS!$A$5:$A$204,STUDENTS!$L$5:$L$204,""),"")</f>
        <v/>
      </c>
      <c r="F343" s="8"/>
      <c r="G343" s="12"/>
      <c r="H343" s="12"/>
      <c r="I343" s="11" t="str">
        <f t="shared" si="11"/>
        <v/>
      </c>
      <c r="J343" s="8"/>
    </row>
    <row r="344" spans="1:10" x14ac:dyDescent="0.2">
      <c r="A344" s="10" t="str">
        <f t="shared" si="10"/>
        <v/>
      </c>
      <c r="B344" s="9"/>
      <c r="C344" s="8"/>
      <c r="D344" s="8" t="str">
        <f ca="1">IFERROR(_xludf.XLOOKUP(C344,STUDENTS!$A$5:$A$204,STUDENTS!$C$5:$C$204,""),"")</f>
        <v/>
      </c>
      <c r="E344" s="8" t="str">
        <f ca="1">IFERROR(_xludf.XLOOKUP(C344,STUDENTS!$A$5:$A$204,STUDENTS!$L$5:$L$204,""),"")</f>
        <v/>
      </c>
      <c r="F344" s="8"/>
      <c r="G344" s="12"/>
      <c r="H344" s="12"/>
      <c r="I344" s="11" t="str">
        <f t="shared" si="11"/>
        <v/>
      </c>
      <c r="J344" s="8"/>
    </row>
    <row r="345" spans="1:10" x14ac:dyDescent="0.2">
      <c r="A345" s="10" t="str">
        <f t="shared" si="10"/>
        <v/>
      </c>
      <c r="B345" s="9"/>
      <c r="C345" s="8"/>
      <c r="D345" s="8" t="str">
        <f ca="1">IFERROR(_xludf.XLOOKUP(C345,STUDENTS!$A$5:$A$204,STUDENTS!$C$5:$C$204,""),"")</f>
        <v/>
      </c>
      <c r="E345" s="8" t="str">
        <f ca="1">IFERROR(_xludf.XLOOKUP(C345,STUDENTS!$A$5:$A$204,STUDENTS!$L$5:$L$204,""),"")</f>
        <v/>
      </c>
      <c r="F345" s="8"/>
      <c r="G345" s="12"/>
      <c r="H345" s="12"/>
      <c r="I345" s="11" t="str">
        <f t="shared" si="11"/>
        <v/>
      </c>
      <c r="J345" s="8"/>
    </row>
    <row r="346" spans="1:10" x14ac:dyDescent="0.2">
      <c r="A346" s="10" t="str">
        <f t="shared" si="10"/>
        <v/>
      </c>
      <c r="B346" s="9"/>
      <c r="C346" s="8"/>
      <c r="D346" s="8" t="str">
        <f ca="1">IFERROR(_xludf.XLOOKUP(C346,STUDENTS!$A$5:$A$204,STUDENTS!$C$5:$C$204,""),"")</f>
        <v/>
      </c>
      <c r="E346" s="8" t="str">
        <f ca="1">IFERROR(_xludf.XLOOKUP(C346,STUDENTS!$A$5:$A$204,STUDENTS!$L$5:$L$204,""),"")</f>
        <v/>
      </c>
      <c r="F346" s="8"/>
      <c r="G346" s="12"/>
      <c r="H346" s="12"/>
      <c r="I346" s="11" t="str">
        <f t="shared" si="11"/>
        <v/>
      </c>
      <c r="J346" s="8"/>
    </row>
    <row r="347" spans="1:10" x14ac:dyDescent="0.2">
      <c r="A347" s="10" t="str">
        <f t="shared" si="10"/>
        <v/>
      </c>
      <c r="B347" s="9"/>
      <c r="C347" s="8"/>
      <c r="D347" s="8" t="str">
        <f ca="1">IFERROR(_xludf.XLOOKUP(C347,STUDENTS!$A$5:$A$204,STUDENTS!$C$5:$C$204,""),"")</f>
        <v/>
      </c>
      <c r="E347" s="8" t="str">
        <f ca="1">IFERROR(_xludf.XLOOKUP(C347,STUDENTS!$A$5:$A$204,STUDENTS!$L$5:$L$204,""),"")</f>
        <v/>
      </c>
      <c r="F347" s="8"/>
      <c r="G347" s="12"/>
      <c r="H347" s="12"/>
      <c r="I347" s="11" t="str">
        <f t="shared" si="11"/>
        <v/>
      </c>
      <c r="J347" s="8"/>
    </row>
    <row r="348" spans="1:10" x14ac:dyDescent="0.2">
      <c r="A348" s="10" t="str">
        <f t="shared" si="10"/>
        <v/>
      </c>
      <c r="B348" s="9"/>
      <c r="C348" s="8"/>
      <c r="D348" s="8" t="str">
        <f ca="1">IFERROR(_xludf.XLOOKUP(C348,STUDENTS!$A$5:$A$204,STUDENTS!$C$5:$C$204,""),"")</f>
        <v/>
      </c>
      <c r="E348" s="8" t="str">
        <f ca="1">IFERROR(_xludf.XLOOKUP(C348,STUDENTS!$A$5:$A$204,STUDENTS!$L$5:$L$204,""),"")</f>
        <v/>
      </c>
      <c r="F348" s="8"/>
      <c r="G348" s="12"/>
      <c r="H348" s="12"/>
      <c r="I348" s="11" t="str">
        <f t="shared" si="11"/>
        <v/>
      </c>
      <c r="J348" s="8"/>
    </row>
    <row r="349" spans="1:10" x14ac:dyDescent="0.2">
      <c r="A349" s="10" t="str">
        <f t="shared" si="10"/>
        <v/>
      </c>
      <c r="B349" s="9"/>
      <c r="C349" s="8"/>
      <c r="D349" s="8" t="str">
        <f ca="1">IFERROR(_xludf.XLOOKUP(C349,STUDENTS!$A$5:$A$204,STUDENTS!$C$5:$C$204,""),"")</f>
        <v/>
      </c>
      <c r="E349" s="8" t="str">
        <f ca="1">IFERROR(_xludf.XLOOKUP(C349,STUDENTS!$A$5:$A$204,STUDENTS!$L$5:$L$204,""),"")</f>
        <v/>
      </c>
      <c r="F349" s="8"/>
      <c r="G349" s="12"/>
      <c r="H349" s="12"/>
      <c r="I349" s="11" t="str">
        <f t="shared" si="11"/>
        <v/>
      </c>
      <c r="J349" s="8"/>
    </row>
    <row r="350" spans="1:10" x14ac:dyDescent="0.2">
      <c r="A350" s="10" t="str">
        <f t="shared" si="10"/>
        <v/>
      </c>
      <c r="B350" s="9"/>
      <c r="C350" s="8"/>
      <c r="D350" s="8" t="str">
        <f ca="1">IFERROR(_xludf.XLOOKUP(C350,STUDENTS!$A$5:$A$204,STUDENTS!$C$5:$C$204,""),"")</f>
        <v/>
      </c>
      <c r="E350" s="8" t="str">
        <f ca="1">IFERROR(_xludf.XLOOKUP(C350,STUDENTS!$A$5:$A$204,STUDENTS!$L$5:$L$204,""),"")</f>
        <v/>
      </c>
      <c r="F350" s="8"/>
      <c r="G350" s="12"/>
      <c r="H350" s="12"/>
      <c r="I350" s="11" t="str">
        <f t="shared" si="11"/>
        <v/>
      </c>
      <c r="J350" s="8"/>
    </row>
    <row r="351" spans="1:10" x14ac:dyDescent="0.2">
      <c r="A351" s="10" t="str">
        <f t="shared" si="10"/>
        <v/>
      </c>
      <c r="B351" s="9"/>
      <c r="C351" s="8"/>
      <c r="D351" s="8" t="str">
        <f ca="1">IFERROR(_xludf.XLOOKUP(C351,STUDENTS!$A$5:$A$204,STUDENTS!$C$5:$C$204,""),"")</f>
        <v/>
      </c>
      <c r="E351" s="8" t="str">
        <f ca="1">IFERROR(_xludf.XLOOKUP(C351,STUDENTS!$A$5:$A$204,STUDENTS!$L$5:$L$204,""),"")</f>
        <v/>
      </c>
      <c r="F351" s="8"/>
      <c r="G351" s="12"/>
      <c r="H351" s="12"/>
      <c r="I351" s="11" t="str">
        <f t="shared" si="11"/>
        <v/>
      </c>
      <c r="J351" s="8"/>
    </row>
    <row r="352" spans="1:10" x14ac:dyDescent="0.2">
      <c r="A352" s="10" t="str">
        <f t="shared" si="10"/>
        <v/>
      </c>
      <c r="B352" s="9"/>
      <c r="C352" s="8"/>
      <c r="D352" s="8" t="str">
        <f ca="1">IFERROR(_xludf.XLOOKUP(C352,STUDENTS!$A$5:$A$204,STUDENTS!$C$5:$C$204,""),"")</f>
        <v/>
      </c>
      <c r="E352" s="8" t="str">
        <f ca="1">IFERROR(_xludf.XLOOKUP(C352,STUDENTS!$A$5:$A$204,STUDENTS!$L$5:$L$204,""),"")</f>
        <v/>
      </c>
      <c r="F352" s="8"/>
      <c r="G352" s="12"/>
      <c r="H352" s="12"/>
      <c r="I352" s="11" t="str">
        <f t="shared" si="11"/>
        <v/>
      </c>
      <c r="J352" s="8"/>
    </row>
    <row r="353" spans="1:10" x14ac:dyDescent="0.2">
      <c r="A353" s="10" t="str">
        <f t="shared" si="10"/>
        <v/>
      </c>
      <c r="B353" s="9"/>
      <c r="C353" s="8"/>
      <c r="D353" s="8" t="str">
        <f ca="1">IFERROR(_xludf.XLOOKUP(C353,STUDENTS!$A$5:$A$204,STUDENTS!$C$5:$C$204,""),"")</f>
        <v/>
      </c>
      <c r="E353" s="8" t="str">
        <f ca="1">IFERROR(_xludf.XLOOKUP(C353,STUDENTS!$A$5:$A$204,STUDENTS!$L$5:$L$204,""),"")</f>
        <v/>
      </c>
      <c r="F353" s="8"/>
      <c r="G353" s="12"/>
      <c r="H353" s="12"/>
      <c r="I353" s="11" t="str">
        <f t="shared" si="11"/>
        <v/>
      </c>
      <c r="J353" s="8"/>
    </row>
    <row r="354" spans="1:10" x14ac:dyDescent="0.2">
      <c r="A354" s="10" t="str">
        <f t="shared" si="10"/>
        <v/>
      </c>
      <c r="B354" s="9"/>
      <c r="C354" s="8"/>
      <c r="D354" s="8" t="str">
        <f ca="1">IFERROR(_xludf.XLOOKUP(C354,STUDENTS!$A$5:$A$204,STUDENTS!$C$5:$C$204,""),"")</f>
        <v/>
      </c>
      <c r="E354" s="8" t="str">
        <f ca="1">IFERROR(_xludf.XLOOKUP(C354,STUDENTS!$A$5:$A$204,STUDENTS!$L$5:$L$204,""),"")</f>
        <v/>
      </c>
      <c r="F354" s="8"/>
      <c r="G354" s="12"/>
      <c r="H354" s="12"/>
      <c r="I354" s="11" t="str">
        <f t="shared" si="11"/>
        <v/>
      </c>
      <c r="J354" s="8"/>
    </row>
    <row r="355" spans="1:10" x14ac:dyDescent="0.2">
      <c r="A355" s="10" t="str">
        <f t="shared" si="10"/>
        <v/>
      </c>
      <c r="B355" s="9"/>
      <c r="C355" s="8"/>
      <c r="D355" s="8" t="str">
        <f ca="1">IFERROR(_xludf.XLOOKUP(C355,STUDENTS!$A$5:$A$204,STUDENTS!$C$5:$C$204,""),"")</f>
        <v/>
      </c>
      <c r="E355" s="8" t="str">
        <f ca="1">IFERROR(_xludf.XLOOKUP(C355,STUDENTS!$A$5:$A$204,STUDENTS!$L$5:$L$204,""),"")</f>
        <v/>
      </c>
      <c r="F355" s="8"/>
      <c r="G355" s="12"/>
      <c r="H355" s="12"/>
      <c r="I355" s="11" t="str">
        <f t="shared" si="11"/>
        <v/>
      </c>
      <c r="J355" s="8"/>
    </row>
    <row r="356" spans="1:10" x14ac:dyDescent="0.2">
      <c r="A356" s="10" t="str">
        <f t="shared" si="10"/>
        <v/>
      </c>
      <c r="B356" s="9"/>
      <c r="C356" s="8"/>
      <c r="D356" s="8" t="str">
        <f ca="1">IFERROR(_xludf.XLOOKUP(C356,STUDENTS!$A$5:$A$204,STUDENTS!$C$5:$C$204,""),"")</f>
        <v/>
      </c>
      <c r="E356" s="8" t="str">
        <f ca="1">IFERROR(_xludf.XLOOKUP(C356,STUDENTS!$A$5:$A$204,STUDENTS!$L$5:$L$204,""),"")</f>
        <v/>
      </c>
      <c r="F356" s="8"/>
      <c r="G356" s="12"/>
      <c r="H356" s="12"/>
      <c r="I356" s="11" t="str">
        <f t="shared" si="11"/>
        <v/>
      </c>
      <c r="J356" s="8"/>
    </row>
    <row r="357" spans="1:10" x14ac:dyDescent="0.2">
      <c r="A357" s="10" t="str">
        <f t="shared" si="10"/>
        <v/>
      </c>
      <c r="B357" s="9"/>
      <c r="C357" s="8"/>
      <c r="D357" s="8" t="str">
        <f ca="1">IFERROR(_xludf.XLOOKUP(C357,STUDENTS!$A$5:$A$204,STUDENTS!$C$5:$C$204,""),"")</f>
        <v/>
      </c>
      <c r="E357" s="8" t="str">
        <f ca="1">IFERROR(_xludf.XLOOKUP(C357,STUDENTS!$A$5:$A$204,STUDENTS!$L$5:$L$204,""),"")</f>
        <v/>
      </c>
      <c r="F357" s="8"/>
      <c r="G357" s="12"/>
      <c r="H357" s="12"/>
      <c r="I357" s="11" t="str">
        <f t="shared" si="11"/>
        <v/>
      </c>
      <c r="J357" s="8"/>
    </row>
    <row r="358" spans="1:10" x14ac:dyDescent="0.2">
      <c r="A358" s="10" t="str">
        <f t="shared" si="10"/>
        <v/>
      </c>
      <c r="B358" s="9"/>
      <c r="C358" s="8"/>
      <c r="D358" s="8" t="str">
        <f ca="1">IFERROR(_xludf.XLOOKUP(C358,STUDENTS!$A$5:$A$204,STUDENTS!$C$5:$C$204,""),"")</f>
        <v/>
      </c>
      <c r="E358" s="8" t="str">
        <f ca="1">IFERROR(_xludf.XLOOKUP(C358,STUDENTS!$A$5:$A$204,STUDENTS!$L$5:$L$204,""),"")</f>
        <v/>
      </c>
      <c r="F358" s="8"/>
      <c r="G358" s="12"/>
      <c r="H358" s="12"/>
      <c r="I358" s="11" t="str">
        <f t="shared" si="11"/>
        <v/>
      </c>
      <c r="J358" s="8"/>
    </row>
    <row r="359" spans="1:10" x14ac:dyDescent="0.2">
      <c r="A359" s="10" t="str">
        <f t="shared" si="10"/>
        <v/>
      </c>
      <c r="B359" s="9"/>
      <c r="C359" s="8"/>
      <c r="D359" s="8" t="str">
        <f ca="1">IFERROR(_xludf.XLOOKUP(C359,STUDENTS!$A$5:$A$204,STUDENTS!$C$5:$C$204,""),"")</f>
        <v/>
      </c>
      <c r="E359" s="8" t="str">
        <f ca="1">IFERROR(_xludf.XLOOKUP(C359,STUDENTS!$A$5:$A$204,STUDENTS!$L$5:$L$204,""),"")</f>
        <v/>
      </c>
      <c r="F359" s="8"/>
      <c r="G359" s="12"/>
      <c r="H359" s="12"/>
      <c r="I359" s="11" t="str">
        <f t="shared" si="11"/>
        <v/>
      </c>
      <c r="J359" s="8"/>
    </row>
    <row r="360" spans="1:10" x14ac:dyDescent="0.2">
      <c r="A360" s="10" t="str">
        <f t="shared" si="10"/>
        <v/>
      </c>
      <c r="B360" s="9"/>
      <c r="C360" s="8"/>
      <c r="D360" s="8" t="str">
        <f ca="1">IFERROR(_xludf.XLOOKUP(C360,STUDENTS!$A$5:$A$204,STUDENTS!$C$5:$C$204,""),"")</f>
        <v/>
      </c>
      <c r="E360" s="8" t="str">
        <f ca="1">IFERROR(_xludf.XLOOKUP(C360,STUDENTS!$A$5:$A$204,STUDENTS!$L$5:$L$204,""),"")</f>
        <v/>
      </c>
      <c r="F360" s="8"/>
      <c r="G360" s="12"/>
      <c r="H360" s="12"/>
      <c r="I360" s="11" t="str">
        <f t="shared" si="11"/>
        <v/>
      </c>
      <c r="J360" s="8"/>
    </row>
    <row r="361" spans="1:10" x14ac:dyDescent="0.2">
      <c r="A361" s="10" t="str">
        <f t="shared" si="10"/>
        <v/>
      </c>
      <c r="B361" s="9"/>
      <c r="C361" s="8"/>
      <c r="D361" s="8" t="str">
        <f ca="1">IFERROR(_xludf.XLOOKUP(C361,STUDENTS!$A$5:$A$204,STUDENTS!$C$5:$C$204,""),"")</f>
        <v/>
      </c>
      <c r="E361" s="8" t="str">
        <f ca="1">IFERROR(_xludf.XLOOKUP(C361,STUDENTS!$A$5:$A$204,STUDENTS!$L$5:$L$204,""),"")</f>
        <v/>
      </c>
      <c r="F361" s="8"/>
      <c r="G361" s="12"/>
      <c r="H361" s="12"/>
      <c r="I361" s="11" t="str">
        <f t="shared" si="11"/>
        <v/>
      </c>
      <c r="J361" s="8"/>
    </row>
    <row r="362" spans="1:10" x14ac:dyDescent="0.2">
      <c r="A362" s="10" t="str">
        <f t="shared" si="10"/>
        <v/>
      </c>
      <c r="B362" s="9"/>
      <c r="C362" s="8"/>
      <c r="D362" s="8" t="str">
        <f ca="1">IFERROR(_xludf.XLOOKUP(C362,STUDENTS!$A$5:$A$204,STUDENTS!$C$5:$C$204,""),"")</f>
        <v/>
      </c>
      <c r="E362" s="8" t="str">
        <f ca="1">IFERROR(_xludf.XLOOKUP(C362,STUDENTS!$A$5:$A$204,STUDENTS!$L$5:$L$204,""),"")</f>
        <v/>
      </c>
      <c r="F362" s="8"/>
      <c r="G362" s="12"/>
      <c r="H362" s="12"/>
      <c r="I362" s="11" t="str">
        <f t="shared" si="11"/>
        <v/>
      </c>
      <c r="J362" s="8"/>
    </row>
    <row r="363" spans="1:10" x14ac:dyDescent="0.2">
      <c r="A363" s="10" t="str">
        <f t="shared" si="10"/>
        <v/>
      </c>
      <c r="B363" s="9"/>
      <c r="C363" s="8"/>
      <c r="D363" s="8" t="str">
        <f ca="1">IFERROR(_xludf.XLOOKUP(C363,STUDENTS!$A$5:$A$204,STUDENTS!$C$5:$C$204,""),"")</f>
        <v/>
      </c>
      <c r="E363" s="8" t="str">
        <f ca="1">IFERROR(_xludf.XLOOKUP(C363,STUDENTS!$A$5:$A$204,STUDENTS!$L$5:$L$204,""),"")</f>
        <v/>
      </c>
      <c r="F363" s="8"/>
      <c r="G363" s="12"/>
      <c r="H363" s="12"/>
      <c r="I363" s="11" t="str">
        <f t="shared" si="11"/>
        <v/>
      </c>
      <c r="J363" s="8"/>
    </row>
    <row r="364" spans="1:10" x14ac:dyDescent="0.2">
      <c r="A364" s="10" t="str">
        <f t="shared" si="10"/>
        <v/>
      </c>
      <c r="B364" s="9"/>
      <c r="C364" s="8"/>
      <c r="D364" s="8" t="str">
        <f ca="1">IFERROR(_xludf.XLOOKUP(C364,STUDENTS!$A$5:$A$204,STUDENTS!$C$5:$C$204,""),"")</f>
        <v/>
      </c>
      <c r="E364" s="8" t="str">
        <f ca="1">IFERROR(_xludf.XLOOKUP(C364,STUDENTS!$A$5:$A$204,STUDENTS!$L$5:$L$204,""),"")</f>
        <v/>
      </c>
      <c r="F364" s="8"/>
      <c r="G364" s="12"/>
      <c r="H364" s="12"/>
      <c r="I364" s="11" t="str">
        <f t="shared" si="11"/>
        <v/>
      </c>
      <c r="J364" s="8"/>
    </row>
    <row r="365" spans="1:10" x14ac:dyDescent="0.2">
      <c r="A365" s="10" t="str">
        <f t="shared" si="10"/>
        <v/>
      </c>
      <c r="B365" s="9"/>
      <c r="C365" s="8"/>
      <c r="D365" s="8" t="str">
        <f ca="1">IFERROR(_xludf.XLOOKUP(C365,STUDENTS!$A$5:$A$204,STUDENTS!$C$5:$C$204,""),"")</f>
        <v/>
      </c>
      <c r="E365" s="8" t="str">
        <f ca="1">IFERROR(_xludf.XLOOKUP(C365,STUDENTS!$A$5:$A$204,STUDENTS!$L$5:$L$204,""),"")</f>
        <v/>
      </c>
      <c r="F365" s="8"/>
      <c r="G365" s="12"/>
      <c r="H365" s="12"/>
      <c r="I365" s="11" t="str">
        <f t="shared" si="11"/>
        <v/>
      </c>
      <c r="J365" s="8"/>
    </row>
    <row r="366" spans="1:10" x14ac:dyDescent="0.2">
      <c r="A366" s="10" t="str">
        <f t="shared" si="10"/>
        <v/>
      </c>
      <c r="B366" s="9"/>
      <c r="C366" s="8"/>
      <c r="D366" s="8" t="str">
        <f ca="1">IFERROR(_xludf.XLOOKUP(C366,STUDENTS!$A$5:$A$204,STUDENTS!$C$5:$C$204,""),"")</f>
        <v/>
      </c>
      <c r="E366" s="8" t="str">
        <f ca="1">IFERROR(_xludf.XLOOKUP(C366,STUDENTS!$A$5:$A$204,STUDENTS!$L$5:$L$204,""),"")</f>
        <v/>
      </c>
      <c r="F366" s="8"/>
      <c r="G366" s="12"/>
      <c r="H366" s="12"/>
      <c r="I366" s="11" t="str">
        <f t="shared" si="11"/>
        <v/>
      </c>
      <c r="J366" s="8"/>
    </row>
    <row r="367" spans="1:10" x14ac:dyDescent="0.2">
      <c r="A367" s="10" t="str">
        <f t="shared" si="10"/>
        <v/>
      </c>
      <c r="B367" s="9"/>
      <c r="C367" s="8"/>
      <c r="D367" s="8" t="str">
        <f ca="1">IFERROR(_xludf.XLOOKUP(C367,STUDENTS!$A$5:$A$204,STUDENTS!$C$5:$C$204,""),"")</f>
        <v/>
      </c>
      <c r="E367" s="8" t="str">
        <f ca="1">IFERROR(_xludf.XLOOKUP(C367,STUDENTS!$A$5:$A$204,STUDENTS!$L$5:$L$204,""),"")</f>
        <v/>
      </c>
      <c r="F367" s="8"/>
      <c r="G367" s="12"/>
      <c r="H367" s="12"/>
      <c r="I367" s="11" t="str">
        <f t="shared" si="11"/>
        <v/>
      </c>
      <c r="J367" s="8"/>
    </row>
    <row r="368" spans="1:10" x14ac:dyDescent="0.2">
      <c r="A368" s="10" t="str">
        <f t="shared" si="10"/>
        <v/>
      </c>
      <c r="B368" s="9"/>
      <c r="C368" s="8"/>
      <c r="D368" s="8" t="str">
        <f ca="1">IFERROR(_xludf.XLOOKUP(C368,STUDENTS!$A$5:$A$204,STUDENTS!$C$5:$C$204,""),"")</f>
        <v/>
      </c>
      <c r="E368" s="8" t="str">
        <f ca="1">IFERROR(_xludf.XLOOKUP(C368,STUDENTS!$A$5:$A$204,STUDENTS!$L$5:$L$204,""),"")</f>
        <v/>
      </c>
      <c r="F368" s="8"/>
      <c r="G368" s="12"/>
      <c r="H368" s="12"/>
      <c r="I368" s="11" t="str">
        <f t="shared" si="11"/>
        <v/>
      </c>
      <c r="J368" s="8"/>
    </row>
    <row r="369" spans="1:10" x14ac:dyDescent="0.2">
      <c r="A369" s="10" t="str">
        <f t="shared" si="10"/>
        <v/>
      </c>
      <c r="B369" s="9"/>
      <c r="C369" s="8"/>
      <c r="D369" s="8" t="str">
        <f ca="1">IFERROR(_xludf.XLOOKUP(C369,STUDENTS!$A$5:$A$204,STUDENTS!$C$5:$C$204,""),"")</f>
        <v/>
      </c>
      <c r="E369" s="8" t="str">
        <f ca="1">IFERROR(_xludf.XLOOKUP(C369,STUDENTS!$A$5:$A$204,STUDENTS!$L$5:$L$204,""),"")</f>
        <v/>
      </c>
      <c r="F369" s="8"/>
      <c r="G369" s="12"/>
      <c r="H369" s="12"/>
      <c r="I369" s="11" t="str">
        <f t="shared" si="11"/>
        <v/>
      </c>
      <c r="J369" s="8"/>
    </row>
    <row r="370" spans="1:10" x14ac:dyDescent="0.2">
      <c r="A370" s="10" t="str">
        <f t="shared" si="10"/>
        <v/>
      </c>
      <c r="B370" s="9"/>
      <c r="C370" s="8"/>
      <c r="D370" s="8" t="str">
        <f ca="1">IFERROR(_xludf.XLOOKUP(C370,STUDENTS!$A$5:$A$204,STUDENTS!$C$5:$C$204,""),"")</f>
        <v/>
      </c>
      <c r="E370" s="8" t="str">
        <f ca="1">IFERROR(_xludf.XLOOKUP(C370,STUDENTS!$A$5:$A$204,STUDENTS!$L$5:$L$204,""),"")</f>
        <v/>
      </c>
      <c r="F370" s="8"/>
      <c r="G370" s="12"/>
      <c r="H370" s="12"/>
      <c r="I370" s="11" t="str">
        <f t="shared" si="11"/>
        <v/>
      </c>
      <c r="J370" s="8"/>
    </row>
    <row r="371" spans="1:10" x14ac:dyDescent="0.2">
      <c r="A371" s="10" t="str">
        <f t="shared" si="10"/>
        <v/>
      </c>
      <c r="B371" s="9"/>
      <c r="C371" s="8"/>
      <c r="D371" s="8" t="str">
        <f ca="1">IFERROR(_xludf.XLOOKUP(C371,STUDENTS!$A$5:$A$204,STUDENTS!$C$5:$C$204,""),"")</f>
        <v/>
      </c>
      <c r="E371" s="8" t="str">
        <f ca="1">IFERROR(_xludf.XLOOKUP(C371,STUDENTS!$A$5:$A$204,STUDENTS!$L$5:$L$204,""),"")</f>
        <v/>
      </c>
      <c r="F371" s="8"/>
      <c r="G371" s="12"/>
      <c r="H371" s="12"/>
      <c r="I371" s="11" t="str">
        <f t="shared" si="11"/>
        <v/>
      </c>
      <c r="J371" s="8"/>
    </row>
    <row r="372" spans="1:10" x14ac:dyDescent="0.2">
      <c r="A372" s="10" t="str">
        <f t="shared" si="10"/>
        <v/>
      </c>
      <c r="B372" s="9"/>
      <c r="C372" s="8"/>
      <c r="D372" s="8" t="str">
        <f ca="1">IFERROR(_xludf.XLOOKUP(C372,STUDENTS!$A$5:$A$204,STUDENTS!$C$5:$C$204,""),"")</f>
        <v/>
      </c>
      <c r="E372" s="8" t="str">
        <f ca="1">IFERROR(_xludf.XLOOKUP(C372,STUDENTS!$A$5:$A$204,STUDENTS!$L$5:$L$204,""),"")</f>
        <v/>
      </c>
      <c r="F372" s="8"/>
      <c r="G372" s="12"/>
      <c r="H372" s="12"/>
      <c r="I372" s="11" t="str">
        <f t="shared" si="11"/>
        <v/>
      </c>
      <c r="J372" s="8"/>
    </row>
    <row r="373" spans="1:10" x14ac:dyDescent="0.2">
      <c r="A373" s="10" t="str">
        <f t="shared" si="10"/>
        <v/>
      </c>
      <c r="B373" s="9"/>
      <c r="C373" s="8"/>
      <c r="D373" s="8" t="str">
        <f ca="1">IFERROR(_xludf.XLOOKUP(C373,STUDENTS!$A$5:$A$204,STUDENTS!$C$5:$C$204,""),"")</f>
        <v/>
      </c>
      <c r="E373" s="8" t="str">
        <f ca="1">IFERROR(_xludf.XLOOKUP(C373,STUDENTS!$A$5:$A$204,STUDENTS!$L$5:$L$204,""),"")</f>
        <v/>
      </c>
      <c r="F373" s="8"/>
      <c r="G373" s="12"/>
      <c r="H373" s="12"/>
      <c r="I373" s="11" t="str">
        <f t="shared" si="11"/>
        <v/>
      </c>
      <c r="J373" s="8"/>
    </row>
    <row r="374" spans="1:10" x14ac:dyDescent="0.2">
      <c r="A374" s="10" t="str">
        <f t="shared" si="10"/>
        <v/>
      </c>
      <c r="B374" s="9"/>
      <c r="C374" s="8"/>
      <c r="D374" s="8" t="str">
        <f ca="1">IFERROR(_xludf.XLOOKUP(C374,STUDENTS!$A$5:$A$204,STUDENTS!$C$5:$C$204,""),"")</f>
        <v/>
      </c>
      <c r="E374" s="8" t="str">
        <f ca="1">IFERROR(_xludf.XLOOKUP(C374,STUDENTS!$A$5:$A$204,STUDENTS!$L$5:$L$204,""),"")</f>
        <v/>
      </c>
      <c r="F374" s="8"/>
      <c r="G374" s="12"/>
      <c r="H374" s="12"/>
      <c r="I374" s="11" t="str">
        <f t="shared" si="11"/>
        <v/>
      </c>
      <c r="J374" s="8"/>
    </row>
    <row r="375" spans="1:10" x14ac:dyDescent="0.2">
      <c r="A375" s="10" t="str">
        <f t="shared" si="10"/>
        <v/>
      </c>
      <c r="B375" s="9"/>
      <c r="C375" s="8"/>
      <c r="D375" s="8" t="str">
        <f ca="1">IFERROR(_xludf.XLOOKUP(C375,STUDENTS!$A$5:$A$204,STUDENTS!$C$5:$C$204,""),"")</f>
        <v/>
      </c>
      <c r="E375" s="8" t="str">
        <f ca="1">IFERROR(_xludf.XLOOKUP(C375,STUDENTS!$A$5:$A$204,STUDENTS!$L$5:$L$204,""),"")</f>
        <v/>
      </c>
      <c r="F375" s="8"/>
      <c r="G375" s="12"/>
      <c r="H375" s="12"/>
      <c r="I375" s="11" t="str">
        <f t="shared" si="11"/>
        <v/>
      </c>
      <c r="J375" s="8"/>
    </row>
    <row r="376" spans="1:10" x14ac:dyDescent="0.2">
      <c r="A376" s="10" t="str">
        <f t="shared" si="10"/>
        <v/>
      </c>
      <c r="B376" s="9"/>
      <c r="C376" s="8"/>
      <c r="D376" s="8" t="str">
        <f ca="1">IFERROR(_xludf.XLOOKUP(C376,STUDENTS!$A$5:$A$204,STUDENTS!$C$5:$C$204,""),"")</f>
        <v/>
      </c>
      <c r="E376" s="8" t="str">
        <f ca="1">IFERROR(_xludf.XLOOKUP(C376,STUDENTS!$A$5:$A$204,STUDENTS!$L$5:$L$204,""),"")</f>
        <v/>
      </c>
      <c r="F376" s="8"/>
      <c r="G376" s="12"/>
      <c r="H376" s="12"/>
      <c r="I376" s="11" t="str">
        <f t="shared" si="11"/>
        <v/>
      </c>
      <c r="J376" s="8"/>
    </row>
    <row r="377" spans="1:10" x14ac:dyDescent="0.2">
      <c r="A377" s="10" t="str">
        <f t="shared" si="10"/>
        <v/>
      </c>
      <c r="B377" s="9"/>
      <c r="C377" s="8"/>
      <c r="D377" s="8" t="str">
        <f ca="1">IFERROR(_xludf.XLOOKUP(C377,STUDENTS!$A$5:$A$204,STUDENTS!$C$5:$C$204,""),"")</f>
        <v/>
      </c>
      <c r="E377" s="8" t="str">
        <f ca="1">IFERROR(_xludf.XLOOKUP(C377,STUDENTS!$A$5:$A$204,STUDENTS!$L$5:$L$204,""),"")</f>
        <v/>
      </c>
      <c r="F377" s="8"/>
      <c r="G377" s="12"/>
      <c r="H377" s="12"/>
      <c r="I377" s="11" t="str">
        <f t="shared" si="11"/>
        <v/>
      </c>
      <c r="J377" s="8"/>
    </row>
    <row r="378" spans="1:10" x14ac:dyDescent="0.2">
      <c r="A378" s="10" t="str">
        <f t="shared" si="10"/>
        <v/>
      </c>
      <c r="B378" s="9"/>
      <c r="C378" s="8"/>
      <c r="D378" s="8" t="str">
        <f ca="1">IFERROR(_xludf.XLOOKUP(C378,STUDENTS!$A$5:$A$204,STUDENTS!$C$5:$C$204,""),"")</f>
        <v/>
      </c>
      <c r="E378" s="8" t="str">
        <f ca="1">IFERROR(_xludf.XLOOKUP(C378,STUDENTS!$A$5:$A$204,STUDENTS!$L$5:$L$204,""),"")</f>
        <v/>
      </c>
      <c r="F378" s="8"/>
      <c r="G378" s="12"/>
      <c r="H378" s="12"/>
      <c r="I378" s="11" t="str">
        <f t="shared" si="11"/>
        <v/>
      </c>
      <c r="J378" s="8"/>
    </row>
    <row r="379" spans="1:10" x14ac:dyDescent="0.2">
      <c r="A379" s="10" t="str">
        <f t="shared" si="10"/>
        <v/>
      </c>
      <c r="B379" s="9"/>
      <c r="C379" s="8"/>
      <c r="D379" s="8" t="str">
        <f ca="1">IFERROR(_xludf.XLOOKUP(C379,STUDENTS!$A$5:$A$204,STUDENTS!$C$5:$C$204,""),"")</f>
        <v/>
      </c>
      <c r="E379" s="8" t="str">
        <f ca="1">IFERROR(_xludf.XLOOKUP(C379,STUDENTS!$A$5:$A$204,STUDENTS!$L$5:$L$204,""),"")</f>
        <v/>
      </c>
      <c r="F379" s="8"/>
      <c r="G379" s="12"/>
      <c r="H379" s="12"/>
      <c r="I379" s="11" t="str">
        <f t="shared" si="11"/>
        <v/>
      </c>
      <c r="J379" s="8"/>
    </row>
    <row r="380" spans="1:10" x14ac:dyDescent="0.2">
      <c r="A380" s="10" t="str">
        <f t="shared" si="10"/>
        <v/>
      </c>
      <c r="B380" s="9"/>
      <c r="C380" s="8"/>
      <c r="D380" s="8" t="str">
        <f ca="1">IFERROR(_xludf.XLOOKUP(C380,STUDENTS!$A$5:$A$204,STUDENTS!$C$5:$C$204,""),"")</f>
        <v/>
      </c>
      <c r="E380" s="8" t="str">
        <f ca="1">IFERROR(_xludf.XLOOKUP(C380,STUDENTS!$A$5:$A$204,STUDENTS!$L$5:$L$204,""),"")</f>
        <v/>
      </c>
      <c r="F380" s="8"/>
      <c r="G380" s="12"/>
      <c r="H380" s="12"/>
      <c r="I380" s="11" t="str">
        <f t="shared" si="11"/>
        <v/>
      </c>
      <c r="J380" s="8"/>
    </row>
    <row r="381" spans="1:10" x14ac:dyDescent="0.2">
      <c r="A381" s="10" t="str">
        <f t="shared" si="10"/>
        <v/>
      </c>
      <c r="B381" s="9"/>
      <c r="C381" s="8"/>
      <c r="D381" s="8" t="str">
        <f ca="1">IFERROR(_xludf.XLOOKUP(C381,STUDENTS!$A$5:$A$204,STUDENTS!$C$5:$C$204,""),"")</f>
        <v/>
      </c>
      <c r="E381" s="8" t="str">
        <f ca="1">IFERROR(_xludf.XLOOKUP(C381,STUDENTS!$A$5:$A$204,STUDENTS!$L$5:$L$204,""),"")</f>
        <v/>
      </c>
      <c r="F381" s="8"/>
      <c r="G381" s="12"/>
      <c r="H381" s="12"/>
      <c r="I381" s="11" t="str">
        <f t="shared" si="11"/>
        <v/>
      </c>
      <c r="J381" s="8"/>
    </row>
    <row r="382" spans="1:10" x14ac:dyDescent="0.2">
      <c r="A382" s="10" t="str">
        <f t="shared" si="10"/>
        <v/>
      </c>
      <c r="B382" s="9"/>
      <c r="C382" s="8"/>
      <c r="D382" s="8" t="str">
        <f ca="1">IFERROR(_xludf.XLOOKUP(C382,STUDENTS!$A$5:$A$204,STUDENTS!$C$5:$C$204,""),"")</f>
        <v/>
      </c>
      <c r="E382" s="8" t="str">
        <f ca="1">IFERROR(_xludf.XLOOKUP(C382,STUDENTS!$A$5:$A$204,STUDENTS!$L$5:$L$204,""),"")</f>
        <v/>
      </c>
      <c r="F382" s="8"/>
      <c r="G382" s="12"/>
      <c r="H382" s="12"/>
      <c r="I382" s="11" t="str">
        <f t="shared" si="11"/>
        <v/>
      </c>
      <c r="J382" s="8"/>
    </row>
    <row r="383" spans="1:10" x14ac:dyDescent="0.2">
      <c r="A383" s="10" t="str">
        <f t="shared" si="10"/>
        <v/>
      </c>
      <c r="B383" s="9"/>
      <c r="C383" s="8"/>
      <c r="D383" s="8" t="str">
        <f ca="1">IFERROR(_xludf.XLOOKUP(C383,STUDENTS!$A$5:$A$204,STUDENTS!$C$5:$C$204,""),"")</f>
        <v/>
      </c>
      <c r="E383" s="8" t="str">
        <f ca="1">IFERROR(_xludf.XLOOKUP(C383,STUDENTS!$A$5:$A$204,STUDENTS!$L$5:$L$204,""),"")</f>
        <v/>
      </c>
      <c r="F383" s="8"/>
      <c r="G383" s="12"/>
      <c r="H383" s="12"/>
      <c r="I383" s="11" t="str">
        <f t="shared" si="11"/>
        <v/>
      </c>
      <c r="J383" s="8"/>
    </row>
    <row r="384" spans="1:10" x14ac:dyDescent="0.2">
      <c r="A384" s="10" t="str">
        <f t="shared" si="10"/>
        <v/>
      </c>
      <c r="B384" s="9"/>
      <c r="C384" s="8"/>
      <c r="D384" s="8" t="str">
        <f ca="1">IFERROR(_xludf.XLOOKUP(C384,STUDENTS!$A$5:$A$204,STUDENTS!$C$5:$C$204,""),"")</f>
        <v/>
      </c>
      <c r="E384" s="8" t="str">
        <f ca="1">IFERROR(_xludf.XLOOKUP(C384,STUDENTS!$A$5:$A$204,STUDENTS!$L$5:$L$204,""),"")</f>
        <v/>
      </c>
      <c r="F384" s="8"/>
      <c r="G384" s="12"/>
      <c r="H384" s="12"/>
      <c r="I384" s="11" t="str">
        <f t="shared" si="11"/>
        <v/>
      </c>
      <c r="J384" s="8"/>
    </row>
    <row r="385" spans="1:10" x14ac:dyDescent="0.2">
      <c r="A385" s="10" t="str">
        <f t="shared" si="10"/>
        <v/>
      </c>
      <c r="B385" s="9"/>
      <c r="C385" s="8"/>
      <c r="D385" s="8" t="str">
        <f ca="1">IFERROR(_xludf.XLOOKUP(C385,STUDENTS!$A$5:$A$204,STUDENTS!$C$5:$C$204,""),"")</f>
        <v/>
      </c>
      <c r="E385" s="8" t="str">
        <f ca="1">IFERROR(_xludf.XLOOKUP(C385,STUDENTS!$A$5:$A$204,STUDENTS!$L$5:$L$204,""),"")</f>
        <v/>
      </c>
      <c r="F385" s="8"/>
      <c r="G385" s="12"/>
      <c r="H385" s="12"/>
      <c r="I385" s="11" t="str">
        <f t="shared" si="11"/>
        <v/>
      </c>
      <c r="J385" s="8"/>
    </row>
    <row r="386" spans="1:10" x14ac:dyDescent="0.2">
      <c r="A386" s="10" t="str">
        <f t="shared" si="10"/>
        <v/>
      </c>
      <c r="B386" s="9"/>
      <c r="C386" s="8"/>
      <c r="D386" s="8" t="str">
        <f ca="1">IFERROR(_xludf.XLOOKUP(C386,STUDENTS!$A$5:$A$204,STUDENTS!$C$5:$C$204,""),"")</f>
        <v/>
      </c>
      <c r="E386" s="8" t="str">
        <f ca="1">IFERROR(_xludf.XLOOKUP(C386,STUDENTS!$A$5:$A$204,STUDENTS!$L$5:$L$204,""),"")</f>
        <v/>
      </c>
      <c r="F386" s="8"/>
      <c r="G386" s="12"/>
      <c r="H386" s="12"/>
      <c r="I386" s="11" t="str">
        <f t="shared" si="11"/>
        <v/>
      </c>
      <c r="J386" s="8"/>
    </row>
    <row r="387" spans="1:10" x14ac:dyDescent="0.2">
      <c r="A387" s="10" t="str">
        <f t="shared" si="10"/>
        <v/>
      </c>
      <c r="B387" s="9"/>
      <c r="C387" s="8"/>
      <c r="D387" s="8" t="str">
        <f ca="1">IFERROR(_xludf.XLOOKUP(C387,STUDENTS!$A$5:$A$204,STUDENTS!$C$5:$C$204,""),"")</f>
        <v/>
      </c>
      <c r="E387" s="8" t="str">
        <f ca="1">IFERROR(_xludf.XLOOKUP(C387,STUDENTS!$A$5:$A$204,STUDENTS!$L$5:$L$204,""),"")</f>
        <v/>
      </c>
      <c r="F387" s="8"/>
      <c r="G387" s="12"/>
      <c r="H387" s="12"/>
      <c r="I387" s="11" t="str">
        <f t="shared" si="11"/>
        <v/>
      </c>
      <c r="J387" s="8"/>
    </row>
    <row r="388" spans="1:10" x14ac:dyDescent="0.2">
      <c r="A388" s="10" t="str">
        <f t="shared" si="10"/>
        <v/>
      </c>
      <c r="B388" s="9"/>
      <c r="C388" s="8"/>
      <c r="D388" s="8" t="str">
        <f ca="1">IFERROR(_xludf.XLOOKUP(C388,STUDENTS!$A$5:$A$204,STUDENTS!$C$5:$C$204,""),"")</f>
        <v/>
      </c>
      <c r="E388" s="8" t="str">
        <f ca="1">IFERROR(_xludf.XLOOKUP(C388,STUDENTS!$A$5:$A$204,STUDENTS!$L$5:$L$204,""),"")</f>
        <v/>
      </c>
      <c r="F388" s="8"/>
      <c r="G388" s="12"/>
      <c r="H388" s="12"/>
      <c r="I388" s="11" t="str">
        <f t="shared" si="11"/>
        <v/>
      </c>
      <c r="J388" s="8"/>
    </row>
    <row r="389" spans="1:10" x14ac:dyDescent="0.2">
      <c r="A389" s="10" t="str">
        <f t="shared" ref="A389:A404" si="12">IF(C389="","","EX-"&amp;TEXT(ROW()-4,"00000"))</f>
        <v/>
      </c>
      <c r="B389" s="9"/>
      <c r="C389" s="8"/>
      <c r="D389" s="8" t="str">
        <f ca="1">IFERROR(_xludf.XLOOKUP(C389,STUDENTS!$A$5:$A$204,STUDENTS!$C$5:$C$204,""),"")</f>
        <v/>
      </c>
      <c r="E389" s="8" t="str">
        <f ca="1">IFERROR(_xludf.XLOOKUP(C389,STUDENTS!$A$5:$A$204,STUDENTS!$L$5:$L$204,""),"")</f>
        <v/>
      </c>
      <c r="F389" s="8"/>
      <c r="G389" s="12"/>
      <c r="H389" s="12"/>
      <c r="I389" s="11" t="str">
        <f t="shared" ref="I389:I404" si="13">IF(G389="","",G389-H389)</f>
        <v/>
      </c>
      <c r="J389" s="8"/>
    </row>
    <row r="390" spans="1:10" x14ac:dyDescent="0.2">
      <c r="A390" s="10" t="str">
        <f t="shared" si="12"/>
        <v/>
      </c>
      <c r="B390" s="9"/>
      <c r="C390" s="8"/>
      <c r="D390" s="8" t="str">
        <f ca="1">IFERROR(_xludf.XLOOKUP(C390,STUDENTS!$A$5:$A$204,STUDENTS!$C$5:$C$204,""),"")</f>
        <v/>
      </c>
      <c r="E390" s="8" t="str">
        <f ca="1">IFERROR(_xludf.XLOOKUP(C390,STUDENTS!$A$5:$A$204,STUDENTS!$L$5:$L$204,""),"")</f>
        <v/>
      </c>
      <c r="F390" s="8"/>
      <c r="G390" s="12"/>
      <c r="H390" s="12"/>
      <c r="I390" s="11" t="str">
        <f t="shared" si="13"/>
        <v/>
      </c>
      <c r="J390" s="8"/>
    </row>
    <row r="391" spans="1:10" x14ac:dyDescent="0.2">
      <c r="A391" s="10" t="str">
        <f t="shared" si="12"/>
        <v/>
      </c>
      <c r="B391" s="9"/>
      <c r="C391" s="8"/>
      <c r="D391" s="8" t="str">
        <f ca="1">IFERROR(_xludf.XLOOKUP(C391,STUDENTS!$A$5:$A$204,STUDENTS!$C$5:$C$204,""),"")</f>
        <v/>
      </c>
      <c r="E391" s="8" t="str">
        <f ca="1">IFERROR(_xludf.XLOOKUP(C391,STUDENTS!$A$5:$A$204,STUDENTS!$L$5:$L$204,""),"")</f>
        <v/>
      </c>
      <c r="F391" s="8"/>
      <c r="G391" s="12"/>
      <c r="H391" s="12"/>
      <c r="I391" s="11" t="str">
        <f t="shared" si="13"/>
        <v/>
      </c>
      <c r="J391" s="8"/>
    </row>
    <row r="392" spans="1:10" x14ac:dyDescent="0.2">
      <c r="A392" s="10" t="str">
        <f t="shared" si="12"/>
        <v/>
      </c>
      <c r="B392" s="9"/>
      <c r="C392" s="8"/>
      <c r="D392" s="8" t="str">
        <f ca="1">IFERROR(_xludf.XLOOKUP(C392,STUDENTS!$A$5:$A$204,STUDENTS!$C$5:$C$204,""),"")</f>
        <v/>
      </c>
      <c r="E392" s="8" t="str">
        <f ca="1">IFERROR(_xludf.XLOOKUP(C392,STUDENTS!$A$5:$A$204,STUDENTS!$L$5:$L$204,""),"")</f>
        <v/>
      </c>
      <c r="F392" s="8"/>
      <c r="G392" s="12"/>
      <c r="H392" s="12"/>
      <c r="I392" s="11" t="str">
        <f t="shared" si="13"/>
        <v/>
      </c>
      <c r="J392" s="8"/>
    </row>
    <row r="393" spans="1:10" x14ac:dyDescent="0.2">
      <c r="A393" s="10" t="str">
        <f t="shared" si="12"/>
        <v/>
      </c>
      <c r="B393" s="9"/>
      <c r="C393" s="8"/>
      <c r="D393" s="8" t="str">
        <f ca="1">IFERROR(_xludf.XLOOKUP(C393,STUDENTS!$A$5:$A$204,STUDENTS!$C$5:$C$204,""),"")</f>
        <v/>
      </c>
      <c r="E393" s="8" t="str">
        <f ca="1">IFERROR(_xludf.XLOOKUP(C393,STUDENTS!$A$5:$A$204,STUDENTS!$L$5:$L$204,""),"")</f>
        <v/>
      </c>
      <c r="F393" s="8"/>
      <c r="G393" s="12"/>
      <c r="H393" s="12"/>
      <c r="I393" s="11" t="str">
        <f t="shared" si="13"/>
        <v/>
      </c>
      <c r="J393" s="8"/>
    </row>
    <row r="394" spans="1:10" x14ac:dyDescent="0.2">
      <c r="A394" s="10" t="str">
        <f t="shared" si="12"/>
        <v/>
      </c>
      <c r="B394" s="9"/>
      <c r="C394" s="8"/>
      <c r="D394" s="8" t="str">
        <f ca="1">IFERROR(_xludf.XLOOKUP(C394,STUDENTS!$A$5:$A$204,STUDENTS!$C$5:$C$204,""),"")</f>
        <v/>
      </c>
      <c r="E394" s="8" t="str">
        <f ca="1">IFERROR(_xludf.XLOOKUP(C394,STUDENTS!$A$5:$A$204,STUDENTS!$L$5:$L$204,""),"")</f>
        <v/>
      </c>
      <c r="F394" s="8"/>
      <c r="G394" s="12"/>
      <c r="H394" s="12"/>
      <c r="I394" s="11" t="str">
        <f t="shared" si="13"/>
        <v/>
      </c>
      <c r="J394" s="8"/>
    </row>
    <row r="395" spans="1:10" x14ac:dyDescent="0.2">
      <c r="A395" s="10" t="str">
        <f t="shared" si="12"/>
        <v/>
      </c>
      <c r="B395" s="9"/>
      <c r="C395" s="8"/>
      <c r="D395" s="8" t="str">
        <f ca="1">IFERROR(_xludf.XLOOKUP(C395,STUDENTS!$A$5:$A$204,STUDENTS!$C$5:$C$204,""),"")</f>
        <v/>
      </c>
      <c r="E395" s="8" t="str">
        <f ca="1">IFERROR(_xludf.XLOOKUP(C395,STUDENTS!$A$5:$A$204,STUDENTS!$L$5:$L$204,""),"")</f>
        <v/>
      </c>
      <c r="F395" s="8"/>
      <c r="G395" s="12"/>
      <c r="H395" s="12"/>
      <c r="I395" s="11" t="str">
        <f t="shared" si="13"/>
        <v/>
      </c>
      <c r="J395" s="8"/>
    </row>
    <row r="396" spans="1:10" x14ac:dyDescent="0.2">
      <c r="A396" s="10" t="str">
        <f t="shared" si="12"/>
        <v/>
      </c>
      <c r="B396" s="9"/>
      <c r="C396" s="8"/>
      <c r="D396" s="8" t="str">
        <f ca="1">IFERROR(_xludf.XLOOKUP(C396,STUDENTS!$A$5:$A$204,STUDENTS!$C$5:$C$204,""),"")</f>
        <v/>
      </c>
      <c r="E396" s="8" t="str">
        <f ca="1">IFERROR(_xludf.XLOOKUP(C396,STUDENTS!$A$5:$A$204,STUDENTS!$L$5:$L$204,""),"")</f>
        <v/>
      </c>
      <c r="F396" s="8"/>
      <c r="G396" s="12"/>
      <c r="H396" s="12"/>
      <c r="I396" s="11" t="str">
        <f t="shared" si="13"/>
        <v/>
      </c>
      <c r="J396" s="8"/>
    </row>
    <row r="397" spans="1:10" x14ac:dyDescent="0.2">
      <c r="A397" s="10" t="str">
        <f t="shared" si="12"/>
        <v/>
      </c>
      <c r="B397" s="9"/>
      <c r="C397" s="8"/>
      <c r="D397" s="8" t="str">
        <f ca="1">IFERROR(_xludf.XLOOKUP(C397,STUDENTS!$A$5:$A$204,STUDENTS!$C$5:$C$204,""),"")</f>
        <v/>
      </c>
      <c r="E397" s="8" t="str">
        <f ca="1">IFERROR(_xludf.XLOOKUP(C397,STUDENTS!$A$5:$A$204,STUDENTS!$L$5:$L$204,""),"")</f>
        <v/>
      </c>
      <c r="F397" s="8"/>
      <c r="G397" s="12"/>
      <c r="H397" s="12"/>
      <c r="I397" s="11" t="str">
        <f t="shared" si="13"/>
        <v/>
      </c>
      <c r="J397" s="8"/>
    </row>
    <row r="398" spans="1:10" x14ac:dyDescent="0.2">
      <c r="A398" s="10" t="str">
        <f t="shared" si="12"/>
        <v/>
      </c>
      <c r="B398" s="9"/>
      <c r="C398" s="8"/>
      <c r="D398" s="8" t="str">
        <f ca="1">IFERROR(_xludf.XLOOKUP(C398,STUDENTS!$A$5:$A$204,STUDENTS!$C$5:$C$204,""),"")</f>
        <v/>
      </c>
      <c r="E398" s="8" t="str">
        <f ca="1">IFERROR(_xludf.XLOOKUP(C398,STUDENTS!$A$5:$A$204,STUDENTS!$L$5:$L$204,""),"")</f>
        <v/>
      </c>
      <c r="F398" s="8"/>
      <c r="G398" s="12"/>
      <c r="H398" s="12"/>
      <c r="I398" s="11" t="str">
        <f t="shared" si="13"/>
        <v/>
      </c>
      <c r="J398" s="8"/>
    </row>
    <row r="399" spans="1:10" x14ac:dyDescent="0.2">
      <c r="A399" s="10" t="str">
        <f t="shared" si="12"/>
        <v/>
      </c>
      <c r="B399" s="9"/>
      <c r="C399" s="8"/>
      <c r="D399" s="8" t="str">
        <f ca="1">IFERROR(_xludf.XLOOKUP(C399,STUDENTS!$A$5:$A$204,STUDENTS!$C$5:$C$204,""),"")</f>
        <v/>
      </c>
      <c r="E399" s="8" t="str">
        <f ca="1">IFERROR(_xludf.XLOOKUP(C399,STUDENTS!$A$5:$A$204,STUDENTS!$L$5:$L$204,""),"")</f>
        <v/>
      </c>
      <c r="F399" s="8"/>
      <c r="G399" s="12"/>
      <c r="H399" s="12"/>
      <c r="I399" s="11" t="str">
        <f t="shared" si="13"/>
        <v/>
      </c>
      <c r="J399" s="8"/>
    </row>
    <row r="400" spans="1:10" x14ac:dyDescent="0.2">
      <c r="A400" s="10" t="str">
        <f t="shared" si="12"/>
        <v/>
      </c>
      <c r="B400" s="9"/>
      <c r="C400" s="8"/>
      <c r="D400" s="8" t="str">
        <f ca="1">IFERROR(_xludf.XLOOKUP(C400,STUDENTS!$A$5:$A$204,STUDENTS!$C$5:$C$204,""),"")</f>
        <v/>
      </c>
      <c r="E400" s="8" t="str">
        <f ca="1">IFERROR(_xludf.XLOOKUP(C400,STUDENTS!$A$5:$A$204,STUDENTS!$L$5:$L$204,""),"")</f>
        <v/>
      </c>
      <c r="F400" s="8"/>
      <c r="G400" s="12"/>
      <c r="H400" s="12"/>
      <c r="I400" s="11" t="str">
        <f t="shared" si="13"/>
        <v/>
      </c>
      <c r="J400" s="8"/>
    </row>
    <row r="401" spans="1:10" x14ac:dyDescent="0.2">
      <c r="A401" s="10" t="str">
        <f t="shared" si="12"/>
        <v/>
      </c>
      <c r="B401" s="9"/>
      <c r="C401" s="8"/>
      <c r="D401" s="8" t="str">
        <f ca="1">IFERROR(_xludf.XLOOKUP(C401,STUDENTS!$A$5:$A$204,STUDENTS!$C$5:$C$204,""),"")</f>
        <v/>
      </c>
      <c r="E401" s="8" t="str">
        <f ca="1">IFERROR(_xludf.XLOOKUP(C401,STUDENTS!$A$5:$A$204,STUDENTS!$L$5:$L$204,""),"")</f>
        <v/>
      </c>
      <c r="F401" s="8"/>
      <c r="G401" s="12"/>
      <c r="H401" s="12"/>
      <c r="I401" s="11" t="str">
        <f t="shared" si="13"/>
        <v/>
      </c>
      <c r="J401" s="8"/>
    </row>
    <row r="402" spans="1:10" x14ac:dyDescent="0.2">
      <c r="A402" s="10" t="str">
        <f t="shared" si="12"/>
        <v/>
      </c>
      <c r="B402" s="9"/>
      <c r="C402" s="8"/>
      <c r="D402" s="8" t="str">
        <f ca="1">IFERROR(_xludf.XLOOKUP(C402,STUDENTS!$A$5:$A$204,STUDENTS!$C$5:$C$204,""),"")</f>
        <v/>
      </c>
      <c r="E402" s="8" t="str">
        <f ca="1">IFERROR(_xludf.XLOOKUP(C402,STUDENTS!$A$5:$A$204,STUDENTS!$L$5:$L$204,""),"")</f>
        <v/>
      </c>
      <c r="F402" s="8"/>
      <c r="G402" s="12"/>
      <c r="H402" s="12"/>
      <c r="I402" s="11" t="str">
        <f t="shared" si="13"/>
        <v/>
      </c>
      <c r="J402" s="8"/>
    </row>
    <row r="403" spans="1:10" x14ac:dyDescent="0.2">
      <c r="A403" s="10" t="str">
        <f t="shared" si="12"/>
        <v/>
      </c>
      <c r="B403" s="9"/>
      <c r="C403" s="8"/>
      <c r="D403" s="8" t="str">
        <f ca="1">IFERROR(_xludf.XLOOKUP(C403,STUDENTS!$A$5:$A$204,STUDENTS!$C$5:$C$204,""),"")</f>
        <v/>
      </c>
      <c r="E403" s="8" t="str">
        <f ca="1">IFERROR(_xludf.XLOOKUP(C403,STUDENTS!$A$5:$A$204,STUDENTS!$L$5:$L$204,""),"")</f>
        <v/>
      </c>
      <c r="F403" s="8"/>
      <c r="G403" s="12"/>
      <c r="H403" s="12"/>
      <c r="I403" s="11" t="str">
        <f t="shared" si="13"/>
        <v/>
      </c>
      <c r="J403" s="8"/>
    </row>
    <row r="404" spans="1:10" x14ac:dyDescent="0.2">
      <c r="A404" s="10" t="str">
        <f t="shared" si="12"/>
        <v/>
      </c>
      <c r="B404" s="9"/>
      <c r="C404" s="8"/>
      <c r="D404" s="8" t="str">
        <f ca="1">IFERROR(_xludf.XLOOKUP(C404,STUDENTS!$A$5:$A$204,STUDENTS!$C$5:$C$204,""),"")</f>
        <v/>
      </c>
      <c r="E404" s="8" t="str">
        <f ca="1">IFERROR(_xludf.XLOOKUP(C404,STUDENTS!$A$5:$A$204,STUDENTS!$L$5:$L$204,""),"")</f>
        <v/>
      </c>
      <c r="F404" s="8"/>
      <c r="G404" s="12"/>
      <c r="H404" s="12"/>
      <c r="I404" s="11" t="str">
        <f t="shared" si="13"/>
        <v/>
      </c>
      <c r="J404" s="8"/>
    </row>
  </sheetData>
  <mergeCells count="2">
    <mergeCell ref="A1:J1"/>
    <mergeCell ref="A2:J2"/>
  </mergeCells>
  <conditionalFormatting sqref="I5:I404">
    <cfRule type="cellIs" dxfId="1" priority="1" operator="greaterThan">
      <formula>0</formula>
    </cfRule>
  </conditionalFormatting>
  <dataValidations count="1">
    <dataValidation type="list" allowBlank="1" sqref="F5:F404" xr:uid="{00000000-0002-0000-0500-000000000000}">
      <formula1>"Term 1,Term 2,Term 3,Annual"</formula1>
    </dataValidation>
  </dataValidations>
  <pageMargins left="0.25" right="0.25" top="0.4" bottom="0.4" header="0.2" footer="0.2"/>
  <pageSetup fitToHeight="0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1204"/>
  <sheetViews>
    <sheetView showGridLines="0" workbookViewId="0">
      <pane ySplit="4" topLeftCell="A5" activePane="bottomLeft" state="frozen"/>
      <selection pane="bottomLeft" sqref="A1:J1"/>
    </sheetView>
  </sheetViews>
  <sheetFormatPr baseColWidth="10" defaultColWidth="8.83203125" defaultRowHeight="15" x14ac:dyDescent="0.2"/>
  <cols>
    <col min="1" max="1" width="15" customWidth="1"/>
    <col min="2" max="2" width="14" customWidth="1"/>
    <col min="3" max="3" width="15" customWidth="1"/>
    <col min="4" max="4" width="28" customWidth="1"/>
    <col min="5" max="6" width="14" customWidth="1"/>
    <col min="7" max="7" width="18" customWidth="1"/>
    <col min="8" max="9" width="13" customWidth="1"/>
    <col min="10" max="10" width="15" customWidth="1"/>
  </cols>
  <sheetData>
    <row r="1" spans="1:10" ht="32" customHeight="1" x14ac:dyDescent="0.2">
      <c r="A1" s="24" t="s">
        <v>111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2" customHeight="1" x14ac:dyDescent="0.2">
      <c r="A2" s="26" t="s">
        <v>112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ht="30" customHeight="1" x14ac:dyDescent="0.2">
      <c r="A4" s="1" t="s">
        <v>113</v>
      </c>
      <c r="B4" s="1" t="s">
        <v>98</v>
      </c>
      <c r="C4" s="1" t="s">
        <v>75</v>
      </c>
      <c r="D4" s="1" t="s">
        <v>99</v>
      </c>
      <c r="E4" s="1" t="s">
        <v>86</v>
      </c>
      <c r="F4" s="1" t="s">
        <v>87</v>
      </c>
      <c r="G4" s="1" t="s">
        <v>38</v>
      </c>
      <c r="H4" s="1" t="s">
        <v>114</v>
      </c>
      <c r="I4" s="1" t="s">
        <v>115</v>
      </c>
      <c r="J4" s="1" t="s">
        <v>116</v>
      </c>
    </row>
    <row r="5" spans="1:10" x14ac:dyDescent="0.2">
      <c r="A5" s="10" t="str">
        <f t="shared" ref="A5:A68" si="0">IF(C5="","","AT-"&amp;TEXT(ROW()-4,"00000"))</f>
        <v/>
      </c>
      <c r="B5" s="9"/>
      <c r="C5" s="8"/>
      <c r="D5" s="10" t="str">
        <f ca="1">IFERROR(_xludf.XLOOKUP(C5,STUDENTS!$A$5:$A$204,STUDENTS!$C$5:$C$204,""),"")</f>
        <v/>
      </c>
      <c r="E5" s="10" t="str">
        <f ca="1">IFERROR(_xludf.XLOOKUP(C5,STUDENTS!$A$5:$A$204,STUDENTS!$L$5:$L$204,""),"")</f>
        <v/>
      </c>
      <c r="F5" s="8"/>
      <c r="G5" s="10" t="str">
        <f>SETTINGS!$B$8</f>
        <v>2026/2027</v>
      </c>
      <c r="H5" s="10">
        <f t="shared" ref="H5:H68" si="1">IF(F5="Present",1,0)</f>
        <v>0</v>
      </c>
      <c r="I5" s="10">
        <f t="shared" ref="I5:I68" si="2">IF(F5="Absent",1,0)</f>
        <v>0</v>
      </c>
      <c r="J5" s="13" t="str">
        <f t="shared" ref="J5:J68" si="3">IF(OR(H5="",I5=""),"",IF(H5+I5=0,"",H5/(H5+I5)))</f>
        <v/>
      </c>
    </row>
    <row r="6" spans="1:10" x14ac:dyDescent="0.2">
      <c r="A6" s="10" t="str">
        <f t="shared" si="0"/>
        <v/>
      </c>
      <c r="B6" s="9"/>
      <c r="C6" s="8"/>
      <c r="D6" s="10" t="str">
        <f ca="1">IFERROR(_xludf.XLOOKUP(C6,STUDENTS!$A$5:$A$204,STUDENTS!$C$5:$C$204,""),"")</f>
        <v/>
      </c>
      <c r="E6" s="10" t="str">
        <f ca="1">IFERROR(_xludf.XLOOKUP(C6,STUDENTS!$A$5:$A$204,STUDENTS!$L$5:$L$204,""),"")</f>
        <v/>
      </c>
      <c r="F6" s="8"/>
      <c r="G6" s="10" t="str">
        <f>SETTINGS!$B$8</f>
        <v>2026/2027</v>
      </c>
      <c r="H6" s="10">
        <f t="shared" si="1"/>
        <v>0</v>
      </c>
      <c r="I6" s="10">
        <f t="shared" si="2"/>
        <v>0</v>
      </c>
      <c r="J6" s="13" t="str">
        <f t="shared" si="3"/>
        <v/>
      </c>
    </row>
    <row r="7" spans="1:10" x14ac:dyDescent="0.2">
      <c r="A7" s="10" t="str">
        <f t="shared" si="0"/>
        <v/>
      </c>
      <c r="B7" s="9"/>
      <c r="C7" s="8"/>
      <c r="D7" s="10" t="str">
        <f ca="1">IFERROR(_xludf.XLOOKUP(C7,STUDENTS!$A$5:$A$204,STUDENTS!$C$5:$C$204,""),"")</f>
        <v/>
      </c>
      <c r="E7" s="10" t="str">
        <f ca="1">IFERROR(_xludf.XLOOKUP(C7,STUDENTS!$A$5:$A$204,STUDENTS!$L$5:$L$204,""),"")</f>
        <v/>
      </c>
      <c r="F7" s="8"/>
      <c r="G7" s="10" t="str">
        <f>SETTINGS!$B$8</f>
        <v>2026/2027</v>
      </c>
      <c r="H7" s="10">
        <f t="shared" si="1"/>
        <v>0</v>
      </c>
      <c r="I7" s="10">
        <f t="shared" si="2"/>
        <v>0</v>
      </c>
      <c r="J7" s="13" t="str">
        <f t="shared" si="3"/>
        <v/>
      </c>
    </row>
    <row r="8" spans="1:10" x14ac:dyDescent="0.2">
      <c r="A8" s="10" t="str">
        <f t="shared" si="0"/>
        <v/>
      </c>
      <c r="B8" s="9"/>
      <c r="C8" s="8"/>
      <c r="D8" s="10" t="str">
        <f ca="1">IFERROR(_xludf.XLOOKUP(C8,STUDENTS!$A$5:$A$204,STUDENTS!$C$5:$C$204,""),"")</f>
        <v/>
      </c>
      <c r="E8" s="10" t="str">
        <f ca="1">IFERROR(_xludf.XLOOKUP(C8,STUDENTS!$A$5:$A$204,STUDENTS!$L$5:$L$204,""),"")</f>
        <v/>
      </c>
      <c r="F8" s="8"/>
      <c r="G8" s="10" t="str">
        <f>SETTINGS!$B$8</f>
        <v>2026/2027</v>
      </c>
      <c r="H8" s="10">
        <f t="shared" si="1"/>
        <v>0</v>
      </c>
      <c r="I8" s="10">
        <f t="shared" si="2"/>
        <v>0</v>
      </c>
      <c r="J8" s="13" t="str">
        <f t="shared" si="3"/>
        <v/>
      </c>
    </row>
    <row r="9" spans="1:10" x14ac:dyDescent="0.2">
      <c r="A9" s="10" t="str">
        <f t="shared" si="0"/>
        <v/>
      </c>
      <c r="B9" s="9"/>
      <c r="C9" s="8"/>
      <c r="D9" s="10" t="str">
        <f ca="1">IFERROR(_xludf.XLOOKUP(C9,STUDENTS!$A$5:$A$204,STUDENTS!$C$5:$C$204,""),"")</f>
        <v/>
      </c>
      <c r="E9" s="10" t="str">
        <f ca="1">IFERROR(_xludf.XLOOKUP(C9,STUDENTS!$A$5:$A$204,STUDENTS!$L$5:$L$204,""),"")</f>
        <v/>
      </c>
      <c r="F9" s="8"/>
      <c r="G9" s="10" t="str">
        <f>SETTINGS!$B$8</f>
        <v>2026/2027</v>
      </c>
      <c r="H9" s="10">
        <f t="shared" si="1"/>
        <v>0</v>
      </c>
      <c r="I9" s="10">
        <f t="shared" si="2"/>
        <v>0</v>
      </c>
      <c r="J9" s="13" t="str">
        <f t="shared" si="3"/>
        <v/>
      </c>
    </row>
    <row r="10" spans="1:10" x14ac:dyDescent="0.2">
      <c r="A10" s="10" t="str">
        <f t="shared" si="0"/>
        <v/>
      </c>
      <c r="B10" s="9"/>
      <c r="C10" s="8"/>
      <c r="D10" s="10" t="str">
        <f ca="1">IFERROR(_xludf.XLOOKUP(C10,STUDENTS!$A$5:$A$204,STUDENTS!$C$5:$C$204,""),"")</f>
        <v/>
      </c>
      <c r="E10" s="10" t="str">
        <f ca="1">IFERROR(_xludf.XLOOKUP(C10,STUDENTS!$A$5:$A$204,STUDENTS!$L$5:$L$204,""),"")</f>
        <v/>
      </c>
      <c r="F10" s="8"/>
      <c r="G10" s="10" t="str">
        <f>SETTINGS!$B$8</f>
        <v>2026/2027</v>
      </c>
      <c r="H10" s="10">
        <f t="shared" si="1"/>
        <v>0</v>
      </c>
      <c r="I10" s="10">
        <f t="shared" si="2"/>
        <v>0</v>
      </c>
      <c r="J10" s="13" t="str">
        <f t="shared" si="3"/>
        <v/>
      </c>
    </row>
    <row r="11" spans="1:10" x14ac:dyDescent="0.2">
      <c r="A11" s="10" t="str">
        <f t="shared" si="0"/>
        <v/>
      </c>
      <c r="B11" s="9"/>
      <c r="C11" s="8"/>
      <c r="D11" s="10" t="str">
        <f ca="1">IFERROR(_xludf.XLOOKUP(C11,STUDENTS!$A$5:$A$204,STUDENTS!$C$5:$C$204,""),"")</f>
        <v/>
      </c>
      <c r="E11" s="10" t="str">
        <f ca="1">IFERROR(_xludf.XLOOKUP(C11,STUDENTS!$A$5:$A$204,STUDENTS!$L$5:$L$204,""),"")</f>
        <v/>
      </c>
      <c r="F11" s="8"/>
      <c r="G11" s="10" t="str">
        <f>SETTINGS!$B$8</f>
        <v>2026/2027</v>
      </c>
      <c r="H11" s="10">
        <f t="shared" si="1"/>
        <v>0</v>
      </c>
      <c r="I11" s="10">
        <f t="shared" si="2"/>
        <v>0</v>
      </c>
      <c r="J11" s="13" t="str">
        <f t="shared" si="3"/>
        <v/>
      </c>
    </row>
    <row r="12" spans="1:10" x14ac:dyDescent="0.2">
      <c r="A12" s="10" t="str">
        <f t="shared" si="0"/>
        <v/>
      </c>
      <c r="B12" s="9"/>
      <c r="C12" s="8"/>
      <c r="D12" s="10" t="str">
        <f ca="1">IFERROR(_xludf.XLOOKUP(C12,STUDENTS!$A$5:$A$204,STUDENTS!$C$5:$C$204,""),"")</f>
        <v/>
      </c>
      <c r="E12" s="10" t="str">
        <f ca="1">IFERROR(_xludf.XLOOKUP(C12,STUDENTS!$A$5:$A$204,STUDENTS!$L$5:$L$204,""),"")</f>
        <v/>
      </c>
      <c r="F12" s="8"/>
      <c r="G12" s="10" t="str">
        <f>SETTINGS!$B$8</f>
        <v>2026/2027</v>
      </c>
      <c r="H12" s="10">
        <f t="shared" si="1"/>
        <v>0</v>
      </c>
      <c r="I12" s="10">
        <f t="shared" si="2"/>
        <v>0</v>
      </c>
      <c r="J12" s="13" t="str">
        <f t="shared" si="3"/>
        <v/>
      </c>
    </row>
    <row r="13" spans="1:10" x14ac:dyDescent="0.2">
      <c r="A13" s="10" t="str">
        <f t="shared" si="0"/>
        <v/>
      </c>
      <c r="B13" s="9"/>
      <c r="C13" s="8"/>
      <c r="D13" s="10" t="str">
        <f ca="1">IFERROR(_xludf.XLOOKUP(C13,STUDENTS!$A$5:$A$204,STUDENTS!$C$5:$C$204,""),"")</f>
        <v/>
      </c>
      <c r="E13" s="10" t="str">
        <f ca="1">IFERROR(_xludf.XLOOKUP(C13,STUDENTS!$A$5:$A$204,STUDENTS!$L$5:$L$204,""),"")</f>
        <v/>
      </c>
      <c r="F13" s="8"/>
      <c r="G13" s="10" t="str">
        <f>SETTINGS!$B$8</f>
        <v>2026/2027</v>
      </c>
      <c r="H13" s="10">
        <f t="shared" si="1"/>
        <v>0</v>
      </c>
      <c r="I13" s="10">
        <f t="shared" si="2"/>
        <v>0</v>
      </c>
      <c r="J13" s="13" t="str">
        <f t="shared" si="3"/>
        <v/>
      </c>
    </row>
    <row r="14" spans="1:10" x14ac:dyDescent="0.2">
      <c r="A14" s="10" t="str">
        <f t="shared" si="0"/>
        <v/>
      </c>
      <c r="B14" s="9"/>
      <c r="C14" s="8"/>
      <c r="D14" s="10" t="str">
        <f ca="1">IFERROR(_xludf.XLOOKUP(C14,STUDENTS!$A$5:$A$204,STUDENTS!$C$5:$C$204,""),"")</f>
        <v/>
      </c>
      <c r="E14" s="10" t="str">
        <f ca="1">IFERROR(_xludf.XLOOKUP(C14,STUDENTS!$A$5:$A$204,STUDENTS!$L$5:$L$204,""),"")</f>
        <v/>
      </c>
      <c r="F14" s="8"/>
      <c r="G14" s="10" t="str">
        <f>SETTINGS!$B$8</f>
        <v>2026/2027</v>
      </c>
      <c r="H14" s="10">
        <f t="shared" si="1"/>
        <v>0</v>
      </c>
      <c r="I14" s="10">
        <f t="shared" si="2"/>
        <v>0</v>
      </c>
      <c r="J14" s="13" t="str">
        <f t="shared" si="3"/>
        <v/>
      </c>
    </row>
    <row r="15" spans="1:10" x14ac:dyDescent="0.2">
      <c r="A15" s="10" t="str">
        <f t="shared" si="0"/>
        <v/>
      </c>
      <c r="B15" s="9"/>
      <c r="C15" s="8"/>
      <c r="D15" s="10" t="str">
        <f ca="1">IFERROR(_xludf.XLOOKUP(C15,STUDENTS!$A$5:$A$204,STUDENTS!$C$5:$C$204,""),"")</f>
        <v/>
      </c>
      <c r="E15" s="10" t="str">
        <f ca="1">IFERROR(_xludf.XLOOKUP(C15,STUDENTS!$A$5:$A$204,STUDENTS!$L$5:$L$204,""),"")</f>
        <v/>
      </c>
      <c r="F15" s="8"/>
      <c r="G15" s="10" t="str">
        <f>SETTINGS!$B$8</f>
        <v>2026/2027</v>
      </c>
      <c r="H15" s="10">
        <f t="shared" si="1"/>
        <v>0</v>
      </c>
      <c r="I15" s="10">
        <f t="shared" si="2"/>
        <v>0</v>
      </c>
      <c r="J15" s="13" t="str">
        <f t="shared" si="3"/>
        <v/>
      </c>
    </row>
    <row r="16" spans="1:10" x14ac:dyDescent="0.2">
      <c r="A16" s="10" t="str">
        <f t="shared" si="0"/>
        <v/>
      </c>
      <c r="B16" s="9"/>
      <c r="C16" s="8"/>
      <c r="D16" s="10" t="str">
        <f ca="1">IFERROR(_xludf.XLOOKUP(C16,STUDENTS!$A$5:$A$204,STUDENTS!$C$5:$C$204,""),"")</f>
        <v/>
      </c>
      <c r="E16" s="10" t="str">
        <f ca="1">IFERROR(_xludf.XLOOKUP(C16,STUDENTS!$A$5:$A$204,STUDENTS!$L$5:$L$204,""),"")</f>
        <v/>
      </c>
      <c r="F16" s="8"/>
      <c r="G16" s="10" t="str">
        <f>SETTINGS!$B$8</f>
        <v>2026/2027</v>
      </c>
      <c r="H16" s="10">
        <f t="shared" si="1"/>
        <v>0</v>
      </c>
      <c r="I16" s="10">
        <f t="shared" si="2"/>
        <v>0</v>
      </c>
      <c r="J16" s="13" t="str">
        <f t="shared" si="3"/>
        <v/>
      </c>
    </row>
    <row r="17" spans="1:10" x14ac:dyDescent="0.2">
      <c r="A17" s="10" t="str">
        <f t="shared" si="0"/>
        <v/>
      </c>
      <c r="B17" s="9"/>
      <c r="C17" s="8"/>
      <c r="D17" s="10" t="str">
        <f ca="1">IFERROR(_xludf.XLOOKUP(C17,STUDENTS!$A$5:$A$204,STUDENTS!$C$5:$C$204,""),"")</f>
        <v/>
      </c>
      <c r="E17" s="10" t="str">
        <f ca="1">IFERROR(_xludf.XLOOKUP(C17,STUDENTS!$A$5:$A$204,STUDENTS!$L$5:$L$204,""),"")</f>
        <v/>
      </c>
      <c r="F17" s="8"/>
      <c r="G17" s="10" t="str">
        <f>SETTINGS!$B$8</f>
        <v>2026/2027</v>
      </c>
      <c r="H17" s="10">
        <f t="shared" si="1"/>
        <v>0</v>
      </c>
      <c r="I17" s="10">
        <f t="shared" si="2"/>
        <v>0</v>
      </c>
      <c r="J17" s="13" t="str">
        <f t="shared" si="3"/>
        <v/>
      </c>
    </row>
    <row r="18" spans="1:10" x14ac:dyDescent="0.2">
      <c r="A18" s="10" t="str">
        <f t="shared" si="0"/>
        <v/>
      </c>
      <c r="B18" s="9"/>
      <c r="C18" s="8"/>
      <c r="D18" s="10" t="str">
        <f ca="1">IFERROR(_xludf.XLOOKUP(C18,STUDENTS!$A$5:$A$204,STUDENTS!$C$5:$C$204,""),"")</f>
        <v/>
      </c>
      <c r="E18" s="10" t="str">
        <f ca="1">IFERROR(_xludf.XLOOKUP(C18,STUDENTS!$A$5:$A$204,STUDENTS!$L$5:$L$204,""),"")</f>
        <v/>
      </c>
      <c r="F18" s="8"/>
      <c r="G18" s="10" t="str">
        <f>SETTINGS!$B$8</f>
        <v>2026/2027</v>
      </c>
      <c r="H18" s="10">
        <f t="shared" si="1"/>
        <v>0</v>
      </c>
      <c r="I18" s="10">
        <f t="shared" si="2"/>
        <v>0</v>
      </c>
      <c r="J18" s="13" t="str">
        <f t="shared" si="3"/>
        <v/>
      </c>
    </row>
    <row r="19" spans="1:10" x14ac:dyDescent="0.2">
      <c r="A19" s="10" t="str">
        <f t="shared" si="0"/>
        <v/>
      </c>
      <c r="B19" s="9"/>
      <c r="C19" s="8"/>
      <c r="D19" s="10" t="str">
        <f ca="1">IFERROR(_xludf.XLOOKUP(C19,STUDENTS!$A$5:$A$204,STUDENTS!$C$5:$C$204,""),"")</f>
        <v/>
      </c>
      <c r="E19" s="10" t="str">
        <f ca="1">IFERROR(_xludf.XLOOKUP(C19,STUDENTS!$A$5:$A$204,STUDENTS!$L$5:$L$204,""),"")</f>
        <v/>
      </c>
      <c r="F19" s="8"/>
      <c r="G19" s="10" t="str">
        <f>SETTINGS!$B$8</f>
        <v>2026/2027</v>
      </c>
      <c r="H19" s="10">
        <f t="shared" si="1"/>
        <v>0</v>
      </c>
      <c r="I19" s="10">
        <f t="shared" si="2"/>
        <v>0</v>
      </c>
      <c r="J19" s="13" t="str">
        <f t="shared" si="3"/>
        <v/>
      </c>
    </row>
    <row r="20" spans="1:10" x14ac:dyDescent="0.2">
      <c r="A20" s="10" t="str">
        <f t="shared" si="0"/>
        <v/>
      </c>
      <c r="B20" s="9"/>
      <c r="C20" s="8"/>
      <c r="D20" s="10" t="str">
        <f ca="1">IFERROR(_xludf.XLOOKUP(C20,STUDENTS!$A$5:$A$204,STUDENTS!$C$5:$C$204,""),"")</f>
        <v/>
      </c>
      <c r="E20" s="10" t="str">
        <f ca="1">IFERROR(_xludf.XLOOKUP(C20,STUDENTS!$A$5:$A$204,STUDENTS!$L$5:$L$204,""),"")</f>
        <v/>
      </c>
      <c r="F20" s="8"/>
      <c r="G20" s="10" t="str">
        <f>SETTINGS!$B$8</f>
        <v>2026/2027</v>
      </c>
      <c r="H20" s="10">
        <f t="shared" si="1"/>
        <v>0</v>
      </c>
      <c r="I20" s="10">
        <f t="shared" si="2"/>
        <v>0</v>
      </c>
      <c r="J20" s="13" t="str">
        <f t="shared" si="3"/>
        <v/>
      </c>
    </row>
    <row r="21" spans="1:10" x14ac:dyDescent="0.2">
      <c r="A21" s="10" t="str">
        <f t="shared" si="0"/>
        <v/>
      </c>
      <c r="B21" s="9"/>
      <c r="C21" s="8"/>
      <c r="D21" s="10" t="str">
        <f ca="1">IFERROR(_xludf.XLOOKUP(C21,STUDENTS!$A$5:$A$204,STUDENTS!$C$5:$C$204,""),"")</f>
        <v/>
      </c>
      <c r="E21" s="10" t="str">
        <f ca="1">IFERROR(_xludf.XLOOKUP(C21,STUDENTS!$A$5:$A$204,STUDENTS!$L$5:$L$204,""),"")</f>
        <v/>
      </c>
      <c r="F21" s="8"/>
      <c r="G21" s="10" t="str">
        <f>SETTINGS!$B$8</f>
        <v>2026/2027</v>
      </c>
      <c r="H21" s="10">
        <f t="shared" si="1"/>
        <v>0</v>
      </c>
      <c r="I21" s="10">
        <f t="shared" si="2"/>
        <v>0</v>
      </c>
      <c r="J21" s="13" t="str">
        <f t="shared" si="3"/>
        <v/>
      </c>
    </row>
    <row r="22" spans="1:10" x14ac:dyDescent="0.2">
      <c r="A22" s="10" t="str">
        <f t="shared" si="0"/>
        <v/>
      </c>
      <c r="B22" s="9"/>
      <c r="C22" s="8"/>
      <c r="D22" s="10" t="str">
        <f ca="1">IFERROR(_xludf.XLOOKUP(C22,STUDENTS!$A$5:$A$204,STUDENTS!$C$5:$C$204,""),"")</f>
        <v/>
      </c>
      <c r="E22" s="10" t="str">
        <f ca="1">IFERROR(_xludf.XLOOKUP(C22,STUDENTS!$A$5:$A$204,STUDENTS!$L$5:$L$204,""),"")</f>
        <v/>
      </c>
      <c r="F22" s="8"/>
      <c r="G22" s="10" t="str">
        <f>SETTINGS!$B$8</f>
        <v>2026/2027</v>
      </c>
      <c r="H22" s="10">
        <f t="shared" si="1"/>
        <v>0</v>
      </c>
      <c r="I22" s="10">
        <f t="shared" si="2"/>
        <v>0</v>
      </c>
      <c r="J22" s="13" t="str">
        <f t="shared" si="3"/>
        <v/>
      </c>
    </row>
    <row r="23" spans="1:10" x14ac:dyDescent="0.2">
      <c r="A23" s="10" t="str">
        <f t="shared" si="0"/>
        <v/>
      </c>
      <c r="B23" s="9"/>
      <c r="C23" s="8"/>
      <c r="D23" s="10" t="str">
        <f ca="1">IFERROR(_xludf.XLOOKUP(C23,STUDENTS!$A$5:$A$204,STUDENTS!$C$5:$C$204,""),"")</f>
        <v/>
      </c>
      <c r="E23" s="10" t="str">
        <f ca="1">IFERROR(_xludf.XLOOKUP(C23,STUDENTS!$A$5:$A$204,STUDENTS!$L$5:$L$204,""),"")</f>
        <v/>
      </c>
      <c r="F23" s="8"/>
      <c r="G23" s="10" t="str">
        <f>SETTINGS!$B$8</f>
        <v>2026/2027</v>
      </c>
      <c r="H23" s="10">
        <f t="shared" si="1"/>
        <v>0</v>
      </c>
      <c r="I23" s="10">
        <f t="shared" si="2"/>
        <v>0</v>
      </c>
      <c r="J23" s="13" t="str">
        <f t="shared" si="3"/>
        <v/>
      </c>
    </row>
    <row r="24" spans="1:10" x14ac:dyDescent="0.2">
      <c r="A24" s="10" t="str">
        <f t="shared" si="0"/>
        <v/>
      </c>
      <c r="B24" s="9"/>
      <c r="C24" s="8"/>
      <c r="D24" s="10" t="str">
        <f ca="1">IFERROR(_xludf.XLOOKUP(C24,STUDENTS!$A$5:$A$204,STUDENTS!$C$5:$C$204,""),"")</f>
        <v/>
      </c>
      <c r="E24" s="10" t="str">
        <f ca="1">IFERROR(_xludf.XLOOKUP(C24,STUDENTS!$A$5:$A$204,STUDENTS!$L$5:$L$204,""),"")</f>
        <v/>
      </c>
      <c r="F24" s="8"/>
      <c r="G24" s="10" t="str">
        <f>SETTINGS!$B$8</f>
        <v>2026/2027</v>
      </c>
      <c r="H24" s="10">
        <f t="shared" si="1"/>
        <v>0</v>
      </c>
      <c r="I24" s="10">
        <f t="shared" si="2"/>
        <v>0</v>
      </c>
      <c r="J24" s="13" t="str">
        <f t="shared" si="3"/>
        <v/>
      </c>
    </row>
    <row r="25" spans="1:10" x14ac:dyDescent="0.2">
      <c r="A25" s="10" t="str">
        <f t="shared" si="0"/>
        <v/>
      </c>
      <c r="B25" s="9"/>
      <c r="C25" s="8"/>
      <c r="D25" s="10" t="str">
        <f ca="1">IFERROR(_xludf.XLOOKUP(C25,STUDENTS!$A$5:$A$204,STUDENTS!$C$5:$C$204,""),"")</f>
        <v/>
      </c>
      <c r="E25" s="10" t="str">
        <f ca="1">IFERROR(_xludf.XLOOKUP(C25,STUDENTS!$A$5:$A$204,STUDENTS!$L$5:$L$204,""),"")</f>
        <v/>
      </c>
      <c r="F25" s="8"/>
      <c r="G25" s="10" t="str">
        <f>SETTINGS!$B$8</f>
        <v>2026/2027</v>
      </c>
      <c r="H25" s="10">
        <f t="shared" si="1"/>
        <v>0</v>
      </c>
      <c r="I25" s="10">
        <f t="shared" si="2"/>
        <v>0</v>
      </c>
      <c r="J25" s="13" t="str">
        <f t="shared" si="3"/>
        <v/>
      </c>
    </row>
    <row r="26" spans="1:10" x14ac:dyDescent="0.2">
      <c r="A26" s="10" t="str">
        <f t="shared" si="0"/>
        <v/>
      </c>
      <c r="B26" s="9"/>
      <c r="C26" s="8"/>
      <c r="D26" s="10" t="str">
        <f ca="1">IFERROR(_xludf.XLOOKUP(C26,STUDENTS!$A$5:$A$204,STUDENTS!$C$5:$C$204,""),"")</f>
        <v/>
      </c>
      <c r="E26" s="10" t="str">
        <f ca="1">IFERROR(_xludf.XLOOKUP(C26,STUDENTS!$A$5:$A$204,STUDENTS!$L$5:$L$204,""),"")</f>
        <v/>
      </c>
      <c r="F26" s="8"/>
      <c r="G26" s="10" t="str">
        <f>SETTINGS!$B$8</f>
        <v>2026/2027</v>
      </c>
      <c r="H26" s="10">
        <f t="shared" si="1"/>
        <v>0</v>
      </c>
      <c r="I26" s="10">
        <f t="shared" si="2"/>
        <v>0</v>
      </c>
      <c r="J26" s="13" t="str">
        <f t="shared" si="3"/>
        <v/>
      </c>
    </row>
    <row r="27" spans="1:10" x14ac:dyDescent="0.2">
      <c r="A27" s="10" t="str">
        <f t="shared" si="0"/>
        <v/>
      </c>
      <c r="B27" s="9"/>
      <c r="C27" s="8"/>
      <c r="D27" s="10" t="str">
        <f ca="1">IFERROR(_xludf.XLOOKUP(C27,STUDENTS!$A$5:$A$204,STUDENTS!$C$5:$C$204,""),"")</f>
        <v/>
      </c>
      <c r="E27" s="10" t="str">
        <f ca="1">IFERROR(_xludf.XLOOKUP(C27,STUDENTS!$A$5:$A$204,STUDENTS!$L$5:$L$204,""),"")</f>
        <v/>
      </c>
      <c r="F27" s="8"/>
      <c r="G27" s="10" t="str">
        <f>SETTINGS!$B$8</f>
        <v>2026/2027</v>
      </c>
      <c r="H27" s="10">
        <f t="shared" si="1"/>
        <v>0</v>
      </c>
      <c r="I27" s="10">
        <f t="shared" si="2"/>
        <v>0</v>
      </c>
      <c r="J27" s="13" t="str">
        <f t="shared" si="3"/>
        <v/>
      </c>
    </row>
    <row r="28" spans="1:10" x14ac:dyDescent="0.2">
      <c r="A28" s="10" t="str">
        <f t="shared" si="0"/>
        <v/>
      </c>
      <c r="B28" s="9"/>
      <c r="C28" s="8"/>
      <c r="D28" s="10" t="str">
        <f ca="1">IFERROR(_xludf.XLOOKUP(C28,STUDENTS!$A$5:$A$204,STUDENTS!$C$5:$C$204,""),"")</f>
        <v/>
      </c>
      <c r="E28" s="10" t="str">
        <f ca="1">IFERROR(_xludf.XLOOKUP(C28,STUDENTS!$A$5:$A$204,STUDENTS!$L$5:$L$204,""),"")</f>
        <v/>
      </c>
      <c r="F28" s="8"/>
      <c r="G28" s="10" t="str">
        <f>SETTINGS!$B$8</f>
        <v>2026/2027</v>
      </c>
      <c r="H28" s="10">
        <f t="shared" si="1"/>
        <v>0</v>
      </c>
      <c r="I28" s="10">
        <f t="shared" si="2"/>
        <v>0</v>
      </c>
      <c r="J28" s="13" t="str">
        <f t="shared" si="3"/>
        <v/>
      </c>
    </row>
    <row r="29" spans="1:10" x14ac:dyDescent="0.2">
      <c r="A29" s="10" t="str">
        <f t="shared" si="0"/>
        <v/>
      </c>
      <c r="B29" s="9"/>
      <c r="C29" s="8"/>
      <c r="D29" s="10" t="str">
        <f ca="1">IFERROR(_xludf.XLOOKUP(C29,STUDENTS!$A$5:$A$204,STUDENTS!$C$5:$C$204,""),"")</f>
        <v/>
      </c>
      <c r="E29" s="10" t="str">
        <f ca="1">IFERROR(_xludf.XLOOKUP(C29,STUDENTS!$A$5:$A$204,STUDENTS!$L$5:$L$204,""),"")</f>
        <v/>
      </c>
      <c r="F29" s="8"/>
      <c r="G29" s="10" t="str">
        <f>SETTINGS!$B$8</f>
        <v>2026/2027</v>
      </c>
      <c r="H29" s="10">
        <f t="shared" si="1"/>
        <v>0</v>
      </c>
      <c r="I29" s="10">
        <f t="shared" si="2"/>
        <v>0</v>
      </c>
      <c r="J29" s="13" t="str">
        <f t="shared" si="3"/>
        <v/>
      </c>
    </row>
    <row r="30" spans="1:10" x14ac:dyDescent="0.2">
      <c r="A30" s="10" t="str">
        <f t="shared" si="0"/>
        <v/>
      </c>
      <c r="B30" s="9"/>
      <c r="C30" s="8"/>
      <c r="D30" s="10" t="str">
        <f ca="1">IFERROR(_xludf.XLOOKUP(C30,STUDENTS!$A$5:$A$204,STUDENTS!$C$5:$C$204,""),"")</f>
        <v/>
      </c>
      <c r="E30" s="10" t="str">
        <f ca="1">IFERROR(_xludf.XLOOKUP(C30,STUDENTS!$A$5:$A$204,STUDENTS!$L$5:$L$204,""),"")</f>
        <v/>
      </c>
      <c r="F30" s="8"/>
      <c r="G30" s="10" t="str">
        <f>SETTINGS!$B$8</f>
        <v>2026/2027</v>
      </c>
      <c r="H30" s="10">
        <f t="shared" si="1"/>
        <v>0</v>
      </c>
      <c r="I30" s="10">
        <f t="shared" si="2"/>
        <v>0</v>
      </c>
      <c r="J30" s="13" t="str">
        <f t="shared" si="3"/>
        <v/>
      </c>
    </row>
    <row r="31" spans="1:10" x14ac:dyDescent="0.2">
      <c r="A31" s="10" t="str">
        <f t="shared" si="0"/>
        <v/>
      </c>
      <c r="B31" s="9"/>
      <c r="C31" s="8"/>
      <c r="D31" s="10" t="str">
        <f ca="1">IFERROR(_xludf.XLOOKUP(C31,STUDENTS!$A$5:$A$204,STUDENTS!$C$5:$C$204,""),"")</f>
        <v/>
      </c>
      <c r="E31" s="10" t="str">
        <f ca="1">IFERROR(_xludf.XLOOKUP(C31,STUDENTS!$A$5:$A$204,STUDENTS!$L$5:$L$204,""),"")</f>
        <v/>
      </c>
      <c r="F31" s="8"/>
      <c r="G31" s="10" t="str">
        <f>SETTINGS!$B$8</f>
        <v>2026/2027</v>
      </c>
      <c r="H31" s="10">
        <f t="shared" si="1"/>
        <v>0</v>
      </c>
      <c r="I31" s="10">
        <f t="shared" si="2"/>
        <v>0</v>
      </c>
      <c r="J31" s="13" t="str">
        <f t="shared" si="3"/>
        <v/>
      </c>
    </row>
    <row r="32" spans="1:10" x14ac:dyDescent="0.2">
      <c r="A32" s="10" t="str">
        <f t="shared" si="0"/>
        <v/>
      </c>
      <c r="B32" s="9"/>
      <c r="C32" s="8"/>
      <c r="D32" s="10" t="str">
        <f ca="1">IFERROR(_xludf.XLOOKUP(C32,STUDENTS!$A$5:$A$204,STUDENTS!$C$5:$C$204,""),"")</f>
        <v/>
      </c>
      <c r="E32" s="10" t="str">
        <f ca="1">IFERROR(_xludf.XLOOKUP(C32,STUDENTS!$A$5:$A$204,STUDENTS!$L$5:$L$204,""),"")</f>
        <v/>
      </c>
      <c r="F32" s="8"/>
      <c r="G32" s="10" t="str">
        <f>SETTINGS!$B$8</f>
        <v>2026/2027</v>
      </c>
      <c r="H32" s="10">
        <f t="shared" si="1"/>
        <v>0</v>
      </c>
      <c r="I32" s="10">
        <f t="shared" si="2"/>
        <v>0</v>
      </c>
      <c r="J32" s="13" t="str">
        <f t="shared" si="3"/>
        <v/>
      </c>
    </row>
    <row r="33" spans="1:10" x14ac:dyDescent="0.2">
      <c r="A33" s="10" t="str">
        <f t="shared" si="0"/>
        <v/>
      </c>
      <c r="B33" s="9"/>
      <c r="C33" s="8"/>
      <c r="D33" s="10" t="str">
        <f ca="1">IFERROR(_xludf.XLOOKUP(C33,STUDENTS!$A$5:$A$204,STUDENTS!$C$5:$C$204,""),"")</f>
        <v/>
      </c>
      <c r="E33" s="10" t="str">
        <f ca="1">IFERROR(_xludf.XLOOKUP(C33,STUDENTS!$A$5:$A$204,STUDENTS!$L$5:$L$204,""),"")</f>
        <v/>
      </c>
      <c r="F33" s="8"/>
      <c r="G33" s="10" t="str">
        <f>SETTINGS!$B$8</f>
        <v>2026/2027</v>
      </c>
      <c r="H33" s="10">
        <f t="shared" si="1"/>
        <v>0</v>
      </c>
      <c r="I33" s="10">
        <f t="shared" si="2"/>
        <v>0</v>
      </c>
      <c r="J33" s="13" t="str">
        <f t="shared" si="3"/>
        <v/>
      </c>
    </row>
    <row r="34" spans="1:10" x14ac:dyDescent="0.2">
      <c r="A34" s="10" t="str">
        <f t="shared" si="0"/>
        <v/>
      </c>
      <c r="B34" s="9"/>
      <c r="C34" s="8"/>
      <c r="D34" s="10" t="str">
        <f ca="1">IFERROR(_xludf.XLOOKUP(C34,STUDENTS!$A$5:$A$204,STUDENTS!$C$5:$C$204,""),"")</f>
        <v/>
      </c>
      <c r="E34" s="10" t="str">
        <f ca="1">IFERROR(_xludf.XLOOKUP(C34,STUDENTS!$A$5:$A$204,STUDENTS!$L$5:$L$204,""),"")</f>
        <v/>
      </c>
      <c r="F34" s="8"/>
      <c r="G34" s="10" t="str">
        <f>SETTINGS!$B$8</f>
        <v>2026/2027</v>
      </c>
      <c r="H34" s="10">
        <f t="shared" si="1"/>
        <v>0</v>
      </c>
      <c r="I34" s="10">
        <f t="shared" si="2"/>
        <v>0</v>
      </c>
      <c r="J34" s="13" t="str">
        <f t="shared" si="3"/>
        <v/>
      </c>
    </row>
    <row r="35" spans="1:10" x14ac:dyDescent="0.2">
      <c r="A35" s="10" t="str">
        <f t="shared" si="0"/>
        <v/>
      </c>
      <c r="B35" s="9"/>
      <c r="C35" s="8"/>
      <c r="D35" s="10" t="str">
        <f ca="1">IFERROR(_xludf.XLOOKUP(C35,STUDENTS!$A$5:$A$204,STUDENTS!$C$5:$C$204,""),"")</f>
        <v/>
      </c>
      <c r="E35" s="10" t="str">
        <f ca="1">IFERROR(_xludf.XLOOKUP(C35,STUDENTS!$A$5:$A$204,STUDENTS!$L$5:$L$204,""),"")</f>
        <v/>
      </c>
      <c r="F35" s="8"/>
      <c r="G35" s="10" t="str">
        <f>SETTINGS!$B$8</f>
        <v>2026/2027</v>
      </c>
      <c r="H35" s="10">
        <f t="shared" si="1"/>
        <v>0</v>
      </c>
      <c r="I35" s="10">
        <f t="shared" si="2"/>
        <v>0</v>
      </c>
      <c r="J35" s="13" t="str">
        <f t="shared" si="3"/>
        <v/>
      </c>
    </row>
    <row r="36" spans="1:10" x14ac:dyDescent="0.2">
      <c r="A36" s="10" t="str">
        <f t="shared" si="0"/>
        <v/>
      </c>
      <c r="B36" s="9"/>
      <c r="C36" s="8"/>
      <c r="D36" s="10" t="str">
        <f ca="1">IFERROR(_xludf.XLOOKUP(C36,STUDENTS!$A$5:$A$204,STUDENTS!$C$5:$C$204,""),"")</f>
        <v/>
      </c>
      <c r="E36" s="10" t="str">
        <f ca="1">IFERROR(_xludf.XLOOKUP(C36,STUDENTS!$A$5:$A$204,STUDENTS!$L$5:$L$204,""),"")</f>
        <v/>
      </c>
      <c r="F36" s="8"/>
      <c r="G36" s="10" t="str">
        <f>SETTINGS!$B$8</f>
        <v>2026/2027</v>
      </c>
      <c r="H36" s="10">
        <f t="shared" si="1"/>
        <v>0</v>
      </c>
      <c r="I36" s="10">
        <f t="shared" si="2"/>
        <v>0</v>
      </c>
      <c r="J36" s="13" t="str">
        <f t="shared" si="3"/>
        <v/>
      </c>
    </row>
    <row r="37" spans="1:10" x14ac:dyDescent="0.2">
      <c r="A37" s="10" t="str">
        <f t="shared" si="0"/>
        <v/>
      </c>
      <c r="B37" s="9"/>
      <c r="C37" s="8"/>
      <c r="D37" s="10" t="str">
        <f ca="1">IFERROR(_xludf.XLOOKUP(C37,STUDENTS!$A$5:$A$204,STUDENTS!$C$5:$C$204,""),"")</f>
        <v/>
      </c>
      <c r="E37" s="10" t="str">
        <f ca="1">IFERROR(_xludf.XLOOKUP(C37,STUDENTS!$A$5:$A$204,STUDENTS!$L$5:$L$204,""),"")</f>
        <v/>
      </c>
      <c r="F37" s="8"/>
      <c r="G37" s="10" t="str">
        <f>SETTINGS!$B$8</f>
        <v>2026/2027</v>
      </c>
      <c r="H37" s="10">
        <f t="shared" si="1"/>
        <v>0</v>
      </c>
      <c r="I37" s="10">
        <f t="shared" si="2"/>
        <v>0</v>
      </c>
      <c r="J37" s="13" t="str">
        <f t="shared" si="3"/>
        <v/>
      </c>
    </row>
    <row r="38" spans="1:10" x14ac:dyDescent="0.2">
      <c r="A38" s="10" t="str">
        <f t="shared" si="0"/>
        <v/>
      </c>
      <c r="B38" s="9"/>
      <c r="C38" s="8"/>
      <c r="D38" s="10" t="str">
        <f ca="1">IFERROR(_xludf.XLOOKUP(C38,STUDENTS!$A$5:$A$204,STUDENTS!$C$5:$C$204,""),"")</f>
        <v/>
      </c>
      <c r="E38" s="10" t="str">
        <f ca="1">IFERROR(_xludf.XLOOKUP(C38,STUDENTS!$A$5:$A$204,STUDENTS!$L$5:$L$204,""),"")</f>
        <v/>
      </c>
      <c r="F38" s="8"/>
      <c r="G38" s="10" t="str">
        <f>SETTINGS!$B$8</f>
        <v>2026/2027</v>
      </c>
      <c r="H38" s="10">
        <f t="shared" si="1"/>
        <v>0</v>
      </c>
      <c r="I38" s="10">
        <f t="shared" si="2"/>
        <v>0</v>
      </c>
      <c r="J38" s="13" t="str">
        <f t="shared" si="3"/>
        <v/>
      </c>
    </row>
    <row r="39" spans="1:10" x14ac:dyDescent="0.2">
      <c r="A39" s="10" t="str">
        <f t="shared" si="0"/>
        <v/>
      </c>
      <c r="B39" s="9"/>
      <c r="C39" s="8"/>
      <c r="D39" s="10" t="str">
        <f ca="1">IFERROR(_xludf.XLOOKUP(C39,STUDENTS!$A$5:$A$204,STUDENTS!$C$5:$C$204,""),"")</f>
        <v/>
      </c>
      <c r="E39" s="10" t="str">
        <f ca="1">IFERROR(_xludf.XLOOKUP(C39,STUDENTS!$A$5:$A$204,STUDENTS!$L$5:$L$204,""),"")</f>
        <v/>
      </c>
      <c r="F39" s="8"/>
      <c r="G39" s="10" t="str">
        <f>SETTINGS!$B$8</f>
        <v>2026/2027</v>
      </c>
      <c r="H39" s="10">
        <f t="shared" si="1"/>
        <v>0</v>
      </c>
      <c r="I39" s="10">
        <f t="shared" si="2"/>
        <v>0</v>
      </c>
      <c r="J39" s="13" t="str">
        <f t="shared" si="3"/>
        <v/>
      </c>
    </row>
    <row r="40" spans="1:10" x14ac:dyDescent="0.2">
      <c r="A40" s="10" t="str">
        <f t="shared" si="0"/>
        <v/>
      </c>
      <c r="B40" s="9"/>
      <c r="C40" s="8"/>
      <c r="D40" s="10" t="str">
        <f ca="1">IFERROR(_xludf.XLOOKUP(C40,STUDENTS!$A$5:$A$204,STUDENTS!$C$5:$C$204,""),"")</f>
        <v/>
      </c>
      <c r="E40" s="10" t="str">
        <f ca="1">IFERROR(_xludf.XLOOKUP(C40,STUDENTS!$A$5:$A$204,STUDENTS!$L$5:$L$204,""),"")</f>
        <v/>
      </c>
      <c r="F40" s="8"/>
      <c r="G40" s="10" t="str">
        <f>SETTINGS!$B$8</f>
        <v>2026/2027</v>
      </c>
      <c r="H40" s="10">
        <f t="shared" si="1"/>
        <v>0</v>
      </c>
      <c r="I40" s="10">
        <f t="shared" si="2"/>
        <v>0</v>
      </c>
      <c r="J40" s="13" t="str">
        <f t="shared" si="3"/>
        <v/>
      </c>
    </row>
    <row r="41" spans="1:10" x14ac:dyDescent="0.2">
      <c r="A41" s="10" t="str">
        <f t="shared" si="0"/>
        <v/>
      </c>
      <c r="B41" s="9"/>
      <c r="C41" s="8"/>
      <c r="D41" s="10" t="str">
        <f ca="1">IFERROR(_xludf.XLOOKUP(C41,STUDENTS!$A$5:$A$204,STUDENTS!$C$5:$C$204,""),"")</f>
        <v/>
      </c>
      <c r="E41" s="10" t="str">
        <f ca="1">IFERROR(_xludf.XLOOKUP(C41,STUDENTS!$A$5:$A$204,STUDENTS!$L$5:$L$204,""),"")</f>
        <v/>
      </c>
      <c r="F41" s="8"/>
      <c r="G41" s="10" t="str">
        <f>SETTINGS!$B$8</f>
        <v>2026/2027</v>
      </c>
      <c r="H41" s="10">
        <f t="shared" si="1"/>
        <v>0</v>
      </c>
      <c r="I41" s="10">
        <f t="shared" si="2"/>
        <v>0</v>
      </c>
      <c r="J41" s="13" t="str">
        <f t="shared" si="3"/>
        <v/>
      </c>
    </row>
    <row r="42" spans="1:10" x14ac:dyDescent="0.2">
      <c r="A42" s="10" t="str">
        <f t="shared" si="0"/>
        <v/>
      </c>
      <c r="B42" s="9"/>
      <c r="C42" s="8"/>
      <c r="D42" s="10" t="str">
        <f ca="1">IFERROR(_xludf.XLOOKUP(C42,STUDENTS!$A$5:$A$204,STUDENTS!$C$5:$C$204,""),"")</f>
        <v/>
      </c>
      <c r="E42" s="10" t="str">
        <f ca="1">IFERROR(_xludf.XLOOKUP(C42,STUDENTS!$A$5:$A$204,STUDENTS!$L$5:$L$204,""),"")</f>
        <v/>
      </c>
      <c r="F42" s="8"/>
      <c r="G42" s="10" t="str">
        <f>SETTINGS!$B$8</f>
        <v>2026/2027</v>
      </c>
      <c r="H42" s="10">
        <f t="shared" si="1"/>
        <v>0</v>
      </c>
      <c r="I42" s="10">
        <f t="shared" si="2"/>
        <v>0</v>
      </c>
      <c r="J42" s="13" t="str">
        <f t="shared" si="3"/>
        <v/>
      </c>
    </row>
    <row r="43" spans="1:10" x14ac:dyDescent="0.2">
      <c r="A43" s="10" t="str">
        <f t="shared" si="0"/>
        <v/>
      </c>
      <c r="B43" s="9"/>
      <c r="C43" s="8"/>
      <c r="D43" s="10" t="str">
        <f ca="1">IFERROR(_xludf.XLOOKUP(C43,STUDENTS!$A$5:$A$204,STUDENTS!$C$5:$C$204,""),"")</f>
        <v/>
      </c>
      <c r="E43" s="10" t="str">
        <f ca="1">IFERROR(_xludf.XLOOKUP(C43,STUDENTS!$A$5:$A$204,STUDENTS!$L$5:$L$204,""),"")</f>
        <v/>
      </c>
      <c r="F43" s="8"/>
      <c r="G43" s="10" t="str">
        <f>SETTINGS!$B$8</f>
        <v>2026/2027</v>
      </c>
      <c r="H43" s="10">
        <f t="shared" si="1"/>
        <v>0</v>
      </c>
      <c r="I43" s="10">
        <f t="shared" si="2"/>
        <v>0</v>
      </c>
      <c r="J43" s="13" t="str">
        <f t="shared" si="3"/>
        <v/>
      </c>
    </row>
    <row r="44" spans="1:10" x14ac:dyDescent="0.2">
      <c r="A44" s="10" t="str">
        <f t="shared" si="0"/>
        <v/>
      </c>
      <c r="B44" s="9"/>
      <c r="C44" s="8"/>
      <c r="D44" s="10" t="str">
        <f ca="1">IFERROR(_xludf.XLOOKUP(C44,STUDENTS!$A$5:$A$204,STUDENTS!$C$5:$C$204,""),"")</f>
        <v/>
      </c>
      <c r="E44" s="10" t="str">
        <f ca="1">IFERROR(_xludf.XLOOKUP(C44,STUDENTS!$A$5:$A$204,STUDENTS!$L$5:$L$204,""),"")</f>
        <v/>
      </c>
      <c r="F44" s="8"/>
      <c r="G44" s="10" t="str">
        <f>SETTINGS!$B$8</f>
        <v>2026/2027</v>
      </c>
      <c r="H44" s="10">
        <f t="shared" si="1"/>
        <v>0</v>
      </c>
      <c r="I44" s="10">
        <f t="shared" si="2"/>
        <v>0</v>
      </c>
      <c r="J44" s="13" t="str">
        <f t="shared" si="3"/>
        <v/>
      </c>
    </row>
    <row r="45" spans="1:10" x14ac:dyDescent="0.2">
      <c r="A45" s="10" t="str">
        <f t="shared" si="0"/>
        <v/>
      </c>
      <c r="B45" s="9"/>
      <c r="C45" s="8"/>
      <c r="D45" s="10" t="str">
        <f ca="1">IFERROR(_xludf.XLOOKUP(C45,STUDENTS!$A$5:$A$204,STUDENTS!$C$5:$C$204,""),"")</f>
        <v/>
      </c>
      <c r="E45" s="10" t="str">
        <f ca="1">IFERROR(_xludf.XLOOKUP(C45,STUDENTS!$A$5:$A$204,STUDENTS!$L$5:$L$204,""),"")</f>
        <v/>
      </c>
      <c r="F45" s="8"/>
      <c r="G45" s="10" t="str">
        <f>SETTINGS!$B$8</f>
        <v>2026/2027</v>
      </c>
      <c r="H45" s="10">
        <f t="shared" si="1"/>
        <v>0</v>
      </c>
      <c r="I45" s="10">
        <f t="shared" si="2"/>
        <v>0</v>
      </c>
      <c r="J45" s="13" t="str">
        <f t="shared" si="3"/>
        <v/>
      </c>
    </row>
    <row r="46" spans="1:10" x14ac:dyDescent="0.2">
      <c r="A46" s="10" t="str">
        <f t="shared" si="0"/>
        <v/>
      </c>
      <c r="B46" s="9"/>
      <c r="C46" s="8"/>
      <c r="D46" s="10" t="str">
        <f ca="1">IFERROR(_xludf.XLOOKUP(C46,STUDENTS!$A$5:$A$204,STUDENTS!$C$5:$C$204,""),"")</f>
        <v/>
      </c>
      <c r="E46" s="10" t="str">
        <f ca="1">IFERROR(_xludf.XLOOKUP(C46,STUDENTS!$A$5:$A$204,STUDENTS!$L$5:$L$204,""),"")</f>
        <v/>
      </c>
      <c r="F46" s="8"/>
      <c r="G46" s="10" t="str">
        <f>SETTINGS!$B$8</f>
        <v>2026/2027</v>
      </c>
      <c r="H46" s="10">
        <f t="shared" si="1"/>
        <v>0</v>
      </c>
      <c r="I46" s="10">
        <f t="shared" si="2"/>
        <v>0</v>
      </c>
      <c r="J46" s="13" t="str">
        <f t="shared" si="3"/>
        <v/>
      </c>
    </row>
    <row r="47" spans="1:10" x14ac:dyDescent="0.2">
      <c r="A47" s="10" t="str">
        <f t="shared" si="0"/>
        <v/>
      </c>
      <c r="B47" s="9"/>
      <c r="C47" s="8"/>
      <c r="D47" s="10" t="str">
        <f ca="1">IFERROR(_xludf.XLOOKUP(C47,STUDENTS!$A$5:$A$204,STUDENTS!$C$5:$C$204,""),"")</f>
        <v/>
      </c>
      <c r="E47" s="10" t="str">
        <f ca="1">IFERROR(_xludf.XLOOKUP(C47,STUDENTS!$A$5:$A$204,STUDENTS!$L$5:$L$204,""),"")</f>
        <v/>
      </c>
      <c r="F47" s="8"/>
      <c r="G47" s="10" t="str">
        <f>SETTINGS!$B$8</f>
        <v>2026/2027</v>
      </c>
      <c r="H47" s="10">
        <f t="shared" si="1"/>
        <v>0</v>
      </c>
      <c r="I47" s="10">
        <f t="shared" si="2"/>
        <v>0</v>
      </c>
      <c r="J47" s="13" t="str">
        <f t="shared" si="3"/>
        <v/>
      </c>
    </row>
    <row r="48" spans="1:10" x14ac:dyDescent="0.2">
      <c r="A48" s="10" t="str">
        <f t="shared" si="0"/>
        <v/>
      </c>
      <c r="B48" s="9"/>
      <c r="C48" s="8"/>
      <c r="D48" s="10" t="str">
        <f ca="1">IFERROR(_xludf.XLOOKUP(C48,STUDENTS!$A$5:$A$204,STUDENTS!$C$5:$C$204,""),"")</f>
        <v/>
      </c>
      <c r="E48" s="10" t="str">
        <f ca="1">IFERROR(_xludf.XLOOKUP(C48,STUDENTS!$A$5:$A$204,STUDENTS!$L$5:$L$204,""),"")</f>
        <v/>
      </c>
      <c r="F48" s="8"/>
      <c r="G48" s="10" t="str">
        <f>SETTINGS!$B$8</f>
        <v>2026/2027</v>
      </c>
      <c r="H48" s="10">
        <f t="shared" si="1"/>
        <v>0</v>
      </c>
      <c r="I48" s="10">
        <f t="shared" si="2"/>
        <v>0</v>
      </c>
      <c r="J48" s="13" t="str">
        <f t="shared" si="3"/>
        <v/>
      </c>
    </row>
    <row r="49" spans="1:10" x14ac:dyDescent="0.2">
      <c r="A49" s="10" t="str">
        <f t="shared" si="0"/>
        <v/>
      </c>
      <c r="B49" s="9"/>
      <c r="C49" s="8"/>
      <c r="D49" s="10" t="str">
        <f ca="1">IFERROR(_xludf.XLOOKUP(C49,STUDENTS!$A$5:$A$204,STUDENTS!$C$5:$C$204,""),"")</f>
        <v/>
      </c>
      <c r="E49" s="10" t="str">
        <f ca="1">IFERROR(_xludf.XLOOKUP(C49,STUDENTS!$A$5:$A$204,STUDENTS!$L$5:$L$204,""),"")</f>
        <v/>
      </c>
      <c r="F49" s="8"/>
      <c r="G49" s="10" t="str">
        <f>SETTINGS!$B$8</f>
        <v>2026/2027</v>
      </c>
      <c r="H49" s="10">
        <f t="shared" si="1"/>
        <v>0</v>
      </c>
      <c r="I49" s="10">
        <f t="shared" si="2"/>
        <v>0</v>
      </c>
      <c r="J49" s="13" t="str">
        <f t="shared" si="3"/>
        <v/>
      </c>
    </row>
    <row r="50" spans="1:10" x14ac:dyDescent="0.2">
      <c r="A50" s="10" t="str">
        <f t="shared" si="0"/>
        <v/>
      </c>
      <c r="B50" s="9"/>
      <c r="C50" s="8"/>
      <c r="D50" s="10" t="str">
        <f ca="1">IFERROR(_xludf.XLOOKUP(C50,STUDENTS!$A$5:$A$204,STUDENTS!$C$5:$C$204,""),"")</f>
        <v/>
      </c>
      <c r="E50" s="10" t="str">
        <f ca="1">IFERROR(_xludf.XLOOKUP(C50,STUDENTS!$A$5:$A$204,STUDENTS!$L$5:$L$204,""),"")</f>
        <v/>
      </c>
      <c r="F50" s="8"/>
      <c r="G50" s="10" t="str">
        <f>SETTINGS!$B$8</f>
        <v>2026/2027</v>
      </c>
      <c r="H50" s="10">
        <f t="shared" si="1"/>
        <v>0</v>
      </c>
      <c r="I50" s="10">
        <f t="shared" si="2"/>
        <v>0</v>
      </c>
      <c r="J50" s="13" t="str">
        <f t="shared" si="3"/>
        <v/>
      </c>
    </row>
    <row r="51" spans="1:10" x14ac:dyDescent="0.2">
      <c r="A51" s="10" t="str">
        <f t="shared" si="0"/>
        <v/>
      </c>
      <c r="B51" s="9"/>
      <c r="C51" s="8"/>
      <c r="D51" s="10" t="str">
        <f ca="1">IFERROR(_xludf.XLOOKUP(C51,STUDENTS!$A$5:$A$204,STUDENTS!$C$5:$C$204,""),"")</f>
        <v/>
      </c>
      <c r="E51" s="10" t="str">
        <f ca="1">IFERROR(_xludf.XLOOKUP(C51,STUDENTS!$A$5:$A$204,STUDENTS!$L$5:$L$204,""),"")</f>
        <v/>
      </c>
      <c r="F51" s="8"/>
      <c r="G51" s="10" t="str">
        <f>SETTINGS!$B$8</f>
        <v>2026/2027</v>
      </c>
      <c r="H51" s="10">
        <f t="shared" si="1"/>
        <v>0</v>
      </c>
      <c r="I51" s="10">
        <f t="shared" si="2"/>
        <v>0</v>
      </c>
      <c r="J51" s="13" t="str">
        <f t="shared" si="3"/>
        <v/>
      </c>
    </row>
    <row r="52" spans="1:10" x14ac:dyDescent="0.2">
      <c r="A52" s="10" t="str">
        <f t="shared" si="0"/>
        <v/>
      </c>
      <c r="B52" s="9"/>
      <c r="C52" s="8"/>
      <c r="D52" s="10" t="str">
        <f ca="1">IFERROR(_xludf.XLOOKUP(C52,STUDENTS!$A$5:$A$204,STUDENTS!$C$5:$C$204,""),"")</f>
        <v/>
      </c>
      <c r="E52" s="10" t="str">
        <f ca="1">IFERROR(_xludf.XLOOKUP(C52,STUDENTS!$A$5:$A$204,STUDENTS!$L$5:$L$204,""),"")</f>
        <v/>
      </c>
      <c r="F52" s="8"/>
      <c r="G52" s="10" t="str">
        <f>SETTINGS!$B$8</f>
        <v>2026/2027</v>
      </c>
      <c r="H52" s="10">
        <f t="shared" si="1"/>
        <v>0</v>
      </c>
      <c r="I52" s="10">
        <f t="shared" si="2"/>
        <v>0</v>
      </c>
      <c r="J52" s="13" t="str">
        <f t="shared" si="3"/>
        <v/>
      </c>
    </row>
    <row r="53" spans="1:10" x14ac:dyDescent="0.2">
      <c r="A53" s="10" t="str">
        <f t="shared" si="0"/>
        <v/>
      </c>
      <c r="B53" s="9"/>
      <c r="C53" s="8"/>
      <c r="D53" s="10" t="str">
        <f ca="1">IFERROR(_xludf.XLOOKUP(C53,STUDENTS!$A$5:$A$204,STUDENTS!$C$5:$C$204,""),"")</f>
        <v/>
      </c>
      <c r="E53" s="10" t="str">
        <f ca="1">IFERROR(_xludf.XLOOKUP(C53,STUDENTS!$A$5:$A$204,STUDENTS!$L$5:$L$204,""),"")</f>
        <v/>
      </c>
      <c r="F53" s="8"/>
      <c r="G53" s="10" t="str">
        <f>SETTINGS!$B$8</f>
        <v>2026/2027</v>
      </c>
      <c r="H53" s="10">
        <f t="shared" si="1"/>
        <v>0</v>
      </c>
      <c r="I53" s="10">
        <f t="shared" si="2"/>
        <v>0</v>
      </c>
      <c r="J53" s="13" t="str">
        <f t="shared" si="3"/>
        <v/>
      </c>
    </row>
    <row r="54" spans="1:10" x14ac:dyDescent="0.2">
      <c r="A54" s="10" t="str">
        <f t="shared" si="0"/>
        <v/>
      </c>
      <c r="B54" s="9"/>
      <c r="C54" s="8"/>
      <c r="D54" s="10" t="str">
        <f ca="1">IFERROR(_xludf.XLOOKUP(C54,STUDENTS!$A$5:$A$204,STUDENTS!$C$5:$C$204,""),"")</f>
        <v/>
      </c>
      <c r="E54" s="10" t="str">
        <f ca="1">IFERROR(_xludf.XLOOKUP(C54,STUDENTS!$A$5:$A$204,STUDENTS!$L$5:$L$204,""),"")</f>
        <v/>
      </c>
      <c r="F54" s="8"/>
      <c r="G54" s="10" t="str">
        <f>SETTINGS!$B$8</f>
        <v>2026/2027</v>
      </c>
      <c r="H54" s="10">
        <f t="shared" si="1"/>
        <v>0</v>
      </c>
      <c r="I54" s="10">
        <f t="shared" si="2"/>
        <v>0</v>
      </c>
      <c r="J54" s="13" t="str">
        <f t="shared" si="3"/>
        <v/>
      </c>
    </row>
    <row r="55" spans="1:10" x14ac:dyDescent="0.2">
      <c r="A55" s="10" t="str">
        <f t="shared" si="0"/>
        <v/>
      </c>
      <c r="B55" s="9"/>
      <c r="C55" s="8"/>
      <c r="D55" s="10" t="str">
        <f ca="1">IFERROR(_xludf.XLOOKUP(C55,STUDENTS!$A$5:$A$204,STUDENTS!$C$5:$C$204,""),"")</f>
        <v/>
      </c>
      <c r="E55" s="10" t="str">
        <f ca="1">IFERROR(_xludf.XLOOKUP(C55,STUDENTS!$A$5:$A$204,STUDENTS!$L$5:$L$204,""),"")</f>
        <v/>
      </c>
      <c r="F55" s="8"/>
      <c r="G55" s="10" t="str">
        <f>SETTINGS!$B$8</f>
        <v>2026/2027</v>
      </c>
      <c r="H55" s="10">
        <f t="shared" si="1"/>
        <v>0</v>
      </c>
      <c r="I55" s="10">
        <f t="shared" si="2"/>
        <v>0</v>
      </c>
      <c r="J55" s="13" t="str">
        <f t="shared" si="3"/>
        <v/>
      </c>
    </row>
    <row r="56" spans="1:10" x14ac:dyDescent="0.2">
      <c r="A56" s="10" t="str">
        <f t="shared" si="0"/>
        <v/>
      </c>
      <c r="B56" s="9"/>
      <c r="C56" s="8"/>
      <c r="D56" s="10" t="str">
        <f ca="1">IFERROR(_xludf.XLOOKUP(C56,STUDENTS!$A$5:$A$204,STUDENTS!$C$5:$C$204,""),"")</f>
        <v/>
      </c>
      <c r="E56" s="10" t="str">
        <f ca="1">IFERROR(_xludf.XLOOKUP(C56,STUDENTS!$A$5:$A$204,STUDENTS!$L$5:$L$204,""),"")</f>
        <v/>
      </c>
      <c r="F56" s="8"/>
      <c r="G56" s="10" t="str">
        <f>SETTINGS!$B$8</f>
        <v>2026/2027</v>
      </c>
      <c r="H56" s="10">
        <f t="shared" si="1"/>
        <v>0</v>
      </c>
      <c r="I56" s="10">
        <f t="shared" si="2"/>
        <v>0</v>
      </c>
      <c r="J56" s="13" t="str">
        <f t="shared" si="3"/>
        <v/>
      </c>
    </row>
    <row r="57" spans="1:10" x14ac:dyDescent="0.2">
      <c r="A57" s="10" t="str">
        <f t="shared" si="0"/>
        <v/>
      </c>
      <c r="B57" s="9"/>
      <c r="C57" s="8"/>
      <c r="D57" s="10" t="str">
        <f ca="1">IFERROR(_xludf.XLOOKUP(C57,STUDENTS!$A$5:$A$204,STUDENTS!$C$5:$C$204,""),"")</f>
        <v/>
      </c>
      <c r="E57" s="10" t="str">
        <f ca="1">IFERROR(_xludf.XLOOKUP(C57,STUDENTS!$A$5:$A$204,STUDENTS!$L$5:$L$204,""),"")</f>
        <v/>
      </c>
      <c r="F57" s="8"/>
      <c r="G57" s="10" t="str">
        <f>SETTINGS!$B$8</f>
        <v>2026/2027</v>
      </c>
      <c r="H57" s="10">
        <f t="shared" si="1"/>
        <v>0</v>
      </c>
      <c r="I57" s="10">
        <f t="shared" si="2"/>
        <v>0</v>
      </c>
      <c r="J57" s="13" t="str">
        <f t="shared" si="3"/>
        <v/>
      </c>
    </row>
    <row r="58" spans="1:10" x14ac:dyDescent="0.2">
      <c r="A58" s="10" t="str">
        <f t="shared" si="0"/>
        <v/>
      </c>
      <c r="B58" s="9"/>
      <c r="C58" s="8"/>
      <c r="D58" s="10" t="str">
        <f ca="1">IFERROR(_xludf.XLOOKUP(C58,STUDENTS!$A$5:$A$204,STUDENTS!$C$5:$C$204,""),"")</f>
        <v/>
      </c>
      <c r="E58" s="10" t="str">
        <f ca="1">IFERROR(_xludf.XLOOKUP(C58,STUDENTS!$A$5:$A$204,STUDENTS!$L$5:$L$204,""),"")</f>
        <v/>
      </c>
      <c r="F58" s="8"/>
      <c r="G58" s="10" t="str">
        <f>SETTINGS!$B$8</f>
        <v>2026/2027</v>
      </c>
      <c r="H58" s="10">
        <f t="shared" si="1"/>
        <v>0</v>
      </c>
      <c r="I58" s="10">
        <f t="shared" si="2"/>
        <v>0</v>
      </c>
      <c r="J58" s="13" t="str">
        <f t="shared" si="3"/>
        <v/>
      </c>
    </row>
    <row r="59" spans="1:10" x14ac:dyDescent="0.2">
      <c r="A59" s="10" t="str">
        <f t="shared" si="0"/>
        <v/>
      </c>
      <c r="B59" s="9"/>
      <c r="C59" s="8"/>
      <c r="D59" s="10" t="str">
        <f ca="1">IFERROR(_xludf.XLOOKUP(C59,STUDENTS!$A$5:$A$204,STUDENTS!$C$5:$C$204,""),"")</f>
        <v/>
      </c>
      <c r="E59" s="10" t="str">
        <f ca="1">IFERROR(_xludf.XLOOKUP(C59,STUDENTS!$A$5:$A$204,STUDENTS!$L$5:$L$204,""),"")</f>
        <v/>
      </c>
      <c r="F59" s="8"/>
      <c r="G59" s="10" t="str">
        <f>SETTINGS!$B$8</f>
        <v>2026/2027</v>
      </c>
      <c r="H59" s="10">
        <f t="shared" si="1"/>
        <v>0</v>
      </c>
      <c r="I59" s="10">
        <f t="shared" si="2"/>
        <v>0</v>
      </c>
      <c r="J59" s="13" t="str">
        <f t="shared" si="3"/>
        <v/>
      </c>
    </row>
    <row r="60" spans="1:10" x14ac:dyDescent="0.2">
      <c r="A60" s="10" t="str">
        <f t="shared" si="0"/>
        <v/>
      </c>
      <c r="B60" s="9"/>
      <c r="C60" s="8"/>
      <c r="D60" s="10" t="str">
        <f ca="1">IFERROR(_xludf.XLOOKUP(C60,STUDENTS!$A$5:$A$204,STUDENTS!$C$5:$C$204,""),"")</f>
        <v/>
      </c>
      <c r="E60" s="10" t="str">
        <f ca="1">IFERROR(_xludf.XLOOKUP(C60,STUDENTS!$A$5:$A$204,STUDENTS!$L$5:$L$204,""),"")</f>
        <v/>
      </c>
      <c r="F60" s="8"/>
      <c r="G60" s="10" t="str">
        <f>SETTINGS!$B$8</f>
        <v>2026/2027</v>
      </c>
      <c r="H60" s="10">
        <f t="shared" si="1"/>
        <v>0</v>
      </c>
      <c r="I60" s="10">
        <f t="shared" si="2"/>
        <v>0</v>
      </c>
      <c r="J60" s="13" t="str">
        <f t="shared" si="3"/>
        <v/>
      </c>
    </row>
    <row r="61" spans="1:10" x14ac:dyDescent="0.2">
      <c r="A61" s="10" t="str">
        <f t="shared" si="0"/>
        <v/>
      </c>
      <c r="B61" s="9"/>
      <c r="C61" s="8"/>
      <c r="D61" s="10" t="str">
        <f ca="1">IFERROR(_xludf.XLOOKUP(C61,STUDENTS!$A$5:$A$204,STUDENTS!$C$5:$C$204,""),"")</f>
        <v/>
      </c>
      <c r="E61" s="10" t="str">
        <f ca="1">IFERROR(_xludf.XLOOKUP(C61,STUDENTS!$A$5:$A$204,STUDENTS!$L$5:$L$204,""),"")</f>
        <v/>
      </c>
      <c r="F61" s="8"/>
      <c r="G61" s="10" t="str">
        <f>SETTINGS!$B$8</f>
        <v>2026/2027</v>
      </c>
      <c r="H61" s="10">
        <f t="shared" si="1"/>
        <v>0</v>
      </c>
      <c r="I61" s="10">
        <f t="shared" si="2"/>
        <v>0</v>
      </c>
      <c r="J61" s="13" t="str">
        <f t="shared" si="3"/>
        <v/>
      </c>
    </row>
    <row r="62" spans="1:10" x14ac:dyDescent="0.2">
      <c r="A62" s="10" t="str">
        <f t="shared" si="0"/>
        <v/>
      </c>
      <c r="B62" s="9"/>
      <c r="C62" s="8"/>
      <c r="D62" s="10" t="str">
        <f ca="1">IFERROR(_xludf.XLOOKUP(C62,STUDENTS!$A$5:$A$204,STUDENTS!$C$5:$C$204,""),"")</f>
        <v/>
      </c>
      <c r="E62" s="10" t="str">
        <f ca="1">IFERROR(_xludf.XLOOKUP(C62,STUDENTS!$A$5:$A$204,STUDENTS!$L$5:$L$204,""),"")</f>
        <v/>
      </c>
      <c r="F62" s="8"/>
      <c r="G62" s="10" t="str">
        <f>SETTINGS!$B$8</f>
        <v>2026/2027</v>
      </c>
      <c r="H62" s="10">
        <f t="shared" si="1"/>
        <v>0</v>
      </c>
      <c r="I62" s="10">
        <f t="shared" si="2"/>
        <v>0</v>
      </c>
      <c r="J62" s="13" t="str">
        <f t="shared" si="3"/>
        <v/>
      </c>
    </row>
    <row r="63" spans="1:10" x14ac:dyDescent="0.2">
      <c r="A63" s="10" t="str">
        <f t="shared" si="0"/>
        <v/>
      </c>
      <c r="B63" s="9"/>
      <c r="C63" s="8"/>
      <c r="D63" s="10" t="str">
        <f ca="1">IFERROR(_xludf.XLOOKUP(C63,STUDENTS!$A$5:$A$204,STUDENTS!$C$5:$C$204,""),"")</f>
        <v/>
      </c>
      <c r="E63" s="10" t="str">
        <f ca="1">IFERROR(_xludf.XLOOKUP(C63,STUDENTS!$A$5:$A$204,STUDENTS!$L$5:$L$204,""),"")</f>
        <v/>
      </c>
      <c r="F63" s="8"/>
      <c r="G63" s="10" t="str">
        <f>SETTINGS!$B$8</f>
        <v>2026/2027</v>
      </c>
      <c r="H63" s="10">
        <f t="shared" si="1"/>
        <v>0</v>
      </c>
      <c r="I63" s="10">
        <f t="shared" si="2"/>
        <v>0</v>
      </c>
      <c r="J63" s="13" t="str">
        <f t="shared" si="3"/>
        <v/>
      </c>
    </row>
    <row r="64" spans="1:10" x14ac:dyDescent="0.2">
      <c r="A64" s="10" t="str">
        <f t="shared" si="0"/>
        <v/>
      </c>
      <c r="B64" s="9"/>
      <c r="C64" s="8"/>
      <c r="D64" s="10" t="str">
        <f ca="1">IFERROR(_xludf.XLOOKUP(C64,STUDENTS!$A$5:$A$204,STUDENTS!$C$5:$C$204,""),"")</f>
        <v/>
      </c>
      <c r="E64" s="10" t="str">
        <f ca="1">IFERROR(_xludf.XLOOKUP(C64,STUDENTS!$A$5:$A$204,STUDENTS!$L$5:$L$204,""),"")</f>
        <v/>
      </c>
      <c r="F64" s="8"/>
      <c r="G64" s="10" t="str">
        <f>SETTINGS!$B$8</f>
        <v>2026/2027</v>
      </c>
      <c r="H64" s="10">
        <f t="shared" si="1"/>
        <v>0</v>
      </c>
      <c r="I64" s="10">
        <f t="shared" si="2"/>
        <v>0</v>
      </c>
      <c r="J64" s="13" t="str">
        <f t="shared" si="3"/>
        <v/>
      </c>
    </row>
    <row r="65" spans="1:10" x14ac:dyDescent="0.2">
      <c r="A65" s="10" t="str">
        <f t="shared" si="0"/>
        <v/>
      </c>
      <c r="B65" s="9"/>
      <c r="C65" s="8"/>
      <c r="D65" s="10" t="str">
        <f ca="1">IFERROR(_xludf.XLOOKUP(C65,STUDENTS!$A$5:$A$204,STUDENTS!$C$5:$C$204,""),"")</f>
        <v/>
      </c>
      <c r="E65" s="10" t="str">
        <f ca="1">IFERROR(_xludf.XLOOKUP(C65,STUDENTS!$A$5:$A$204,STUDENTS!$L$5:$L$204,""),"")</f>
        <v/>
      </c>
      <c r="F65" s="8"/>
      <c r="G65" s="10" t="str">
        <f>SETTINGS!$B$8</f>
        <v>2026/2027</v>
      </c>
      <c r="H65" s="10">
        <f t="shared" si="1"/>
        <v>0</v>
      </c>
      <c r="I65" s="10">
        <f t="shared" si="2"/>
        <v>0</v>
      </c>
      <c r="J65" s="13" t="str">
        <f t="shared" si="3"/>
        <v/>
      </c>
    </row>
    <row r="66" spans="1:10" x14ac:dyDescent="0.2">
      <c r="A66" s="10" t="str">
        <f t="shared" si="0"/>
        <v/>
      </c>
      <c r="B66" s="9"/>
      <c r="C66" s="8"/>
      <c r="D66" s="10" t="str">
        <f ca="1">IFERROR(_xludf.XLOOKUP(C66,STUDENTS!$A$5:$A$204,STUDENTS!$C$5:$C$204,""),"")</f>
        <v/>
      </c>
      <c r="E66" s="10" t="str">
        <f ca="1">IFERROR(_xludf.XLOOKUP(C66,STUDENTS!$A$5:$A$204,STUDENTS!$L$5:$L$204,""),"")</f>
        <v/>
      </c>
      <c r="F66" s="8"/>
      <c r="G66" s="10" t="str">
        <f>SETTINGS!$B$8</f>
        <v>2026/2027</v>
      </c>
      <c r="H66" s="10">
        <f t="shared" si="1"/>
        <v>0</v>
      </c>
      <c r="I66" s="10">
        <f t="shared" si="2"/>
        <v>0</v>
      </c>
      <c r="J66" s="13" t="str">
        <f t="shared" si="3"/>
        <v/>
      </c>
    </row>
    <row r="67" spans="1:10" x14ac:dyDescent="0.2">
      <c r="A67" s="10" t="str">
        <f t="shared" si="0"/>
        <v/>
      </c>
      <c r="B67" s="9"/>
      <c r="C67" s="8"/>
      <c r="D67" s="10" t="str">
        <f ca="1">IFERROR(_xludf.XLOOKUP(C67,STUDENTS!$A$5:$A$204,STUDENTS!$C$5:$C$204,""),"")</f>
        <v/>
      </c>
      <c r="E67" s="10" t="str">
        <f ca="1">IFERROR(_xludf.XLOOKUP(C67,STUDENTS!$A$5:$A$204,STUDENTS!$L$5:$L$204,""),"")</f>
        <v/>
      </c>
      <c r="F67" s="8"/>
      <c r="G67" s="10" t="str">
        <f>SETTINGS!$B$8</f>
        <v>2026/2027</v>
      </c>
      <c r="H67" s="10">
        <f t="shared" si="1"/>
        <v>0</v>
      </c>
      <c r="I67" s="10">
        <f t="shared" si="2"/>
        <v>0</v>
      </c>
      <c r="J67" s="13" t="str">
        <f t="shared" si="3"/>
        <v/>
      </c>
    </row>
    <row r="68" spans="1:10" x14ac:dyDescent="0.2">
      <c r="A68" s="10" t="str">
        <f t="shared" si="0"/>
        <v/>
      </c>
      <c r="B68" s="9"/>
      <c r="C68" s="8"/>
      <c r="D68" s="10" t="str">
        <f ca="1">IFERROR(_xludf.XLOOKUP(C68,STUDENTS!$A$5:$A$204,STUDENTS!$C$5:$C$204,""),"")</f>
        <v/>
      </c>
      <c r="E68" s="10" t="str">
        <f ca="1">IFERROR(_xludf.XLOOKUP(C68,STUDENTS!$A$5:$A$204,STUDENTS!$L$5:$L$204,""),"")</f>
        <v/>
      </c>
      <c r="F68" s="8"/>
      <c r="G68" s="10" t="str">
        <f>SETTINGS!$B$8</f>
        <v>2026/2027</v>
      </c>
      <c r="H68" s="10">
        <f t="shared" si="1"/>
        <v>0</v>
      </c>
      <c r="I68" s="10">
        <f t="shared" si="2"/>
        <v>0</v>
      </c>
      <c r="J68" s="13" t="str">
        <f t="shared" si="3"/>
        <v/>
      </c>
    </row>
    <row r="69" spans="1:10" x14ac:dyDescent="0.2">
      <c r="A69" s="10" t="str">
        <f t="shared" ref="A69:A132" si="4">IF(C69="","","AT-"&amp;TEXT(ROW()-4,"00000"))</f>
        <v/>
      </c>
      <c r="B69" s="9"/>
      <c r="C69" s="8"/>
      <c r="D69" s="10" t="str">
        <f ca="1">IFERROR(_xludf.XLOOKUP(C69,STUDENTS!$A$5:$A$204,STUDENTS!$C$5:$C$204,""),"")</f>
        <v/>
      </c>
      <c r="E69" s="10" t="str">
        <f ca="1">IFERROR(_xludf.XLOOKUP(C69,STUDENTS!$A$5:$A$204,STUDENTS!$L$5:$L$204,""),"")</f>
        <v/>
      </c>
      <c r="F69" s="8"/>
      <c r="G69" s="10" t="str">
        <f>SETTINGS!$B$8</f>
        <v>2026/2027</v>
      </c>
      <c r="H69" s="10">
        <f t="shared" ref="H69:H132" si="5">IF(F69="Present",1,0)</f>
        <v>0</v>
      </c>
      <c r="I69" s="10">
        <f t="shared" ref="I69:I132" si="6">IF(F69="Absent",1,0)</f>
        <v>0</v>
      </c>
      <c r="J69" s="13" t="str">
        <f t="shared" ref="J69:J132" si="7">IF(OR(H69="",I69=""),"",IF(H69+I69=0,"",H69/(H69+I69)))</f>
        <v/>
      </c>
    </row>
    <row r="70" spans="1:10" x14ac:dyDescent="0.2">
      <c r="A70" s="10" t="str">
        <f t="shared" si="4"/>
        <v/>
      </c>
      <c r="B70" s="9"/>
      <c r="C70" s="8"/>
      <c r="D70" s="10" t="str">
        <f ca="1">IFERROR(_xludf.XLOOKUP(C70,STUDENTS!$A$5:$A$204,STUDENTS!$C$5:$C$204,""),"")</f>
        <v/>
      </c>
      <c r="E70" s="10" t="str">
        <f ca="1">IFERROR(_xludf.XLOOKUP(C70,STUDENTS!$A$5:$A$204,STUDENTS!$L$5:$L$204,""),"")</f>
        <v/>
      </c>
      <c r="F70" s="8"/>
      <c r="G70" s="10" t="str">
        <f>SETTINGS!$B$8</f>
        <v>2026/2027</v>
      </c>
      <c r="H70" s="10">
        <f t="shared" si="5"/>
        <v>0</v>
      </c>
      <c r="I70" s="10">
        <f t="shared" si="6"/>
        <v>0</v>
      </c>
      <c r="J70" s="13" t="str">
        <f t="shared" si="7"/>
        <v/>
      </c>
    </row>
    <row r="71" spans="1:10" x14ac:dyDescent="0.2">
      <c r="A71" s="10" t="str">
        <f t="shared" si="4"/>
        <v/>
      </c>
      <c r="B71" s="9"/>
      <c r="C71" s="8"/>
      <c r="D71" s="10" t="str">
        <f ca="1">IFERROR(_xludf.XLOOKUP(C71,STUDENTS!$A$5:$A$204,STUDENTS!$C$5:$C$204,""),"")</f>
        <v/>
      </c>
      <c r="E71" s="10" t="str">
        <f ca="1">IFERROR(_xludf.XLOOKUP(C71,STUDENTS!$A$5:$A$204,STUDENTS!$L$5:$L$204,""),"")</f>
        <v/>
      </c>
      <c r="F71" s="8"/>
      <c r="G71" s="10" t="str">
        <f>SETTINGS!$B$8</f>
        <v>2026/2027</v>
      </c>
      <c r="H71" s="10">
        <f t="shared" si="5"/>
        <v>0</v>
      </c>
      <c r="I71" s="10">
        <f t="shared" si="6"/>
        <v>0</v>
      </c>
      <c r="J71" s="13" t="str">
        <f t="shared" si="7"/>
        <v/>
      </c>
    </row>
    <row r="72" spans="1:10" x14ac:dyDescent="0.2">
      <c r="A72" s="10" t="str">
        <f t="shared" si="4"/>
        <v/>
      </c>
      <c r="B72" s="9"/>
      <c r="C72" s="8"/>
      <c r="D72" s="10" t="str">
        <f ca="1">IFERROR(_xludf.XLOOKUP(C72,STUDENTS!$A$5:$A$204,STUDENTS!$C$5:$C$204,""),"")</f>
        <v/>
      </c>
      <c r="E72" s="10" t="str">
        <f ca="1">IFERROR(_xludf.XLOOKUP(C72,STUDENTS!$A$5:$A$204,STUDENTS!$L$5:$L$204,""),"")</f>
        <v/>
      </c>
      <c r="F72" s="8"/>
      <c r="G72" s="10" t="str">
        <f>SETTINGS!$B$8</f>
        <v>2026/2027</v>
      </c>
      <c r="H72" s="10">
        <f t="shared" si="5"/>
        <v>0</v>
      </c>
      <c r="I72" s="10">
        <f t="shared" si="6"/>
        <v>0</v>
      </c>
      <c r="J72" s="13" t="str">
        <f t="shared" si="7"/>
        <v/>
      </c>
    </row>
    <row r="73" spans="1:10" x14ac:dyDescent="0.2">
      <c r="A73" s="10" t="str">
        <f t="shared" si="4"/>
        <v/>
      </c>
      <c r="B73" s="9"/>
      <c r="C73" s="8"/>
      <c r="D73" s="10" t="str">
        <f ca="1">IFERROR(_xludf.XLOOKUP(C73,STUDENTS!$A$5:$A$204,STUDENTS!$C$5:$C$204,""),"")</f>
        <v/>
      </c>
      <c r="E73" s="10" t="str">
        <f ca="1">IFERROR(_xludf.XLOOKUP(C73,STUDENTS!$A$5:$A$204,STUDENTS!$L$5:$L$204,""),"")</f>
        <v/>
      </c>
      <c r="F73" s="8"/>
      <c r="G73" s="10" t="str">
        <f>SETTINGS!$B$8</f>
        <v>2026/2027</v>
      </c>
      <c r="H73" s="10">
        <f t="shared" si="5"/>
        <v>0</v>
      </c>
      <c r="I73" s="10">
        <f t="shared" si="6"/>
        <v>0</v>
      </c>
      <c r="J73" s="13" t="str">
        <f t="shared" si="7"/>
        <v/>
      </c>
    </row>
    <row r="74" spans="1:10" x14ac:dyDescent="0.2">
      <c r="A74" s="10" t="str">
        <f t="shared" si="4"/>
        <v/>
      </c>
      <c r="B74" s="9"/>
      <c r="C74" s="8"/>
      <c r="D74" s="10" t="str">
        <f ca="1">IFERROR(_xludf.XLOOKUP(C74,STUDENTS!$A$5:$A$204,STUDENTS!$C$5:$C$204,""),"")</f>
        <v/>
      </c>
      <c r="E74" s="10" t="str">
        <f ca="1">IFERROR(_xludf.XLOOKUP(C74,STUDENTS!$A$5:$A$204,STUDENTS!$L$5:$L$204,""),"")</f>
        <v/>
      </c>
      <c r="F74" s="8"/>
      <c r="G74" s="10" t="str">
        <f>SETTINGS!$B$8</f>
        <v>2026/2027</v>
      </c>
      <c r="H74" s="10">
        <f t="shared" si="5"/>
        <v>0</v>
      </c>
      <c r="I74" s="10">
        <f t="shared" si="6"/>
        <v>0</v>
      </c>
      <c r="J74" s="13" t="str">
        <f t="shared" si="7"/>
        <v/>
      </c>
    </row>
    <row r="75" spans="1:10" x14ac:dyDescent="0.2">
      <c r="A75" s="10" t="str">
        <f t="shared" si="4"/>
        <v/>
      </c>
      <c r="B75" s="9"/>
      <c r="C75" s="8"/>
      <c r="D75" s="10" t="str">
        <f ca="1">IFERROR(_xludf.XLOOKUP(C75,STUDENTS!$A$5:$A$204,STUDENTS!$C$5:$C$204,""),"")</f>
        <v/>
      </c>
      <c r="E75" s="10" t="str">
        <f ca="1">IFERROR(_xludf.XLOOKUP(C75,STUDENTS!$A$5:$A$204,STUDENTS!$L$5:$L$204,""),"")</f>
        <v/>
      </c>
      <c r="F75" s="8"/>
      <c r="G75" s="10" t="str">
        <f>SETTINGS!$B$8</f>
        <v>2026/2027</v>
      </c>
      <c r="H75" s="10">
        <f t="shared" si="5"/>
        <v>0</v>
      </c>
      <c r="I75" s="10">
        <f t="shared" si="6"/>
        <v>0</v>
      </c>
      <c r="J75" s="13" t="str">
        <f t="shared" si="7"/>
        <v/>
      </c>
    </row>
    <row r="76" spans="1:10" x14ac:dyDescent="0.2">
      <c r="A76" s="10" t="str">
        <f t="shared" si="4"/>
        <v/>
      </c>
      <c r="B76" s="9"/>
      <c r="C76" s="8"/>
      <c r="D76" s="10" t="str">
        <f ca="1">IFERROR(_xludf.XLOOKUP(C76,STUDENTS!$A$5:$A$204,STUDENTS!$C$5:$C$204,""),"")</f>
        <v/>
      </c>
      <c r="E76" s="10" t="str">
        <f ca="1">IFERROR(_xludf.XLOOKUP(C76,STUDENTS!$A$5:$A$204,STUDENTS!$L$5:$L$204,""),"")</f>
        <v/>
      </c>
      <c r="F76" s="8"/>
      <c r="G76" s="10" t="str">
        <f>SETTINGS!$B$8</f>
        <v>2026/2027</v>
      </c>
      <c r="H76" s="10">
        <f t="shared" si="5"/>
        <v>0</v>
      </c>
      <c r="I76" s="10">
        <f t="shared" si="6"/>
        <v>0</v>
      </c>
      <c r="J76" s="13" t="str">
        <f t="shared" si="7"/>
        <v/>
      </c>
    </row>
    <row r="77" spans="1:10" x14ac:dyDescent="0.2">
      <c r="A77" s="10" t="str">
        <f t="shared" si="4"/>
        <v/>
      </c>
      <c r="B77" s="9"/>
      <c r="C77" s="8"/>
      <c r="D77" s="10" t="str">
        <f ca="1">IFERROR(_xludf.XLOOKUP(C77,STUDENTS!$A$5:$A$204,STUDENTS!$C$5:$C$204,""),"")</f>
        <v/>
      </c>
      <c r="E77" s="10" t="str">
        <f ca="1">IFERROR(_xludf.XLOOKUP(C77,STUDENTS!$A$5:$A$204,STUDENTS!$L$5:$L$204,""),"")</f>
        <v/>
      </c>
      <c r="F77" s="8"/>
      <c r="G77" s="10" t="str">
        <f>SETTINGS!$B$8</f>
        <v>2026/2027</v>
      </c>
      <c r="H77" s="10">
        <f t="shared" si="5"/>
        <v>0</v>
      </c>
      <c r="I77" s="10">
        <f t="shared" si="6"/>
        <v>0</v>
      </c>
      <c r="J77" s="13" t="str">
        <f t="shared" si="7"/>
        <v/>
      </c>
    </row>
    <row r="78" spans="1:10" x14ac:dyDescent="0.2">
      <c r="A78" s="10" t="str">
        <f t="shared" si="4"/>
        <v/>
      </c>
      <c r="B78" s="9"/>
      <c r="C78" s="8"/>
      <c r="D78" s="10" t="str">
        <f ca="1">IFERROR(_xludf.XLOOKUP(C78,STUDENTS!$A$5:$A$204,STUDENTS!$C$5:$C$204,""),"")</f>
        <v/>
      </c>
      <c r="E78" s="10" t="str">
        <f ca="1">IFERROR(_xludf.XLOOKUP(C78,STUDENTS!$A$5:$A$204,STUDENTS!$L$5:$L$204,""),"")</f>
        <v/>
      </c>
      <c r="F78" s="8"/>
      <c r="G78" s="10" t="str">
        <f>SETTINGS!$B$8</f>
        <v>2026/2027</v>
      </c>
      <c r="H78" s="10">
        <f t="shared" si="5"/>
        <v>0</v>
      </c>
      <c r="I78" s="10">
        <f t="shared" si="6"/>
        <v>0</v>
      </c>
      <c r="J78" s="13" t="str">
        <f t="shared" si="7"/>
        <v/>
      </c>
    </row>
    <row r="79" spans="1:10" x14ac:dyDescent="0.2">
      <c r="A79" s="10" t="str">
        <f t="shared" si="4"/>
        <v/>
      </c>
      <c r="B79" s="9"/>
      <c r="C79" s="8"/>
      <c r="D79" s="10" t="str">
        <f ca="1">IFERROR(_xludf.XLOOKUP(C79,STUDENTS!$A$5:$A$204,STUDENTS!$C$5:$C$204,""),"")</f>
        <v/>
      </c>
      <c r="E79" s="10" t="str">
        <f ca="1">IFERROR(_xludf.XLOOKUP(C79,STUDENTS!$A$5:$A$204,STUDENTS!$L$5:$L$204,""),"")</f>
        <v/>
      </c>
      <c r="F79" s="8"/>
      <c r="G79" s="10" t="str">
        <f>SETTINGS!$B$8</f>
        <v>2026/2027</v>
      </c>
      <c r="H79" s="10">
        <f t="shared" si="5"/>
        <v>0</v>
      </c>
      <c r="I79" s="10">
        <f t="shared" si="6"/>
        <v>0</v>
      </c>
      <c r="J79" s="13" t="str">
        <f t="shared" si="7"/>
        <v/>
      </c>
    </row>
    <row r="80" spans="1:10" x14ac:dyDescent="0.2">
      <c r="A80" s="10" t="str">
        <f t="shared" si="4"/>
        <v/>
      </c>
      <c r="B80" s="9"/>
      <c r="C80" s="8"/>
      <c r="D80" s="10" t="str">
        <f ca="1">IFERROR(_xludf.XLOOKUP(C80,STUDENTS!$A$5:$A$204,STUDENTS!$C$5:$C$204,""),"")</f>
        <v/>
      </c>
      <c r="E80" s="10" t="str">
        <f ca="1">IFERROR(_xludf.XLOOKUP(C80,STUDENTS!$A$5:$A$204,STUDENTS!$L$5:$L$204,""),"")</f>
        <v/>
      </c>
      <c r="F80" s="8"/>
      <c r="G80" s="10" t="str">
        <f>SETTINGS!$B$8</f>
        <v>2026/2027</v>
      </c>
      <c r="H80" s="10">
        <f t="shared" si="5"/>
        <v>0</v>
      </c>
      <c r="I80" s="10">
        <f t="shared" si="6"/>
        <v>0</v>
      </c>
      <c r="J80" s="13" t="str">
        <f t="shared" si="7"/>
        <v/>
      </c>
    </row>
    <row r="81" spans="1:10" x14ac:dyDescent="0.2">
      <c r="A81" s="10" t="str">
        <f t="shared" si="4"/>
        <v/>
      </c>
      <c r="B81" s="9"/>
      <c r="C81" s="8"/>
      <c r="D81" s="10" t="str">
        <f ca="1">IFERROR(_xludf.XLOOKUP(C81,STUDENTS!$A$5:$A$204,STUDENTS!$C$5:$C$204,""),"")</f>
        <v/>
      </c>
      <c r="E81" s="10" t="str">
        <f ca="1">IFERROR(_xludf.XLOOKUP(C81,STUDENTS!$A$5:$A$204,STUDENTS!$L$5:$L$204,""),"")</f>
        <v/>
      </c>
      <c r="F81" s="8"/>
      <c r="G81" s="10" t="str">
        <f>SETTINGS!$B$8</f>
        <v>2026/2027</v>
      </c>
      <c r="H81" s="10">
        <f t="shared" si="5"/>
        <v>0</v>
      </c>
      <c r="I81" s="10">
        <f t="shared" si="6"/>
        <v>0</v>
      </c>
      <c r="J81" s="13" t="str">
        <f t="shared" si="7"/>
        <v/>
      </c>
    </row>
    <row r="82" spans="1:10" x14ac:dyDescent="0.2">
      <c r="A82" s="10" t="str">
        <f t="shared" si="4"/>
        <v/>
      </c>
      <c r="B82" s="9"/>
      <c r="C82" s="8"/>
      <c r="D82" s="10" t="str">
        <f ca="1">IFERROR(_xludf.XLOOKUP(C82,STUDENTS!$A$5:$A$204,STUDENTS!$C$5:$C$204,""),"")</f>
        <v/>
      </c>
      <c r="E82" s="10" t="str">
        <f ca="1">IFERROR(_xludf.XLOOKUP(C82,STUDENTS!$A$5:$A$204,STUDENTS!$L$5:$L$204,""),"")</f>
        <v/>
      </c>
      <c r="F82" s="8"/>
      <c r="G82" s="10" t="str">
        <f>SETTINGS!$B$8</f>
        <v>2026/2027</v>
      </c>
      <c r="H82" s="10">
        <f t="shared" si="5"/>
        <v>0</v>
      </c>
      <c r="I82" s="10">
        <f t="shared" si="6"/>
        <v>0</v>
      </c>
      <c r="J82" s="13" t="str">
        <f t="shared" si="7"/>
        <v/>
      </c>
    </row>
    <row r="83" spans="1:10" x14ac:dyDescent="0.2">
      <c r="A83" s="10" t="str">
        <f t="shared" si="4"/>
        <v/>
      </c>
      <c r="B83" s="9"/>
      <c r="C83" s="8"/>
      <c r="D83" s="10" t="str">
        <f ca="1">IFERROR(_xludf.XLOOKUP(C83,STUDENTS!$A$5:$A$204,STUDENTS!$C$5:$C$204,""),"")</f>
        <v/>
      </c>
      <c r="E83" s="10" t="str">
        <f ca="1">IFERROR(_xludf.XLOOKUP(C83,STUDENTS!$A$5:$A$204,STUDENTS!$L$5:$L$204,""),"")</f>
        <v/>
      </c>
      <c r="F83" s="8"/>
      <c r="G83" s="10" t="str">
        <f>SETTINGS!$B$8</f>
        <v>2026/2027</v>
      </c>
      <c r="H83" s="10">
        <f t="shared" si="5"/>
        <v>0</v>
      </c>
      <c r="I83" s="10">
        <f t="shared" si="6"/>
        <v>0</v>
      </c>
      <c r="J83" s="13" t="str">
        <f t="shared" si="7"/>
        <v/>
      </c>
    </row>
    <row r="84" spans="1:10" x14ac:dyDescent="0.2">
      <c r="A84" s="10" t="str">
        <f t="shared" si="4"/>
        <v/>
      </c>
      <c r="B84" s="9"/>
      <c r="C84" s="8"/>
      <c r="D84" s="10" t="str">
        <f ca="1">IFERROR(_xludf.XLOOKUP(C84,STUDENTS!$A$5:$A$204,STUDENTS!$C$5:$C$204,""),"")</f>
        <v/>
      </c>
      <c r="E84" s="10" t="str">
        <f ca="1">IFERROR(_xludf.XLOOKUP(C84,STUDENTS!$A$5:$A$204,STUDENTS!$L$5:$L$204,""),"")</f>
        <v/>
      </c>
      <c r="F84" s="8"/>
      <c r="G84" s="10" t="str">
        <f>SETTINGS!$B$8</f>
        <v>2026/2027</v>
      </c>
      <c r="H84" s="10">
        <f t="shared" si="5"/>
        <v>0</v>
      </c>
      <c r="I84" s="10">
        <f t="shared" si="6"/>
        <v>0</v>
      </c>
      <c r="J84" s="13" t="str">
        <f t="shared" si="7"/>
        <v/>
      </c>
    </row>
    <row r="85" spans="1:10" x14ac:dyDescent="0.2">
      <c r="A85" s="10" t="str">
        <f t="shared" si="4"/>
        <v/>
      </c>
      <c r="B85" s="9"/>
      <c r="C85" s="8"/>
      <c r="D85" s="10" t="str">
        <f ca="1">IFERROR(_xludf.XLOOKUP(C85,STUDENTS!$A$5:$A$204,STUDENTS!$C$5:$C$204,""),"")</f>
        <v/>
      </c>
      <c r="E85" s="10" t="str">
        <f ca="1">IFERROR(_xludf.XLOOKUP(C85,STUDENTS!$A$5:$A$204,STUDENTS!$L$5:$L$204,""),"")</f>
        <v/>
      </c>
      <c r="F85" s="8"/>
      <c r="G85" s="10" t="str">
        <f>SETTINGS!$B$8</f>
        <v>2026/2027</v>
      </c>
      <c r="H85" s="10">
        <f t="shared" si="5"/>
        <v>0</v>
      </c>
      <c r="I85" s="10">
        <f t="shared" si="6"/>
        <v>0</v>
      </c>
      <c r="J85" s="13" t="str">
        <f t="shared" si="7"/>
        <v/>
      </c>
    </row>
    <row r="86" spans="1:10" x14ac:dyDescent="0.2">
      <c r="A86" s="10" t="str">
        <f t="shared" si="4"/>
        <v/>
      </c>
      <c r="B86" s="9"/>
      <c r="C86" s="8"/>
      <c r="D86" s="10" t="str">
        <f ca="1">IFERROR(_xludf.XLOOKUP(C86,STUDENTS!$A$5:$A$204,STUDENTS!$C$5:$C$204,""),"")</f>
        <v/>
      </c>
      <c r="E86" s="10" t="str">
        <f ca="1">IFERROR(_xludf.XLOOKUP(C86,STUDENTS!$A$5:$A$204,STUDENTS!$L$5:$L$204,""),"")</f>
        <v/>
      </c>
      <c r="F86" s="8"/>
      <c r="G86" s="10" t="str">
        <f>SETTINGS!$B$8</f>
        <v>2026/2027</v>
      </c>
      <c r="H86" s="10">
        <f t="shared" si="5"/>
        <v>0</v>
      </c>
      <c r="I86" s="10">
        <f t="shared" si="6"/>
        <v>0</v>
      </c>
      <c r="J86" s="13" t="str">
        <f t="shared" si="7"/>
        <v/>
      </c>
    </row>
    <row r="87" spans="1:10" x14ac:dyDescent="0.2">
      <c r="A87" s="10" t="str">
        <f t="shared" si="4"/>
        <v/>
      </c>
      <c r="B87" s="9"/>
      <c r="C87" s="8"/>
      <c r="D87" s="10" t="str">
        <f ca="1">IFERROR(_xludf.XLOOKUP(C87,STUDENTS!$A$5:$A$204,STUDENTS!$C$5:$C$204,""),"")</f>
        <v/>
      </c>
      <c r="E87" s="10" t="str">
        <f ca="1">IFERROR(_xludf.XLOOKUP(C87,STUDENTS!$A$5:$A$204,STUDENTS!$L$5:$L$204,""),"")</f>
        <v/>
      </c>
      <c r="F87" s="8"/>
      <c r="G87" s="10" t="str">
        <f>SETTINGS!$B$8</f>
        <v>2026/2027</v>
      </c>
      <c r="H87" s="10">
        <f t="shared" si="5"/>
        <v>0</v>
      </c>
      <c r="I87" s="10">
        <f t="shared" si="6"/>
        <v>0</v>
      </c>
      <c r="J87" s="13" t="str">
        <f t="shared" si="7"/>
        <v/>
      </c>
    </row>
    <row r="88" spans="1:10" x14ac:dyDescent="0.2">
      <c r="A88" s="10" t="str">
        <f t="shared" si="4"/>
        <v/>
      </c>
      <c r="B88" s="9"/>
      <c r="C88" s="8"/>
      <c r="D88" s="10" t="str">
        <f ca="1">IFERROR(_xludf.XLOOKUP(C88,STUDENTS!$A$5:$A$204,STUDENTS!$C$5:$C$204,""),"")</f>
        <v/>
      </c>
      <c r="E88" s="10" t="str">
        <f ca="1">IFERROR(_xludf.XLOOKUP(C88,STUDENTS!$A$5:$A$204,STUDENTS!$L$5:$L$204,""),"")</f>
        <v/>
      </c>
      <c r="F88" s="8"/>
      <c r="G88" s="10" t="str">
        <f>SETTINGS!$B$8</f>
        <v>2026/2027</v>
      </c>
      <c r="H88" s="10">
        <f t="shared" si="5"/>
        <v>0</v>
      </c>
      <c r="I88" s="10">
        <f t="shared" si="6"/>
        <v>0</v>
      </c>
      <c r="J88" s="13" t="str">
        <f t="shared" si="7"/>
        <v/>
      </c>
    </row>
    <row r="89" spans="1:10" x14ac:dyDescent="0.2">
      <c r="A89" s="10" t="str">
        <f t="shared" si="4"/>
        <v/>
      </c>
      <c r="B89" s="9"/>
      <c r="C89" s="8"/>
      <c r="D89" s="10" t="str">
        <f ca="1">IFERROR(_xludf.XLOOKUP(C89,STUDENTS!$A$5:$A$204,STUDENTS!$C$5:$C$204,""),"")</f>
        <v/>
      </c>
      <c r="E89" s="10" t="str">
        <f ca="1">IFERROR(_xludf.XLOOKUP(C89,STUDENTS!$A$5:$A$204,STUDENTS!$L$5:$L$204,""),"")</f>
        <v/>
      </c>
      <c r="F89" s="8"/>
      <c r="G89" s="10" t="str">
        <f>SETTINGS!$B$8</f>
        <v>2026/2027</v>
      </c>
      <c r="H89" s="10">
        <f t="shared" si="5"/>
        <v>0</v>
      </c>
      <c r="I89" s="10">
        <f t="shared" si="6"/>
        <v>0</v>
      </c>
      <c r="J89" s="13" t="str">
        <f t="shared" si="7"/>
        <v/>
      </c>
    </row>
    <row r="90" spans="1:10" x14ac:dyDescent="0.2">
      <c r="A90" s="10" t="str">
        <f t="shared" si="4"/>
        <v/>
      </c>
      <c r="B90" s="9"/>
      <c r="C90" s="8"/>
      <c r="D90" s="10" t="str">
        <f ca="1">IFERROR(_xludf.XLOOKUP(C90,STUDENTS!$A$5:$A$204,STUDENTS!$C$5:$C$204,""),"")</f>
        <v/>
      </c>
      <c r="E90" s="10" t="str">
        <f ca="1">IFERROR(_xludf.XLOOKUP(C90,STUDENTS!$A$5:$A$204,STUDENTS!$L$5:$L$204,""),"")</f>
        <v/>
      </c>
      <c r="F90" s="8"/>
      <c r="G90" s="10" t="str">
        <f>SETTINGS!$B$8</f>
        <v>2026/2027</v>
      </c>
      <c r="H90" s="10">
        <f t="shared" si="5"/>
        <v>0</v>
      </c>
      <c r="I90" s="10">
        <f t="shared" si="6"/>
        <v>0</v>
      </c>
      <c r="J90" s="13" t="str">
        <f t="shared" si="7"/>
        <v/>
      </c>
    </row>
    <row r="91" spans="1:10" x14ac:dyDescent="0.2">
      <c r="A91" s="10" t="str">
        <f t="shared" si="4"/>
        <v/>
      </c>
      <c r="B91" s="9"/>
      <c r="C91" s="8"/>
      <c r="D91" s="10" t="str">
        <f ca="1">IFERROR(_xludf.XLOOKUP(C91,STUDENTS!$A$5:$A$204,STUDENTS!$C$5:$C$204,""),"")</f>
        <v/>
      </c>
      <c r="E91" s="10" t="str">
        <f ca="1">IFERROR(_xludf.XLOOKUP(C91,STUDENTS!$A$5:$A$204,STUDENTS!$L$5:$L$204,""),"")</f>
        <v/>
      </c>
      <c r="F91" s="8"/>
      <c r="G91" s="10" t="str">
        <f>SETTINGS!$B$8</f>
        <v>2026/2027</v>
      </c>
      <c r="H91" s="10">
        <f t="shared" si="5"/>
        <v>0</v>
      </c>
      <c r="I91" s="10">
        <f t="shared" si="6"/>
        <v>0</v>
      </c>
      <c r="J91" s="13" t="str">
        <f t="shared" si="7"/>
        <v/>
      </c>
    </row>
    <row r="92" spans="1:10" x14ac:dyDescent="0.2">
      <c r="A92" s="10" t="str">
        <f t="shared" si="4"/>
        <v/>
      </c>
      <c r="B92" s="9"/>
      <c r="C92" s="8"/>
      <c r="D92" s="10" t="str">
        <f ca="1">IFERROR(_xludf.XLOOKUP(C92,STUDENTS!$A$5:$A$204,STUDENTS!$C$5:$C$204,""),"")</f>
        <v/>
      </c>
      <c r="E92" s="10" t="str">
        <f ca="1">IFERROR(_xludf.XLOOKUP(C92,STUDENTS!$A$5:$A$204,STUDENTS!$L$5:$L$204,""),"")</f>
        <v/>
      </c>
      <c r="F92" s="8"/>
      <c r="G92" s="10" t="str">
        <f>SETTINGS!$B$8</f>
        <v>2026/2027</v>
      </c>
      <c r="H92" s="10">
        <f t="shared" si="5"/>
        <v>0</v>
      </c>
      <c r="I92" s="10">
        <f t="shared" si="6"/>
        <v>0</v>
      </c>
      <c r="J92" s="13" t="str">
        <f t="shared" si="7"/>
        <v/>
      </c>
    </row>
    <row r="93" spans="1:10" x14ac:dyDescent="0.2">
      <c r="A93" s="10" t="str">
        <f t="shared" si="4"/>
        <v/>
      </c>
      <c r="B93" s="9"/>
      <c r="C93" s="8"/>
      <c r="D93" s="10" t="str">
        <f ca="1">IFERROR(_xludf.XLOOKUP(C93,STUDENTS!$A$5:$A$204,STUDENTS!$C$5:$C$204,""),"")</f>
        <v/>
      </c>
      <c r="E93" s="10" t="str">
        <f ca="1">IFERROR(_xludf.XLOOKUP(C93,STUDENTS!$A$5:$A$204,STUDENTS!$L$5:$L$204,""),"")</f>
        <v/>
      </c>
      <c r="F93" s="8"/>
      <c r="G93" s="10" t="str">
        <f>SETTINGS!$B$8</f>
        <v>2026/2027</v>
      </c>
      <c r="H93" s="10">
        <f t="shared" si="5"/>
        <v>0</v>
      </c>
      <c r="I93" s="10">
        <f t="shared" si="6"/>
        <v>0</v>
      </c>
      <c r="J93" s="13" t="str">
        <f t="shared" si="7"/>
        <v/>
      </c>
    </row>
    <row r="94" spans="1:10" x14ac:dyDescent="0.2">
      <c r="A94" s="10" t="str">
        <f t="shared" si="4"/>
        <v/>
      </c>
      <c r="B94" s="9"/>
      <c r="C94" s="8"/>
      <c r="D94" s="10" t="str">
        <f ca="1">IFERROR(_xludf.XLOOKUP(C94,STUDENTS!$A$5:$A$204,STUDENTS!$C$5:$C$204,""),"")</f>
        <v/>
      </c>
      <c r="E94" s="10" t="str">
        <f ca="1">IFERROR(_xludf.XLOOKUP(C94,STUDENTS!$A$5:$A$204,STUDENTS!$L$5:$L$204,""),"")</f>
        <v/>
      </c>
      <c r="F94" s="8"/>
      <c r="G94" s="10" t="str">
        <f>SETTINGS!$B$8</f>
        <v>2026/2027</v>
      </c>
      <c r="H94" s="10">
        <f t="shared" si="5"/>
        <v>0</v>
      </c>
      <c r="I94" s="10">
        <f t="shared" si="6"/>
        <v>0</v>
      </c>
      <c r="J94" s="13" t="str">
        <f t="shared" si="7"/>
        <v/>
      </c>
    </row>
    <row r="95" spans="1:10" x14ac:dyDescent="0.2">
      <c r="A95" s="10" t="str">
        <f t="shared" si="4"/>
        <v/>
      </c>
      <c r="B95" s="9"/>
      <c r="C95" s="8"/>
      <c r="D95" s="10" t="str">
        <f ca="1">IFERROR(_xludf.XLOOKUP(C95,STUDENTS!$A$5:$A$204,STUDENTS!$C$5:$C$204,""),"")</f>
        <v/>
      </c>
      <c r="E95" s="10" t="str">
        <f ca="1">IFERROR(_xludf.XLOOKUP(C95,STUDENTS!$A$5:$A$204,STUDENTS!$L$5:$L$204,""),"")</f>
        <v/>
      </c>
      <c r="F95" s="8"/>
      <c r="G95" s="10" t="str">
        <f>SETTINGS!$B$8</f>
        <v>2026/2027</v>
      </c>
      <c r="H95" s="10">
        <f t="shared" si="5"/>
        <v>0</v>
      </c>
      <c r="I95" s="10">
        <f t="shared" si="6"/>
        <v>0</v>
      </c>
      <c r="J95" s="13" t="str">
        <f t="shared" si="7"/>
        <v/>
      </c>
    </row>
    <row r="96" spans="1:10" x14ac:dyDescent="0.2">
      <c r="A96" s="10" t="str">
        <f t="shared" si="4"/>
        <v/>
      </c>
      <c r="B96" s="9"/>
      <c r="C96" s="8"/>
      <c r="D96" s="10" t="str">
        <f ca="1">IFERROR(_xludf.XLOOKUP(C96,STUDENTS!$A$5:$A$204,STUDENTS!$C$5:$C$204,""),"")</f>
        <v/>
      </c>
      <c r="E96" s="10" t="str">
        <f ca="1">IFERROR(_xludf.XLOOKUP(C96,STUDENTS!$A$5:$A$204,STUDENTS!$L$5:$L$204,""),"")</f>
        <v/>
      </c>
      <c r="F96" s="8"/>
      <c r="G96" s="10" t="str">
        <f>SETTINGS!$B$8</f>
        <v>2026/2027</v>
      </c>
      <c r="H96" s="10">
        <f t="shared" si="5"/>
        <v>0</v>
      </c>
      <c r="I96" s="10">
        <f t="shared" si="6"/>
        <v>0</v>
      </c>
      <c r="J96" s="13" t="str">
        <f t="shared" si="7"/>
        <v/>
      </c>
    </row>
    <row r="97" spans="1:10" x14ac:dyDescent="0.2">
      <c r="A97" s="10" t="str">
        <f t="shared" si="4"/>
        <v/>
      </c>
      <c r="B97" s="9"/>
      <c r="C97" s="8"/>
      <c r="D97" s="10" t="str">
        <f ca="1">IFERROR(_xludf.XLOOKUP(C97,STUDENTS!$A$5:$A$204,STUDENTS!$C$5:$C$204,""),"")</f>
        <v/>
      </c>
      <c r="E97" s="10" t="str">
        <f ca="1">IFERROR(_xludf.XLOOKUP(C97,STUDENTS!$A$5:$A$204,STUDENTS!$L$5:$L$204,""),"")</f>
        <v/>
      </c>
      <c r="F97" s="8"/>
      <c r="G97" s="10" t="str">
        <f>SETTINGS!$B$8</f>
        <v>2026/2027</v>
      </c>
      <c r="H97" s="10">
        <f t="shared" si="5"/>
        <v>0</v>
      </c>
      <c r="I97" s="10">
        <f t="shared" si="6"/>
        <v>0</v>
      </c>
      <c r="J97" s="13" t="str">
        <f t="shared" si="7"/>
        <v/>
      </c>
    </row>
    <row r="98" spans="1:10" x14ac:dyDescent="0.2">
      <c r="A98" s="10" t="str">
        <f t="shared" si="4"/>
        <v/>
      </c>
      <c r="B98" s="9"/>
      <c r="C98" s="8"/>
      <c r="D98" s="10" t="str">
        <f ca="1">IFERROR(_xludf.XLOOKUP(C98,STUDENTS!$A$5:$A$204,STUDENTS!$C$5:$C$204,""),"")</f>
        <v/>
      </c>
      <c r="E98" s="10" t="str">
        <f ca="1">IFERROR(_xludf.XLOOKUP(C98,STUDENTS!$A$5:$A$204,STUDENTS!$L$5:$L$204,""),"")</f>
        <v/>
      </c>
      <c r="F98" s="8"/>
      <c r="G98" s="10" t="str">
        <f>SETTINGS!$B$8</f>
        <v>2026/2027</v>
      </c>
      <c r="H98" s="10">
        <f t="shared" si="5"/>
        <v>0</v>
      </c>
      <c r="I98" s="10">
        <f t="shared" si="6"/>
        <v>0</v>
      </c>
      <c r="J98" s="13" t="str">
        <f t="shared" si="7"/>
        <v/>
      </c>
    </row>
    <row r="99" spans="1:10" x14ac:dyDescent="0.2">
      <c r="A99" s="10" t="str">
        <f t="shared" si="4"/>
        <v/>
      </c>
      <c r="B99" s="9"/>
      <c r="C99" s="8"/>
      <c r="D99" s="10" t="str">
        <f ca="1">IFERROR(_xludf.XLOOKUP(C99,STUDENTS!$A$5:$A$204,STUDENTS!$C$5:$C$204,""),"")</f>
        <v/>
      </c>
      <c r="E99" s="10" t="str">
        <f ca="1">IFERROR(_xludf.XLOOKUP(C99,STUDENTS!$A$5:$A$204,STUDENTS!$L$5:$L$204,""),"")</f>
        <v/>
      </c>
      <c r="F99" s="8"/>
      <c r="G99" s="10" t="str">
        <f>SETTINGS!$B$8</f>
        <v>2026/2027</v>
      </c>
      <c r="H99" s="10">
        <f t="shared" si="5"/>
        <v>0</v>
      </c>
      <c r="I99" s="10">
        <f t="shared" si="6"/>
        <v>0</v>
      </c>
      <c r="J99" s="13" t="str">
        <f t="shared" si="7"/>
        <v/>
      </c>
    </row>
    <row r="100" spans="1:10" x14ac:dyDescent="0.2">
      <c r="A100" s="10" t="str">
        <f t="shared" si="4"/>
        <v/>
      </c>
      <c r="B100" s="9"/>
      <c r="C100" s="8"/>
      <c r="D100" s="10" t="str">
        <f ca="1">IFERROR(_xludf.XLOOKUP(C100,STUDENTS!$A$5:$A$204,STUDENTS!$C$5:$C$204,""),"")</f>
        <v/>
      </c>
      <c r="E100" s="10" t="str">
        <f ca="1">IFERROR(_xludf.XLOOKUP(C100,STUDENTS!$A$5:$A$204,STUDENTS!$L$5:$L$204,""),"")</f>
        <v/>
      </c>
      <c r="F100" s="8"/>
      <c r="G100" s="10" t="str">
        <f>SETTINGS!$B$8</f>
        <v>2026/2027</v>
      </c>
      <c r="H100" s="10">
        <f t="shared" si="5"/>
        <v>0</v>
      </c>
      <c r="I100" s="10">
        <f t="shared" si="6"/>
        <v>0</v>
      </c>
      <c r="J100" s="13" t="str">
        <f t="shared" si="7"/>
        <v/>
      </c>
    </row>
    <row r="101" spans="1:10" x14ac:dyDescent="0.2">
      <c r="A101" s="10" t="str">
        <f t="shared" si="4"/>
        <v/>
      </c>
      <c r="B101" s="9"/>
      <c r="C101" s="8"/>
      <c r="D101" s="10" t="str">
        <f ca="1">IFERROR(_xludf.XLOOKUP(C101,STUDENTS!$A$5:$A$204,STUDENTS!$C$5:$C$204,""),"")</f>
        <v/>
      </c>
      <c r="E101" s="10" t="str">
        <f ca="1">IFERROR(_xludf.XLOOKUP(C101,STUDENTS!$A$5:$A$204,STUDENTS!$L$5:$L$204,""),"")</f>
        <v/>
      </c>
      <c r="F101" s="8"/>
      <c r="G101" s="10" t="str">
        <f>SETTINGS!$B$8</f>
        <v>2026/2027</v>
      </c>
      <c r="H101" s="10">
        <f t="shared" si="5"/>
        <v>0</v>
      </c>
      <c r="I101" s="10">
        <f t="shared" si="6"/>
        <v>0</v>
      </c>
      <c r="J101" s="13" t="str">
        <f t="shared" si="7"/>
        <v/>
      </c>
    </row>
    <row r="102" spans="1:10" x14ac:dyDescent="0.2">
      <c r="A102" s="10" t="str">
        <f t="shared" si="4"/>
        <v/>
      </c>
      <c r="B102" s="9"/>
      <c r="C102" s="8"/>
      <c r="D102" s="10" t="str">
        <f ca="1">IFERROR(_xludf.XLOOKUP(C102,STUDENTS!$A$5:$A$204,STUDENTS!$C$5:$C$204,""),"")</f>
        <v/>
      </c>
      <c r="E102" s="10" t="str">
        <f ca="1">IFERROR(_xludf.XLOOKUP(C102,STUDENTS!$A$5:$A$204,STUDENTS!$L$5:$L$204,""),"")</f>
        <v/>
      </c>
      <c r="F102" s="8"/>
      <c r="G102" s="10" t="str">
        <f>SETTINGS!$B$8</f>
        <v>2026/2027</v>
      </c>
      <c r="H102" s="10">
        <f t="shared" si="5"/>
        <v>0</v>
      </c>
      <c r="I102" s="10">
        <f t="shared" si="6"/>
        <v>0</v>
      </c>
      <c r="J102" s="13" t="str">
        <f t="shared" si="7"/>
        <v/>
      </c>
    </row>
    <row r="103" spans="1:10" x14ac:dyDescent="0.2">
      <c r="A103" s="10" t="str">
        <f t="shared" si="4"/>
        <v/>
      </c>
      <c r="B103" s="9"/>
      <c r="C103" s="8"/>
      <c r="D103" s="10" t="str">
        <f ca="1">IFERROR(_xludf.XLOOKUP(C103,STUDENTS!$A$5:$A$204,STUDENTS!$C$5:$C$204,""),"")</f>
        <v/>
      </c>
      <c r="E103" s="10" t="str">
        <f ca="1">IFERROR(_xludf.XLOOKUP(C103,STUDENTS!$A$5:$A$204,STUDENTS!$L$5:$L$204,""),"")</f>
        <v/>
      </c>
      <c r="F103" s="8"/>
      <c r="G103" s="10" t="str">
        <f>SETTINGS!$B$8</f>
        <v>2026/2027</v>
      </c>
      <c r="H103" s="10">
        <f t="shared" si="5"/>
        <v>0</v>
      </c>
      <c r="I103" s="10">
        <f t="shared" si="6"/>
        <v>0</v>
      </c>
      <c r="J103" s="13" t="str">
        <f t="shared" si="7"/>
        <v/>
      </c>
    </row>
    <row r="104" spans="1:10" x14ac:dyDescent="0.2">
      <c r="A104" s="10" t="str">
        <f t="shared" si="4"/>
        <v/>
      </c>
      <c r="B104" s="9"/>
      <c r="C104" s="8"/>
      <c r="D104" s="10" t="str">
        <f ca="1">IFERROR(_xludf.XLOOKUP(C104,STUDENTS!$A$5:$A$204,STUDENTS!$C$5:$C$204,""),"")</f>
        <v/>
      </c>
      <c r="E104" s="10" t="str">
        <f ca="1">IFERROR(_xludf.XLOOKUP(C104,STUDENTS!$A$5:$A$204,STUDENTS!$L$5:$L$204,""),"")</f>
        <v/>
      </c>
      <c r="F104" s="8"/>
      <c r="G104" s="10" t="str">
        <f>SETTINGS!$B$8</f>
        <v>2026/2027</v>
      </c>
      <c r="H104" s="10">
        <f t="shared" si="5"/>
        <v>0</v>
      </c>
      <c r="I104" s="10">
        <f t="shared" si="6"/>
        <v>0</v>
      </c>
      <c r="J104" s="13" t="str">
        <f t="shared" si="7"/>
        <v/>
      </c>
    </row>
    <row r="105" spans="1:10" x14ac:dyDescent="0.2">
      <c r="A105" s="10" t="str">
        <f t="shared" si="4"/>
        <v/>
      </c>
      <c r="B105" s="9"/>
      <c r="C105" s="8"/>
      <c r="D105" s="10" t="str">
        <f ca="1">IFERROR(_xludf.XLOOKUP(C105,STUDENTS!$A$5:$A$204,STUDENTS!$C$5:$C$204,""),"")</f>
        <v/>
      </c>
      <c r="E105" s="10" t="str">
        <f ca="1">IFERROR(_xludf.XLOOKUP(C105,STUDENTS!$A$5:$A$204,STUDENTS!$L$5:$L$204,""),"")</f>
        <v/>
      </c>
      <c r="F105" s="8"/>
      <c r="G105" s="10" t="str">
        <f>SETTINGS!$B$8</f>
        <v>2026/2027</v>
      </c>
      <c r="H105" s="10">
        <f t="shared" si="5"/>
        <v>0</v>
      </c>
      <c r="I105" s="10">
        <f t="shared" si="6"/>
        <v>0</v>
      </c>
      <c r="J105" s="13" t="str">
        <f t="shared" si="7"/>
        <v/>
      </c>
    </row>
    <row r="106" spans="1:10" x14ac:dyDescent="0.2">
      <c r="A106" s="10" t="str">
        <f t="shared" si="4"/>
        <v/>
      </c>
      <c r="B106" s="9"/>
      <c r="C106" s="8"/>
      <c r="D106" s="10" t="str">
        <f ca="1">IFERROR(_xludf.XLOOKUP(C106,STUDENTS!$A$5:$A$204,STUDENTS!$C$5:$C$204,""),"")</f>
        <v/>
      </c>
      <c r="E106" s="10" t="str">
        <f ca="1">IFERROR(_xludf.XLOOKUP(C106,STUDENTS!$A$5:$A$204,STUDENTS!$L$5:$L$204,""),"")</f>
        <v/>
      </c>
      <c r="F106" s="8"/>
      <c r="G106" s="10" t="str">
        <f>SETTINGS!$B$8</f>
        <v>2026/2027</v>
      </c>
      <c r="H106" s="10">
        <f t="shared" si="5"/>
        <v>0</v>
      </c>
      <c r="I106" s="10">
        <f t="shared" si="6"/>
        <v>0</v>
      </c>
      <c r="J106" s="13" t="str">
        <f t="shared" si="7"/>
        <v/>
      </c>
    </row>
    <row r="107" spans="1:10" x14ac:dyDescent="0.2">
      <c r="A107" s="10" t="str">
        <f t="shared" si="4"/>
        <v/>
      </c>
      <c r="B107" s="9"/>
      <c r="C107" s="8"/>
      <c r="D107" s="10" t="str">
        <f ca="1">IFERROR(_xludf.XLOOKUP(C107,STUDENTS!$A$5:$A$204,STUDENTS!$C$5:$C$204,""),"")</f>
        <v/>
      </c>
      <c r="E107" s="10" t="str">
        <f ca="1">IFERROR(_xludf.XLOOKUP(C107,STUDENTS!$A$5:$A$204,STUDENTS!$L$5:$L$204,""),"")</f>
        <v/>
      </c>
      <c r="F107" s="8"/>
      <c r="G107" s="10" t="str">
        <f>SETTINGS!$B$8</f>
        <v>2026/2027</v>
      </c>
      <c r="H107" s="10">
        <f t="shared" si="5"/>
        <v>0</v>
      </c>
      <c r="I107" s="10">
        <f t="shared" si="6"/>
        <v>0</v>
      </c>
      <c r="J107" s="13" t="str">
        <f t="shared" si="7"/>
        <v/>
      </c>
    </row>
    <row r="108" spans="1:10" x14ac:dyDescent="0.2">
      <c r="A108" s="10" t="str">
        <f t="shared" si="4"/>
        <v/>
      </c>
      <c r="B108" s="9"/>
      <c r="C108" s="8"/>
      <c r="D108" s="10" t="str">
        <f ca="1">IFERROR(_xludf.XLOOKUP(C108,STUDENTS!$A$5:$A$204,STUDENTS!$C$5:$C$204,""),"")</f>
        <v/>
      </c>
      <c r="E108" s="10" t="str">
        <f ca="1">IFERROR(_xludf.XLOOKUP(C108,STUDENTS!$A$5:$A$204,STUDENTS!$L$5:$L$204,""),"")</f>
        <v/>
      </c>
      <c r="F108" s="8"/>
      <c r="G108" s="10" t="str">
        <f>SETTINGS!$B$8</f>
        <v>2026/2027</v>
      </c>
      <c r="H108" s="10">
        <f t="shared" si="5"/>
        <v>0</v>
      </c>
      <c r="I108" s="10">
        <f t="shared" si="6"/>
        <v>0</v>
      </c>
      <c r="J108" s="13" t="str">
        <f t="shared" si="7"/>
        <v/>
      </c>
    </row>
    <row r="109" spans="1:10" x14ac:dyDescent="0.2">
      <c r="A109" s="10" t="str">
        <f t="shared" si="4"/>
        <v/>
      </c>
      <c r="B109" s="9"/>
      <c r="C109" s="8"/>
      <c r="D109" s="10" t="str">
        <f ca="1">IFERROR(_xludf.XLOOKUP(C109,STUDENTS!$A$5:$A$204,STUDENTS!$C$5:$C$204,""),"")</f>
        <v/>
      </c>
      <c r="E109" s="10" t="str">
        <f ca="1">IFERROR(_xludf.XLOOKUP(C109,STUDENTS!$A$5:$A$204,STUDENTS!$L$5:$L$204,""),"")</f>
        <v/>
      </c>
      <c r="F109" s="8"/>
      <c r="G109" s="10" t="str">
        <f>SETTINGS!$B$8</f>
        <v>2026/2027</v>
      </c>
      <c r="H109" s="10">
        <f t="shared" si="5"/>
        <v>0</v>
      </c>
      <c r="I109" s="10">
        <f t="shared" si="6"/>
        <v>0</v>
      </c>
      <c r="J109" s="13" t="str">
        <f t="shared" si="7"/>
        <v/>
      </c>
    </row>
    <row r="110" spans="1:10" x14ac:dyDescent="0.2">
      <c r="A110" s="10" t="str">
        <f t="shared" si="4"/>
        <v/>
      </c>
      <c r="B110" s="9"/>
      <c r="C110" s="8"/>
      <c r="D110" s="10" t="str">
        <f ca="1">IFERROR(_xludf.XLOOKUP(C110,STUDENTS!$A$5:$A$204,STUDENTS!$C$5:$C$204,""),"")</f>
        <v/>
      </c>
      <c r="E110" s="10" t="str">
        <f ca="1">IFERROR(_xludf.XLOOKUP(C110,STUDENTS!$A$5:$A$204,STUDENTS!$L$5:$L$204,""),"")</f>
        <v/>
      </c>
      <c r="F110" s="8"/>
      <c r="G110" s="10" t="str">
        <f>SETTINGS!$B$8</f>
        <v>2026/2027</v>
      </c>
      <c r="H110" s="10">
        <f t="shared" si="5"/>
        <v>0</v>
      </c>
      <c r="I110" s="10">
        <f t="shared" si="6"/>
        <v>0</v>
      </c>
      <c r="J110" s="13" t="str">
        <f t="shared" si="7"/>
        <v/>
      </c>
    </row>
    <row r="111" spans="1:10" x14ac:dyDescent="0.2">
      <c r="A111" s="10" t="str">
        <f t="shared" si="4"/>
        <v/>
      </c>
      <c r="B111" s="9"/>
      <c r="C111" s="8"/>
      <c r="D111" s="10" t="str">
        <f ca="1">IFERROR(_xludf.XLOOKUP(C111,STUDENTS!$A$5:$A$204,STUDENTS!$C$5:$C$204,""),"")</f>
        <v/>
      </c>
      <c r="E111" s="10" t="str">
        <f ca="1">IFERROR(_xludf.XLOOKUP(C111,STUDENTS!$A$5:$A$204,STUDENTS!$L$5:$L$204,""),"")</f>
        <v/>
      </c>
      <c r="F111" s="8"/>
      <c r="G111" s="10" t="str">
        <f>SETTINGS!$B$8</f>
        <v>2026/2027</v>
      </c>
      <c r="H111" s="10">
        <f t="shared" si="5"/>
        <v>0</v>
      </c>
      <c r="I111" s="10">
        <f t="shared" si="6"/>
        <v>0</v>
      </c>
      <c r="J111" s="13" t="str">
        <f t="shared" si="7"/>
        <v/>
      </c>
    </row>
    <row r="112" spans="1:10" x14ac:dyDescent="0.2">
      <c r="A112" s="10" t="str">
        <f t="shared" si="4"/>
        <v/>
      </c>
      <c r="B112" s="9"/>
      <c r="C112" s="8"/>
      <c r="D112" s="10" t="str">
        <f ca="1">IFERROR(_xludf.XLOOKUP(C112,STUDENTS!$A$5:$A$204,STUDENTS!$C$5:$C$204,""),"")</f>
        <v/>
      </c>
      <c r="E112" s="10" t="str">
        <f ca="1">IFERROR(_xludf.XLOOKUP(C112,STUDENTS!$A$5:$A$204,STUDENTS!$L$5:$L$204,""),"")</f>
        <v/>
      </c>
      <c r="F112" s="8"/>
      <c r="G112" s="10" t="str">
        <f>SETTINGS!$B$8</f>
        <v>2026/2027</v>
      </c>
      <c r="H112" s="10">
        <f t="shared" si="5"/>
        <v>0</v>
      </c>
      <c r="I112" s="10">
        <f t="shared" si="6"/>
        <v>0</v>
      </c>
      <c r="J112" s="13" t="str">
        <f t="shared" si="7"/>
        <v/>
      </c>
    </row>
    <row r="113" spans="1:10" x14ac:dyDescent="0.2">
      <c r="A113" s="10" t="str">
        <f t="shared" si="4"/>
        <v/>
      </c>
      <c r="B113" s="9"/>
      <c r="C113" s="8"/>
      <c r="D113" s="10" t="str">
        <f ca="1">IFERROR(_xludf.XLOOKUP(C113,STUDENTS!$A$5:$A$204,STUDENTS!$C$5:$C$204,""),"")</f>
        <v/>
      </c>
      <c r="E113" s="10" t="str">
        <f ca="1">IFERROR(_xludf.XLOOKUP(C113,STUDENTS!$A$5:$A$204,STUDENTS!$L$5:$L$204,""),"")</f>
        <v/>
      </c>
      <c r="F113" s="8"/>
      <c r="G113" s="10" t="str">
        <f>SETTINGS!$B$8</f>
        <v>2026/2027</v>
      </c>
      <c r="H113" s="10">
        <f t="shared" si="5"/>
        <v>0</v>
      </c>
      <c r="I113" s="10">
        <f t="shared" si="6"/>
        <v>0</v>
      </c>
      <c r="J113" s="13" t="str">
        <f t="shared" si="7"/>
        <v/>
      </c>
    </row>
    <row r="114" spans="1:10" x14ac:dyDescent="0.2">
      <c r="A114" s="10" t="str">
        <f t="shared" si="4"/>
        <v/>
      </c>
      <c r="B114" s="9"/>
      <c r="C114" s="8"/>
      <c r="D114" s="10" t="str">
        <f ca="1">IFERROR(_xludf.XLOOKUP(C114,STUDENTS!$A$5:$A$204,STUDENTS!$C$5:$C$204,""),"")</f>
        <v/>
      </c>
      <c r="E114" s="10" t="str">
        <f ca="1">IFERROR(_xludf.XLOOKUP(C114,STUDENTS!$A$5:$A$204,STUDENTS!$L$5:$L$204,""),"")</f>
        <v/>
      </c>
      <c r="F114" s="8"/>
      <c r="G114" s="10" t="str">
        <f>SETTINGS!$B$8</f>
        <v>2026/2027</v>
      </c>
      <c r="H114" s="10">
        <f t="shared" si="5"/>
        <v>0</v>
      </c>
      <c r="I114" s="10">
        <f t="shared" si="6"/>
        <v>0</v>
      </c>
      <c r="J114" s="13" t="str">
        <f t="shared" si="7"/>
        <v/>
      </c>
    </row>
    <row r="115" spans="1:10" x14ac:dyDescent="0.2">
      <c r="A115" s="10" t="str">
        <f t="shared" si="4"/>
        <v/>
      </c>
      <c r="B115" s="9"/>
      <c r="C115" s="8"/>
      <c r="D115" s="10" t="str">
        <f ca="1">IFERROR(_xludf.XLOOKUP(C115,STUDENTS!$A$5:$A$204,STUDENTS!$C$5:$C$204,""),"")</f>
        <v/>
      </c>
      <c r="E115" s="10" t="str">
        <f ca="1">IFERROR(_xludf.XLOOKUP(C115,STUDENTS!$A$5:$A$204,STUDENTS!$L$5:$L$204,""),"")</f>
        <v/>
      </c>
      <c r="F115" s="8"/>
      <c r="G115" s="10" t="str">
        <f>SETTINGS!$B$8</f>
        <v>2026/2027</v>
      </c>
      <c r="H115" s="10">
        <f t="shared" si="5"/>
        <v>0</v>
      </c>
      <c r="I115" s="10">
        <f t="shared" si="6"/>
        <v>0</v>
      </c>
      <c r="J115" s="13" t="str">
        <f t="shared" si="7"/>
        <v/>
      </c>
    </row>
    <row r="116" spans="1:10" x14ac:dyDescent="0.2">
      <c r="A116" s="10" t="str">
        <f t="shared" si="4"/>
        <v/>
      </c>
      <c r="B116" s="9"/>
      <c r="C116" s="8"/>
      <c r="D116" s="10" t="str">
        <f ca="1">IFERROR(_xludf.XLOOKUP(C116,STUDENTS!$A$5:$A$204,STUDENTS!$C$5:$C$204,""),"")</f>
        <v/>
      </c>
      <c r="E116" s="10" t="str">
        <f ca="1">IFERROR(_xludf.XLOOKUP(C116,STUDENTS!$A$5:$A$204,STUDENTS!$L$5:$L$204,""),"")</f>
        <v/>
      </c>
      <c r="F116" s="8"/>
      <c r="G116" s="10" t="str">
        <f>SETTINGS!$B$8</f>
        <v>2026/2027</v>
      </c>
      <c r="H116" s="10">
        <f t="shared" si="5"/>
        <v>0</v>
      </c>
      <c r="I116" s="10">
        <f t="shared" si="6"/>
        <v>0</v>
      </c>
      <c r="J116" s="13" t="str">
        <f t="shared" si="7"/>
        <v/>
      </c>
    </row>
    <row r="117" spans="1:10" x14ac:dyDescent="0.2">
      <c r="A117" s="10" t="str">
        <f t="shared" si="4"/>
        <v/>
      </c>
      <c r="B117" s="9"/>
      <c r="C117" s="8"/>
      <c r="D117" s="10" t="str">
        <f ca="1">IFERROR(_xludf.XLOOKUP(C117,STUDENTS!$A$5:$A$204,STUDENTS!$C$5:$C$204,""),"")</f>
        <v/>
      </c>
      <c r="E117" s="10" t="str">
        <f ca="1">IFERROR(_xludf.XLOOKUP(C117,STUDENTS!$A$5:$A$204,STUDENTS!$L$5:$L$204,""),"")</f>
        <v/>
      </c>
      <c r="F117" s="8"/>
      <c r="G117" s="10" t="str">
        <f>SETTINGS!$B$8</f>
        <v>2026/2027</v>
      </c>
      <c r="H117" s="10">
        <f t="shared" si="5"/>
        <v>0</v>
      </c>
      <c r="I117" s="10">
        <f t="shared" si="6"/>
        <v>0</v>
      </c>
      <c r="J117" s="13" t="str">
        <f t="shared" si="7"/>
        <v/>
      </c>
    </row>
    <row r="118" spans="1:10" x14ac:dyDescent="0.2">
      <c r="A118" s="10" t="str">
        <f t="shared" si="4"/>
        <v/>
      </c>
      <c r="B118" s="9"/>
      <c r="C118" s="8"/>
      <c r="D118" s="10" t="str">
        <f ca="1">IFERROR(_xludf.XLOOKUP(C118,STUDENTS!$A$5:$A$204,STUDENTS!$C$5:$C$204,""),"")</f>
        <v/>
      </c>
      <c r="E118" s="10" t="str">
        <f ca="1">IFERROR(_xludf.XLOOKUP(C118,STUDENTS!$A$5:$A$204,STUDENTS!$L$5:$L$204,""),"")</f>
        <v/>
      </c>
      <c r="F118" s="8"/>
      <c r="G118" s="10" t="str">
        <f>SETTINGS!$B$8</f>
        <v>2026/2027</v>
      </c>
      <c r="H118" s="10">
        <f t="shared" si="5"/>
        <v>0</v>
      </c>
      <c r="I118" s="10">
        <f t="shared" si="6"/>
        <v>0</v>
      </c>
      <c r="J118" s="13" t="str">
        <f t="shared" si="7"/>
        <v/>
      </c>
    </row>
    <row r="119" spans="1:10" x14ac:dyDescent="0.2">
      <c r="A119" s="10" t="str">
        <f t="shared" si="4"/>
        <v/>
      </c>
      <c r="B119" s="9"/>
      <c r="C119" s="8"/>
      <c r="D119" s="10" t="str">
        <f ca="1">IFERROR(_xludf.XLOOKUP(C119,STUDENTS!$A$5:$A$204,STUDENTS!$C$5:$C$204,""),"")</f>
        <v/>
      </c>
      <c r="E119" s="10" t="str">
        <f ca="1">IFERROR(_xludf.XLOOKUP(C119,STUDENTS!$A$5:$A$204,STUDENTS!$L$5:$L$204,""),"")</f>
        <v/>
      </c>
      <c r="F119" s="8"/>
      <c r="G119" s="10" t="str">
        <f>SETTINGS!$B$8</f>
        <v>2026/2027</v>
      </c>
      <c r="H119" s="10">
        <f t="shared" si="5"/>
        <v>0</v>
      </c>
      <c r="I119" s="10">
        <f t="shared" si="6"/>
        <v>0</v>
      </c>
      <c r="J119" s="13" t="str">
        <f t="shared" si="7"/>
        <v/>
      </c>
    </row>
    <row r="120" spans="1:10" x14ac:dyDescent="0.2">
      <c r="A120" s="10" t="str">
        <f t="shared" si="4"/>
        <v/>
      </c>
      <c r="B120" s="9"/>
      <c r="C120" s="8"/>
      <c r="D120" s="10" t="str">
        <f ca="1">IFERROR(_xludf.XLOOKUP(C120,STUDENTS!$A$5:$A$204,STUDENTS!$C$5:$C$204,""),"")</f>
        <v/>
      </c>
      <c r="E120" s="10" t="str">
        <f ca="1">IFERROR(_xludf.XLOOKUP(C120,STUDENTS!$A$5:$A$204,STUDENTS!$L$5:$L$204,""),"")</f>
        <v/>
      </c>
      <c r="F120" s="8"/>
      <c r="G120" s="10" t="str">
        <f>SETTINGS!$B$8</f>
        <v>2026/2027</v>
      </c>
      <c r="H120" s="10">
        <f t="shared" si="5"/>
        <v>0</v>
      </c>
      <c r="I120" s="10">
        <f t="shared" si="6"/>
        <v>0</v>
      </c>
      <c r="J120" s="13" t="str">
        <f t="shared" si="7"/>
        <v/>
      </c>
    </row>
    <row r="121" spans="1:10" x14ac:dyDescent="0.2">
      <c r="A121" s="10" t="str">
        <f t="shared" si="4"/>
        <v/>
      </c>
      <c r="B121" s="9"/>
      <c r="C121" s="8"/>
      <c r="D121" s="10" t="str">
        <f ca="1">IFERROR(_xludf.XLOOKUP(C121,STUDENTS!$A$5:$A$204,STUDENTS!$C$5:$C$204,""),"")</f>
        <v/>
      </c>
      <c r="E121" s="10" t="str">
        <f ca="1">IFERROR(_xludf.XLOOKUP(C121,STUDENTS!$A$5:$A$204,STUDENTS!$L$5:$L$204,""),"")</f>
        <v/>
      </c>
      <c r="F121" s="8"/>
      <c r="G121" s="10" t="str">
        <f>SETTINGS!$B$8</f>
        <v>2026/2027</v>
      </c>
      <c r="H121" s="10">
        <f t="shared" si="5"/>
        <v>0</v>
      </c>
      <c r="I121" s="10">
        <f t="shared" si="6"/>
        <v>0</v>
      </c>
      <c r="J121" s="13" t="str">
        <f t="shared" si="7"/>
        <v/>
      </c>
    </row>
    <row r="122" spans="1:10" x14ac:dyDescent="0.2">
      <c r="A122" s="10" t="str">
        <f t="shared" si="4"/>
        <v/>
      </c>
      <c r="B122" s="9"/>
      <c r="C122" s="8"/>
      <c r="D122" s="10" t="str">
        <f ca="1">IFERROR(_xludf.XLOOKUP(C122,STUDENTS!$A$5:$A$204,STUDENTS!$C$5:$C$204,""),"")</f>
        <v/>
      </c>
      <c r="E122" s="10" t="str">
        <f ca="1">IFERROR(_xludf.XLOOKUP(C122,STUDENTS!$A$5:$A$204,STUDENTS!$L$5:$L$204,""),"")</f>
        <v/>
      </c>
      <c r="F122" s="8"/>
      <c r="G122" s="10" t="str">
        <f>SETTINGS!$B$8</f>
        <v>2026/2027</v>
      </c>
      <c r="H122" s="10">
        <f t="shared" si="5"/>
        <v>0</v>
      </c>
      <c r="I122" s="10">
        <f t="shared" si="6"/>
        <v>0</v>
      </c>
      <c r="J122" s="13" t="str">
        <f t="shared" si="7"/>
        <v/>
      </c>
    </row>
    <row r="123" spans="1:10" x14ac:dyDescent="0.2">
      <c r="A123" s="10" t="str">
        <f t="shared" si="4"/>
        <v/>
      </c>
      <c r="B123" s="9"/>
      <c r="C123" s="8"/>
      <c r="D123" s="10" t="str">
        <f ca="1">IFERROR(_xludf.XLOOKUP(C123,STUDENTS!$A$5:$A$204,STUDENTS!$C$5:$C$204,""),"")</f>
        <v/>
      </c>
      <c r="E123" s="10" t="str">
        <f ca="1">IFERROR(_xludf.XLOOKUP(C123,STUDENTS!$A$5:$A$204,STUDENTS!$L$5:$L$204,""),"")</f>
        <v/>
      </c>
      <c r="F123" s="8"/>
      <c r="G123" s="10" t="str">
        <f>SETTINGS!$B$8</f>
        <v>2026/2027</v>
      </c>
      <c r="H123" s="10">
        <f t="shared" si="5"/>
        <v>0</v>
      </c>
      <c r="I123" s="10">
        <f t="shared" si="6"/>
        <v>0</v>
      </c>
      <c r="J123" s="13" t="str">
        <f t="shared" si="7"/>
        <v/>
      </c>
    </row>
    <row r="124" spans="1:10" x14ac:dyDescent="0.2">
      <c r="A124" s="10" t="str">
        <f t="shared" si="4"/>
        <v/>
      </c>
      <c r="B124" s="9"/>
      <c r="C124" s="8"/>
      <c r="D124" s="10" t="str">
        <f ca="1">IFERROR(_xludf.XLOOKUP(C124,STUDENTS!$A$5:$A$204,STUDENTS!$C$5:$C$204,""),"")</f>
        <v/>
      </c>
      <c r="E124" s="10" t="str">
        <f ca="1">IFERROR(_xludf.XLOOKUP(C124,STUDENTS!$A$5:$A$204,STUDENTS!$L$5:$L$204,""),"")</f>
        <v/>
      </c>
      <c r="F124" s="8"/>
      <c r="G124" s="10" t="str">
        <f>SETTINGS!$B$8</f>
        <v>2026/2027</v>
      </c>
      <c r="H124" s="10">
        <f t="shared" si="5"/>
        <v>0</v>
      </c>
      <c r="I124" s="10">
        <f t="shared" si="6"/>
        <v>0</v>
      </c>
      <c r="J124" s="13" t="str">
        <f t="shared" si="7"/>
        <v/>
      </c>
    </row>
    <row r="125" spans="1:10" x14ac:dyDescent="0.2">
      <c r="A125" s="10" t="str">
        <f t="shared" si="4"/>
        <v/>
      </c>
      <c r="B125" s="9"/>
      <c r="C125" s="8"/>
      <c r="D125" s="10" t="str">
        <f ca="1">IFERROR(_xludf.XLOOKUP(C125,STUDENTS!$A$5:$A$204,STUDENTS!$C$5:$C$204,""),"")</f>
        <v/>
      </c>
      <c r="E125" s="10" t="str">
        <f ca="1">IFERROR(_xludf.XLOOKUP(C125,STUDENTS!$A$5:$A$204,STUDENTS!$L$5:$L$204,""),"")</f>
        <v/>
      </c>
      <c r="F125" s="8"/>
      <c r="G125" s="10" t="str">
        <f>SETTINGS!$B$8</f>
        <v>2026/2027</v>
      </c>
      <c r="H125" s="10">
        <f t="shared" si="5"/>
        <v>0</v>
      </c>
      <c r="I125" s="10">
        <f t="shared" si="6"/>
        <v>0</v>
      </c>
      <c r="J125" s="13" t="str">
        <f t="shared" si="7"/>
        <v/>
      </c>
    </row>
    <row r="126" spans="1:10" x14ac:dyDescent="0.2">
      <c r="A126" s="10" t="str">
        <f t="shared" si="4"/>
        <v/>
      </c>
      <c r="B126" s="9"/>
      <c r="C126" s="8"/>
      <c r="D126" s="10" t="str">
        <f ca="1">IFERROR(_xludf.XLOOKUP(C126,STUDENTS!$A$5:$A$204,STUDENTS!$C$5:$C$204,""),"")</f>
        <v/>
      </c>
      <c r="E126" s="10" t="str">
        <f ca="1">IFERROR(_xludf.XLOOKUP(C126,STUDENTS!$A$5:$A$204,STUDENTS!$L$5:$L$204,""),"")</f>
        <v/>
      </c>
      <c r="F126" s="8"/>
      <c r="G126" s="10" t="str">
        <f>SETTINGS!$B$8</f>
        <v>2026/2027</v>
      </c>
      <c r="H126" s="10">
        <f t="shared" si="5"/>
        <v>0</v>
      </c>
      <c r="I126" s="10">
        <f t="shared" si="6"/>
        <v>0</v>
      </c>
      <c r="J126" s="13" t="str">
        <f t="shared" si="7"/>
        <v/>
      </c>
    </row>
    <row r="127" spans="1:10" x14ac:dyDescent="0.2">
      <c r="A127" s="10" t="str">
        <f t="shared" si="4"/>
        <v/>
      </c>
      <c r="B127" s="9"/>
      <c r="C127" s="8"/>
      <c r="D127" s="10" t="str">
        <f ca="1">IFERROR(_xludf.XLOOKUP(C127,STUDENTS!$A$5:$A$204,STUDENTS!$C$5:$C$204,""),"")</f>
        <v/>
      </c>
      <c r="E127" s="10" t="str">
        <f ca="1">IFERROR(_xludf.XLOOKUP(C127,STUDENTS!$A$5:$A$204,STUDENTS!$L$5:$L$204,""),"")</f>
        <v/>
      </c>
      <c r="F127" s="8"/>
      <c r="G127" s="10" t="str">
        <f>SETTINGS!$B$8</f>
        <v>2026/2027</v>
      </c>
      <c r="H127" s="10">
        <f t="shared" si="5"/>
        <v>0</v>
      </c>
      <c r="I127" s="10">
        <f t="shared" si="6"/>
        <v>0</v>
      </c>
      <c r="J127" s="13" t="str">
        <f t="shared" si="7"/>
        <v/>
      </c>
    </row>
    <row r="128" spans="1:10" x14ac:dyDescent="0.2">
      <c r="A128" s="10" t="str">
        <f t="shared" si="4"/>
        <v/>
      </c>
      <c r="B128" s="9"/>
      <c r="C128" s="8"/>
      <c r="D128" s="10" t="str">
        <f ca="1">IFERROR(_xludf.XLOOKUP(C128,STUDENTS!$A$5:$A$204,STUDENTS!$C$5:$C$204,""),"")</f>
        <v/>
      </c>
      <c r="E128" s="10" t="str">
        <f ca="1">IFERROR(_xludf.XLOOKUP(C128,STUDENTS!$A$5:$A$204,STUDENTS!$L$5:$L$204,""),"")</f>
        <v/>
      </c>
      <c r="F128" s="8"/>
      <c r="G128" s="10" t="str">
        <f>SETTINGS!$B$8</f>
        <v>2026/2027</v>
      </c>
      <c r="H128" s="10">
        <f t="shared" si="5"/>
        <v>0</v>
      </c>
      <c r="I128" s="10">
        <f t="shared" si="6"/>
        <v>0</v>
      </c>
      <c r="J128" s="13" t="str">
        <f t="shared" si="7"/>
        <v/>
      </c>
    </row>
    <row r="129" spans="1:10" x14ac:dyDescent="0.2">
      <c r="A129" s="10" t="str">
        <f t="shared" si="4"/>
        <v/>
      </c>
      <c r="B129" s="9"/>
      <c r="C129" s="8"/>
      <c r="D129" s="10" t="str">
        <f ca="1">IFERROR(_xludf.XLOOKUP(C129,STUDENTS!$A$5:$A$204,STUDENTS!$C$5:$C$204,""),"")</f>
        <v/>
      </c>
      <c r="E129" s="10" t="str">
        <f ca="1">IFERROR(_xludf.XLOOKUP(C129,STUDENTS!$A$5:$A$204,STUDENTS!$L$5:$L$204,""),"")</f>
        <v/>
      </c>
      <c r="F129" s="8"/>
      <c r="G129" s="10" t="str">
        <f>SETTINGS!$B$8</f>
        <v>2026/2027</v>
      </c>
      <c r="H129" s="10">
        <f t="shared" si="5"/>
        <v>0</v>
      </c>
      <c r="I129" s="10">
        <f t="shared" si="6"/>
        <v>0</v>
      </c>
      <c r="J129" s="13" t="str">
        <f t="shared" si="7"/>
        <v/>
      </c>
    </row>
    <row r="130" spans="1:10" x14ac:dyDescent="0.2">
      <c r="A130" s="10" t="str">
        <f t="shared" si="4"/>
        <v/>
      </c>
      <c r="B130" s="9"/>
      <c r="C130" s="8"/>
      <c r="D130" s="10" t="str">
        <f ca="1">IFERROR(_xludf.XLOOKUP(C130,STUDENTS!$A$5:$A$204,STUDENTS!$C$5:$C$204,""),"")</f>
        <v/>
      </c>
      <c r="E130" s="10" t="str">
        <f ca="1">IFERROR(_xludf.XLOOKUP(C130,STUDENTS!$A$5:$A$204,STUDENTS!$L$5:$L$204,""),"")</f>
        <v/>
      </c>
      <c r="F130" s="8"/>
      <c r="G130" s="10" t="str">
        <f>SETTINGS!$B$8</f>
        <v>2026/2027</v>
      </c>
      <c r="H130" s="10">
        <f t="shared" si="5"/>
        <v>0</v>
      </c>
      <c r="I130" s="10">
        <f t="shared" si="6"/>
        <v>0</v>
      </c>
      <c r="J130" s="13" t="str">
        <f t="shared" si="7"/>
        <v/>
      </c>
    </row>
    <row r="131" spans="1:10" x14ac:dyDescent="0.2">
      <c r="A131" s="10" t="str">
        <f t="shared" si="4"/>
        <v/>
      </c>
      <c r="B131" s="9"/>
      <c r="C131" s="8"/>
      <c r="D131" s="10" t="str">
        <f ca="1">IFERROR(_xludf.XLOOKUP(C131,STUDENTS!$A$5:$A$204,STUDENTS!$C$5:$C$204,""),"")</f>
        <v/>
      </c>
      <c r="E131" s="10" t="str">
        <f ca="1">IFERROR(_xludf.XLOOKUP(C131,STUDENTS!$A$5:$A$204,STUDENTS!$L$5:$L$204,""),"")</f>
        <v/>
      </c>
      <c r="F131" s="8"/>
      <c r="G131" s="10" t="str">
        <f>SETTINGS!$B$8</f>
        <v>2026/2027</v>
      </c>
      <c r="H131" s="10">
        <f t="shared" si="5"/>
        <v>0</v>
      </c>
      <c r="I131" s="10">
        <f t="shared" si="6"/>
        <v>0</v>
      </c>
      <c r="J131" s="13" t="str">
        <f t="shared" si="7"/>
        <v/>
      </c>
    </row>
    <row r="132" spans="1:10" x14ac:dyDescent="0.2">
      <c r="A132" s="10" t="str">
        <f t="shared" si="4"/>
        <v/>
      </c>
      <c r="B132" s="9"/>
      <c r="C132" s="8"/>
      <c r="D132" s="10" t="str">
        <f ca="1">IFERROR(_xludf.XLOOKUP(C132,STUDENTS!$A$5:$A$204,STUDENTS!$C$5:$C$204,""),"")</f>
        <v/>
      </c>
      <c r="E132" s="10" t="str">
        <f ca="1">IFERROR(_xludf.XLOOKUP(C132,STUDENTS!$A$5:$A$204,STUDENTS!$L$5:$L$204,""),"")</f>
        <v/>
      </c>
      <c r="F132" s="8"/>
      <c r="G132" s="10" t="str">
        <f>SETTINGS!$B$8</f>
        <v>2026/2027</v>
      </c>
      <c r="H132" s="10">
        <f t="shared" si="5"/>
        <v>0</v>
      </c>
      <c r="I132" s="10">
        <f t="shared" si="6"/>
        <v>0</v>
      </c>
      <c r="J132" s="13" t="str">
        <f t="shared" si="7"/>
        <v/>
      </c>
    </row>
    <row r="133" spans="1:10" x14ac:dyDescent="0.2">
      <c r="A133" s="10" t="str">
        <f t="shared" ref="A133:A196" si="8">IF(C133="","","AT-"&amp;TEXT(ROW()-4,"00000"))</f>
        <v/>
      </c>
      <c r="B133" s="9"/>
      <c r="C133" s="8"/>
      <c r="D133" s="10" t="str">
        <f ca="1">IFERROR(_xludf.XLOOKUP(C133,STUDENTS!$A$5:$A$204,STUDENTS!$C$5:$C$204,""),"")</f>
        <v/>
      </c>
      <c r="E133" s="10" t="str">
        <f ca="1">IFERROR(_xludf.XLOOKUP(C133,STUDENTS!$A$5:$A$204,STUDENTS!$L$5:$L$204,""),"")</f>
        <v/>
      </c>
      <c r="F133" s="8"/>
      <c r="G133" s="10" t="str">
        <f>SETTINGS!$B$8</f>
        <v>2026/2027</v>
      </c>
      <c r="H133" s="10">
        <f t="shared" ref="H133:H196" si="9">IF(F133="Present",1,0)</f>
        <v>0</v>
      </c>
      <c r="I133" s="10">
        <f t="shared" ref="I133:I196" si="10">IF(F133="Absent",1,0)</f>
        <v>0</v>
      </c>
      <c r="J133" s="13" t="str">
        <f t="shared" ref="J133:J196" si="11">IF(OR(H133="",I133=""),"",IF(H133+I133=0,"",H133/(H133+I133)))</f>
        <v/>
      </c>
    </row>
    <row r="134" spans="1:10" x14ac:dyDescent="0.2">
      <c r="A134" s="10" t="str">
        <f t="shared" si="8"/>
        <v/>
      </c>
      <c r="B134" s="9"/>
      <c r="C134" s="8"/>
      <c r="D134" s="10" t="str">
        <f ca="1">IFERROR(_xludf.XLOOKUP(C134,STUDENTS!$A$5:$A$204,STUDENTS!$C$5:$C$204,""),"")</f>
        <v/>
      </c>
      <c r="E134" s="10" t="str">
        <f ca="1">IFERROR(_xludf.XLOOKUP(C134,STUDENTS!$A$5:$A$204,STUDENTS!$L$5:$L$204,""),"")</f>
        <v/>
      </c>
      <c r="F134" s="8"/>
      <c r="G134" s="10" t="str">
        <f>SETTINGS!$B$8</f>
        <v>2026/2027</v>
      </c>
      <c r="H134" s="10">
        <f t="shared" si="9"/>
        <v>0</v>
      </c>
      <c r="I134" s="10">
        <f t="shared" si="10"/>
        <v>0</v>
      </c>
      <c r="J134" s="13" t="str">
        <f t="shared" si="11"/>
        <v/>
      </c>
    </row>
    <row r="135" spans="1:10" x14ac:dyDescent="0.2">
      <c r="A135" s="10" t="str">
        <f t="shared" si="8"/>
        <v/>
      </c>
      <c r="B135" s="9"/>
      <c r="C135" s="8"/>
      <c r="D135" s="10" t="str">
        <f ca="1">IFERROR(_xludf.XLOOKUP(C135,STUDENTS!$A$5:$A$204,STUDENTS!$C$5:$C$204,""),"")</f>
        <v/>
      </c>
      <c r="E135" s="10" t="str">
        <f ca="1">IFERROR(_xludf.XLOOKUP(C135,STUDENTS!$A$5:$A$204,STUDENTS!$L$5:$L$204,""),"")</f>
        <v/>
      </c>
      <c r="F135" s="8"/>
      <c r="G135" s="10" t="str">
        <f>SETTINGS!$B$8</f>
        <v>2026/2027</v>
      </c>
      <c r="H135" s="10">
        <f t="shared" si="9"/>
        <v>0</v>
      </c>
      <c r="I135" s="10">
        <f t="shared" si="10"/>
        <v>0</v>
      </c>
      <c r="J135" s="13" t="str">
        <f t="shared" si="11"/>
        <v/>
      </c>
    </row>
    <row r="136" spans="1:10" x14ac:dyDescent="0.2">
      <c r="A136" s="10" t="str">
        <f t="shared" si="8"/>
        <v/>
      </c>
      <c r="B136" s="9"/>
      <c r="C136" s="8"/>
      <c r="D136" s="10" t="str">
        <f ca="1">IFERROR(_xludf.XLOOKUP(C136,STUDENTS!$A$5:$A$204,STUDENTS!$C$5:$C$204,""),"")</f>
        <v/>
      </c>
      <c r="E136" s="10" t="str">
        <f ca="1">IFERROR(_xludf.XLOOKUP(C136,STUDENTS!$A$5:$A$204,STUDENTS!$L$5:$L$204,""),"")</f>
        <v/>
      </c>
      <c r="F136" s="8"/>
      <c r="G136" s="10" t="str">
        <f>SETTINGS!$B$8</f>
        <v>2026/2027</v>
      </c>
      <c r="H136" s="10">
        <f t="shared" si="9"/>
        <v>0</v>
      </c>
      <c r="I136" s="10">
        <f t="shared" si="10"/>
        <v>0</v>
      </c>
      <c r="J136" s="13" t="str">
        <f t="shared" si="11"/>
        <v/>
      </c>
    </row>
    <row r="137" spans="1:10" x14ac:dyDescent="0.2">
      <c r="A137" s="10" t="str">
        <f t="shared" si="8"/>
        <v/>
      </c>
      <c r="B137" s="9"/>
      <c r="C137" s="8"/>
      <c r="D137" s="10" t="str">
        <f ca="1">IFERROR(_xludf.XLOOKUP(C137,STUDENTS!$A$5:$A$204,STUDENTS!$C$5:$C$204,""),"")</f>
        <v/>
      </c>
      <c r="E137" s="10" t="str">
        <f ca="1">IFERROR(_xludf.XLOOKUP(C137,STUDENTS!$A$5:$A$204,STUDENTS!$L$5:$L$204,""),"")</f>
        <v/>
      </c>
      <c r="F137" s="8"/>
      <c r="G137" s="10" t="str">
        <f>SETTINGS!$B$8</f>
        <v>2026/2027</v>
      </c>
      <c r="H137" s="10">
        <f t="shared" si="9"/>
        <v>0</v>
      </c>
      <c r="I137" s="10">
        <f t="shared" si="10"/>
        <v>0</v>
      </c>
      <c r="J137" s="13" t="str">
        <f t="shared" si="11"/>
        <v/>
      </c>
    </row>
    <row r="138" spans="1:10" x14ac:dyDescent="0.2">
      <c r="A138" s="10" t="str">
        <f t="shared" si="8"/>
        <v/>
      </c>
      <c r="B138" s="9"/>
      <c r="C138" s="8"/>
      <c r="D138" s="10" t="str">
        <f ca="1">IFERROR(_xludf.XLOOKUP(C138,STUDENTS!$A$5:$A$204,STUDENTS!$C$5:$C$204,""),"")</f>
        <v/>
      </c>
      <c r="E138" s="10" t="str">
        <f ca="1">IFERROR(_xludf.XLOOKUP(C138,STUDENTS!$A$5:$A$204,STUDENTS!$L$5:$L$204,""),"")</f>
        <v/>
      </c>
      <c r="F138" s="8"/>
      <c r="G138" s="10" t="str">
        <f>SETTINGS!$B$8</f>
        <v>2026/2027</v>
      </c>
      <c r="H138" s="10">
        <f t="shared" si="9"/>
        <v>0</v>
      </c>
      <c r="I138" s="10">
        <f t="shared" si="10"/>
        <v>0</v>
      </c>
      <c r="J138" s="13" t="str">
        <f t="shared" si="11"/>
        <v/>
      </c>
    </row>
    <row r="139" spans="1:10" x14ac:dyDescent="0.2">
      <c r="A139" s="10" t="str">
        <f t="shared" si="8"/>
        <v/>
      </c>
      <c r="B139" s="9"/>
      <c r="C139" s="8"/>
      <c r="D139" s="10" t="str">
        <f ca="1">IFERROR(_xludf.XLOOKUP(C139,STUDENTS!$A$5:$A$204,STUDENTS!$C$5:$C$204,""),"")</f>
        <v/>
      </c>
      <c r="E139" s="10" t="str">
        <f ca="1">IFERROR(_xludf.XLOOKUP(C139,STUDENTS!$A$5:$A$204,STUDENTS!$L$5:$L$204,""),"")</f>
        <v/>
      </c>
      <c r="F139" s="8"/>
      <c r="G139" s="10" t="str">
        <f>SETTINGS!$B$8</f>
        <v>2026/2027</v>
      </c>
      <c r="H139" s="10">
        <f t="shared" si="9"/>
        <v>0</v>
      </c>
      <c r="I139" s="10">
        <f t="shared" si="10"/>
        <v>0</v>
      </c>
      <c r="J139" s="13" t="str">
        <f t="shared" si="11"/>
        <v/>
      </c>
    </row>
    <row r="140" spans="1:10" x14ac:dyDescent="0.2">
      <c r="A140" s="10" t="str">
        <f t="shared" si="8"/>
        <v/>
      </c>
      <c r="B140" s="9"/>
      <c r="C140" s="8"/>
      <c r="D140" s="10" t="str">
        <f ca="1">IFERROR(_xludf.XLOOKUP(C140,STUDENTS!$A$5:$A$204,STUDENTS!$C$5:$C$204,""),"")</f>
        <v/>
      </c>
      <c r="E140" s="10" t="str">
        <f ca="1">IFERROR(_xludf.XLOOKUP(C140,STUDENTS!$A$5:$A$204,STUDENTS!$L$5:$L$204,""),"")</f>
        <v/>
      </c>
      <c r="F140" s="8"/>
      <c r="G140" s="10" t="str">
        <f>SETTINGS!$B$8</f>
        <v>2026/2027</v>
      </c>
      <c r="H140" s="10">
        <f t="shared" si="9"/>
        <v>0</v>
      </c>
      <c r="I140" s="10">
        <f t="shared" si="10"/>
        <v>0</v>
      </c>
      <c r="J140" s="13" t="str">
        <f t="shared" si="11"/>
        <v/>
      </c>
    </row>
    <row r="141" spans="1:10" x14ac:dyDescent="0.2">
      <c r="A141" s="10" t="str">
        <f t="shared" si="8"/>
        <v/>
      </c>
      <c r="B141" s="9"/>
      <c r="C141" s="8"/>
      <c r="D141" s="10" t="str">
        <f ca="1">IFERROR(_xludf.XLOOKUP(C141,STUDENTS!$A$5:$A$204,STUDENTS!$C$5:$C$204,""),"")</f>
        <v/>
      </c>
      <c r="E141" s="10" t="str">
        <f ca="1">IFERROR(_xludf.XLOOKUP(C141,STUDENTS!$A$5:$A$204,STUDENTS!$L$5:$L$204,""),"")</f>
        <v/>
      </c>
      <c r="F141" s="8"/>
      <c r="G141" s="10" t="str">
        <f>SETTINGS!$B$8</f>
        <v>2026/2027</v>
      </c>
      <c r="H141" s="10">
        <f t="shared" si="9"/>
        <v>0</v>
      </c>
      <c r="I141" s="10">
        <f t="shared" si="10"/>
        <v>0</v>
      </c>
      <c r="J141" s="13" t="str">
        <f t="shared" si="11"/>
        <v/>
      </c>
    </row>
    <row r="142" spans="1:10" x14ac:dyDescent="0.2">
      <c r="A142" s="10" t="str">
        <f t="shared" si="8"/>
        <v/>
      </c>
      <c r="B142" s="9"/>
      <c r="C142" s="8"/>
      <c r="D142" s="10" t="str">
        <f ca="1">IFERROR(_xludf.XLOOKUP(C142,STUDENTS!$A$5:$A$204,STUDENTS!$C$5:$C$204,""),"")</f>
        <v/>
      </c>
      <c r="E142" s="10" t="str">
        <f ca="1">IFERROR(_xludf.XLOOKUP(C142,STUDENTS!$A$5:$A$204,STUDENTS!$L$5:$L$204,""),"")</f>
        <v/>
      </c>
      <c r="F142" s="8"/>
      <c r="G142" s="10" t="str">
        <f>SETTINGS!$B$8</f>
        <v>2026/2027</v>
      </c>
      <c r="H142" s="10">
        <f t="shared" si="9"/>
        <v>0</v>
      </c>
      <c r="I142" s="10">
        <f t="shared" si="10"/>
        <v>0</v>
      </c>
      <c r="J142" s="13" t="str">
        <f t="shared" si="11"/>
        <v/>
      </c>
    </row>
    <row r="143" spans="1:10" x14ac:dyDescent="0.2">
      <c r="A143" s="10" t="str">
        <f t="shared" si="8"/>
        <v/>
      </c>
      <c r="B143" s="9"/>
      <c r="C143" s="8"/>
      <c r="D143" s="10" t="str">
        <f ca="1">IFERROR(_xludf.XLOOKUP(C143,STUDENTS!$A$5:$A$204,STUDENTS!$C$5:$C$204,""),"")</f>
        <v/>
      </c>
      <c r="E143" s="10" t="str">
        <f ca="1">IFERROR(_xludf.XLOOKUP(C143,STUDENTS!$A$5:$A$204,STUDENTS!$L$5:$L$204,""),"")</f>
        <v/>
      </c>
      <c r="F143" s="8"/>
      <c r="G143" s="10" t="str">
        <f>SETTINGS!$B$8</f>
        <v>2026/2027</v>
      </c>
      <c r="H143" s="10">
        <f t="shared" si="9"/>
        <v>0</v>
      </c>
      <c r="I143" s="10">
        <f t="shared" si="10"/>
        <v>0</v>
      </c>
      <c r="J143" s="13" t="str">
        <f t="shared" si="11"/>
        <v/>
      </c>
    </row>
    <row r="144" spans="1:10" x14ac:dyDescent="0.2">
      <c r="A144" s="10" t="str">
        <f t="shared" si="8"/>
        <v/>
      </c>
      <c r="B144" s="9"/>
      <c r="C144" s="8"/>
      <c r="D144" s="10" t="str">
        <f ca="1">IFERROR(_xludf.XLOOKUP(C144,STUDENTS!$A$5:$A$204,STUDENTS!$C$5:$C$204,""),"")</f>
        <v/>
      </c>
      <c r="E144" s="10" t="str">
        <f ca="1">IFERROR(_xludf.XLOOKUP(C144,STUDENTS!$A$5:$A$204,STUDENTS!$L$5:$L$204,""),"")</f>
        <v/>
      </c>
      <c r="F144" s="8"/>
      <c r="G144" s="10" t="str">
        <f>SETTINGS!$B$8</f>
        <v>2026/2027</v>
      </c>
      <c r="H144" s="10">
        <f t="shared" si="9"/>
        <v>0</v>
      </c>
      <c r="I144" s="10">
        <f t="shared" si="10"/>
        <v>0</v>
      </c>
      <c r="J144" s="13" t="str">
        <f t="shared" si="11"/>
        <v/>
      </c>
    </row>
    <row r="145" spans="1:10" x14ac:dyDescent="0.2">
      <c r="A145" s="10" t="str">
        <f t="shared" si="8"/>
        <v/>
      </c>
      <c r="B145" s="9"/>
      <c r="C145" s="8"/>
      <c r="D145" s="10" t="str">
        <f ca="1">IFERROR(_xludf.XLOOKUP(C145,STUDENTS!$A$5:$A$204,STUDENTS!$C$5:$C$204,""),"")</f>
        <v/>
      </c>
      <c r="E145" s="10" t="str">
        <f ca="1">IFERROR(_xludf.XLOOKUP(C145,STUDENTS!$A$5:$A$204,STUDENTS!$L$5:$L$204,""),"")</f>
        <v/>
      </c>
      <c r="F145" s="8"/>
      <c r="G145" s="10" t="str">
        <f>SETTINGS!$B$8</f>
        <v>2026/2027</v>
      </c>
      <c r="H145" s="10">
        <f t="shared" si="9"/>
        <v>0</v>
      </c>
      <c r="I145" s="10">
        <f t="shared" si="10"/>
        <v>0</v>
      </c>
      <c r="J145" s="13" t="str">
        <f t="shared" si="11"/>
        <v/>
      </c>
    </row>
    <row r="146" spans="1:10" x14ac:dyDescent="0.2">
      <c r="A146" s="10" t="str">
        <f t="shared" si="8"/>
        <v/>
      </c>
      <c r="B146" s="9"/>
      <c r="C146" s="8"/>
      <c r="D146" s="10" t="str">
        <f ca="1">IFERROR(_xludf.XLOOKUP(C146,STUDENTS!$A$5:$A$204,STUDENTS!$C$5:$C$204,""),"")</f>
        <v/>
      </c>
      <c r="E146" s="10" t="str">
        <f ca="1">IFERROR(_xludf.XLOOKUP(C146,STUDENTS!$A$5:$A$204,STUDENTS!$L$5:$L$204,""),"")</f>
        <v/>
      </c>
      <c r="F146" s="8"/>
      <c r="G146" s="10" t="str">
        <f>SETTINGS!$B$8</f>
        <v>2026/2027</v>
      </c>
      <c r="H146" s="10">
        <f t="shared" si="9"/>
        <v>0</v>
      </c>
      <c r="I146" s="10">
        <f t="shared" si="10"/>
        <v>0</v>
      </c>
      <c r="J146" s="13" t="str">
        <f t="shared" si="11"/>
        <v/>
      </c>
    </row>
    <row r="147" spans="1:10" x14ac:dyDescent="0.2">
      <c r="A147" s="10" t="str">
        <f t="shared" si="8"/>
        <v/>
      </c>
      <c r="B147" s="9"/>
      <c r="C147" s="8"/>
      <c r="D147" s="10" t="str">
        <f ca="1">IFERROR(_xludf.XLOOKUP(C147,STUDENTS!$A$5:$A$204,STUDENTS!$C$5:$C$204,""),"")</f>
        <v/>
      </c>
      <c r="E147" s="10" t="str">
        <f ca="1">IFERROR(_xludf.XLOOKUP(C147,STUDENTS!$A$5:$A$204,STUDENTS!$L$5:$L$204,""),"")</f>
        <v/>
      </c>
      <c r="F147" s="8"/>
      <c r="G147" s="10" t="str">
        <f>SETTINGS!$B$8</f>
        <v>2026/2027</v>
      </c>
      <c r="H147" s="10">
        <f t="shared" si="9"/>
        <v>0</v>
      </c>
      <c r="I147" s="10">
        <f t="shared" si="10"/>
        <v>0</v>
      </c>
      <c r="J147" s="13" t="str">
        <f t="shared" si="11"/>
        <v/>
      </c>
    </row>
    <row r="148" spans="1:10" x14ac:dyDescent="0.2">
      <c r="A148" s="10" t="str">
        <f t="shared" si="8"/>
        <v/>
      </c>
      <c r="B148" s="9"/>
      <c r="C148" s="8"/>
      <c r="D148" s="10" t="str">
        <f ca="1">IFERROR(_xludf.XLOOKUP(C148,STUDENTS!$A$5:$A$204,STUDENTS!$C$5:$C$204,""),"")</f>
        <v/>
      </c>
      <c r="E148" s="10" t="str">
        <f ca="1">IFERROR(_xludf.XLOOKUP(C148,STUDENTS!$A$5:$A$204,STUDENTS!$L$5:$L$204,""),"")</f>
        <v/>
      </c>
      <c r="F148" s="8"/>
      <c r="G148" s="10" t="str">
        <f>SETTINGS!$B$8</f>
        <v>2026/2027</v>
      </c>
      <c r="H148" s="10">
        <f t="shared" si="9"/>
        <v>0</v>
      </c>
      <c r="I148" s="10">
        <f t="shared" si="10"/>
        <v>0</v>
      </c>
      <c r="J148" s="13" t="str">
        <f t="shared" si="11"/>
        <v/>
      </c>
    </row>
    <row r="149" spans="1:10" x14ac:dyDescent="0.2">
      <c r="A149" s="10" t="str">
        <f t="shared" si="8"/>
        <v/>
      </c>
      <c r="B149" s="9"/>
      <c r="C149" s="8"/>
      <c r="D149" s="10" t="str">
        <f ca="1">IFERROR(_xludf.XLOOKUP(C149,STUDENTS!$A$5:$A$204,STUDENTS!$C$5:$C$204,""),"")</f>
        <v/>
      </c>
      <c r="E149" s="10" t="str">
        <f ca="1">IFERROR(_xludf.XLOOKUP(C149,STUDENTS!$A$5:$A$204,STUDENTS!$L$5:$L$204,""),"")</f>
        <v/>
      </c>
      <c r="F149" s="8"/>
      <c r="G149" s="10" t="str">
        <f>SETTINGS!$B$8</f>
        <v>2026/2027</v>
      </c>
      <c r="H149" s="10">
        <f t="shared" si="9"/>
        <v>0</v>
      </c>
      <c r="I149" s="10">
        <f t="shared" si="10"/>
        <v>0</v>
      </c>
      <c r="J149" s="13" t="str">
        <f t="shared" si="11"/>
        <v/>
      </c>
    </row>
    <row r="150" spans="1:10" x14ac:dyDescent="0.2">
      <c r="A150" s="10" t="str">
        <f t="shared" si="8"/>
        <v/>
      </c>
      <c r="B150" s="9"/>
      <c r="C150" s="8"/>
      <c r="D150" s="10" t="str">
        <f ca="1">IFERROR(_xludf.XLOOKUP(C150,STUDENTS!$A$5:$A$204,STUDENTS!$C$5:$C$204,""),"")</f>
        <v/>
      </c>
      <c r="E150" s="10" t="str">
        <f ca="1">IFERROR(_xludf.XLOOKUP(C150,STUDENTS!$A$5:$A$204,STUDENTS!$L$5:$L$204,""),"")</f>
        <v/>
      </c>
      <c r="F150" s="8"/>
      <c r="G150" s="10" t="str">
        <f>SETTINGS!$B$8</f>
        <v>2026/2027</v>
      </c>
      <c r="H150" s="10">
        <f t="shared" si="9"/>
        <v>0</v>
      </c>
      <c r="I150" s="10">
        <f t="shared" si="10"/>
        <v>0</v>
      </c>
      <c r="J150" s="13" t="str">
        <f t="shared" si="11"/>
        <v/>
      </c>
    </row>
    <row r="151" spans="1:10" x14ac:dyDescent="0.2">
      <c r="A151" s="10" t="str">
        <f t="shared" si="8"/>
        <v/>
      </c>
      <c r="B151" s="9"/>
      <c r="C151" s="8"/>
      <c r="D151" s="10" t="str">
        <f ca="1">IFERROR(_xludf.XLOOKUP(C151,STUDENTS!$A$5:$A$204,STUDENTS!$C$5:$C$204,""),"")</f>
        <v/>
      </c>
      <c r="E151" s="10" t="str">
        <f ca="1">IFERROR(_xludf.XLOOKUP(C151,STUDENTS!$A$5:$A$204,STUDENTS!$L$5:$L$204,""),"")</f>
        <v/>
      </c>
      <c r="F151" s="8"/>
      <c r="G151" s="10" t="str">
        <f>SETTINGS!$B$8</f>
        <v>2026/2027</v>
      </c>
      <c r="H151" s="10">
        <f t="shared" si="9"/>
        <v>0</v>
      </c>
      <c r="I151" s="10">
        <f t="shared" si="10"/>
        <v>0</v>
      </c>
      <c r="J151" s="13" t="str">
        <f t="shared" si="11"/>
        <v/>
      </c>
    </row>
    <row r="152" spans="1:10" x14ac:dyDescent="0.2">
      <c r="A152" s="10" t="str">
        <f t="shared" si="8"/>
        <v/>
      </c>
      <c r="B152" s="9"/>
      <c r="C152" s="8"/>
      <c r="D152" s="10" t="str">
        <f ca="1">IFERROR(_xludf.XLOOKUP(C152,STUDENTS!$A$5:$A$204,STUDENTS!$C$5:$C$204,""),"")</f>
        <v/>
      </c>
      <c r="E152" s="10" t="str">
        <f ca="1">IFERROR(_xludf.XLOOKUP(C152,STUDENTS!$A$5:$A$204,STUDENTS!$L$5:$L$204,""),"")</f>
        <v/>
      </c>
      <c r="F152" s="8"/>
      <c r="G152" s="10" t="str">
        <f>SETTINGS!$B$8</f>
        <v>2026/2027</v>
      </c>
      <c r="H152" s="10">
        <f t="shared" si="9"/>
        <v>0</v>
      </c>
      <c r="I152" s="10">
        <f t="shared" si="10"/>
        <v>0</v>
      </c>
      <c r="J152" s="13" t="str">
        <f t="shared" si="11"/>
        <v/>
      </c>
    </row>
    <row r="153" spans="1:10" x14ac:dyDescent="0.2">
      <c r="A153" s="10" t="str">
        <f t="shared" si="8"/>
        <v/>
      </c>
      <c r="B153" s="9"/>
      <c r="C153" s="8"/>
      <c r="D153" s="10" t="str">
        <f ca="1">IFERROR(_xludf.XLOOKUP(C153,STUDENTS!$A$5:$A$204,STUDENTS!$C$5:$C$204,""),"")</f>
        <v/>
      </c>
      <c r="E153" s="10" t="str">
        <f ca="1">IFERROR(_xludf.XLOOKUP(C153,STUDENTS!$A$5:$A$204,STUDENTS!$L$5:$L$204,""),"")</f>
        <v/>
      </c>
      <c r="F153" s="8"/>
      <c r="G153" s="10" t="str">
        <f>SETTINGS!$B$8</f>
        <v>2026/2027</v>
      </c>
      <c r="H153" s="10">
        <f t="shared" si="9"/>
        <v>0</v>
      </c>
      <c r="I153" s="10">
        <f t="shared" si="10"/>
        <v>0</v>
      </c>
      <c r="J153" s="13" t="str">
        <f t="shared" si="11"/>
        <v/>
      </c>
    </row>
    <row r="154" spans="1:10" x14ac:dyDescent="0.2">
      <c r="A154" s="10" t="str">
        <f t="shared" si="8"/>
        <v/>
      </c>
      <c r="B154" s="9"/>
      <c r="C154" s="8"/>
      <c r="D154" s="10" t="str">
        <f ca="1">IFERROR(_xludf.XLOOKUP(C154,STUDENTS!$A$5:$A$204,STUDENTS!$C$5:$C$204,""),"")</f>
        <v/>
      </c>
      <c r="E154" s="10" t="str">
        <f ca="1">IFERROR(_xludf.XLOOKUP(C154,STUDENTS!$A$5:$A$204,STUDENTS!$L$5:$L$204,""),"")</f>
        <v/>
      </c>
      <c r="F154" s="8"/>
      <c r="G154" s="10" t="str">
        <f>SETTINGS!$B$8</f>
        <v>2026/2027</v>
      </c>
      <c r="H154" s="10">
        <f t="shared" si="9"/>
        <v>0</v>
      </c>
      <c r="I154" s="10">
        <f t="shared" si="10"/>
        <v>0</v>
      </c>
      <c r="J154" s="13" t="str">
        <f t="shared" si="11"/>
        <v/>
      </c>
    </row>
    <row r="155" spans="1:10" x14ac:dyDescent="0.2">
      <c r="A155" s="10" t="str">
        <f t="shared" si="8"/>
        <v/>
      </c>
      <c r="B155" s="9"/>
      <c r="C155" s="8"/>
      <c r="D155" s="10" t="str">
        <f ca="1">IFERROR(_xludf.XLOOKUP(C155,STUDENTS!$A$5:$A$204,STUDENTS!$C$5:$C$204,""),"")</f>
        <v/>
      </c>
      <c r="E155" s="10" t="str">
        <f ca="1">IFERROR(_xludf.XLOOKUP(C155,STUDENTS!$A$5:$A$204,STUDENTS!$L$5:$L$204,""),"")</f>
        <v/>
      </c>
      <c r="F155" s="8"/>
      <c r="G155" s="10" t="str">
        <f>SETTINGS!$B$8</f>
        <v>2026/2027</v>
      </c>
      <c r="H155" s="10">
        <f t="shared" si="9"/>
        <v>0</v>
      </c>
      <c r="I155" s="10">
        <f t="shared" si="10"/>
        <v>0</v>
      </c>
      <c r="J155" s="13" t="str">
        <f t="shared" si="11"/>
        <v/>
      </c>
    </row>
    <row r="156" spans="1:10" x14ac:dyDescent="0.2">
      <c r="A156" s="10" t="str">
        <f t="shared" si="8"/>
        <v/>
      </c>
      <c r="B156" s="9"/>
      <c r="C156" s="8"/>
      <c r="D156" s="10" t="str">
        <f ca="1">IFERROR(_xludf.XLOOKUP(C156,STUDENTS!$A$5:$A$204,STUDENTS!$C$5:$C$204,""),"")</f>
        <v/>
      </c>
      <c r="E156" s="10" t="str">
        <f ca="1">IFERROR(_xludf.XLOOKUP(C156,STUDENTS!$A$5:$A$204,STUDENTS!$L$5:$L$204,""),"")</f>
        <v/>
      </c>
      <c r="F156" s="8"/>
      <c r="G156" s="10" t="str">
        <f>SETTINGS!$B$8</f>
        <v>2026/2027</v>
      </c>
      <c r="H156" s="10">
        <f t="shared" si="9"/>
        <v>0</v>
      </c>
      <c r="I156" s="10">
        <f t="shared" si="10"/>
        <v>0</v>
      </c>
      <c r="J156" s="13" t="str">
        <f t="shared" si="11"/>
        <v/>
      </c>
    </row>
    <row r="157" spans="1:10" x14ac:dyDescent="0.2">
      <c r="A157" s="10" t="str">
        <f t="shared" si="8"/>
        <v/>
      </c>
      <c r="B157" s="9"/>
      <c r="C157" s="8"/>
      <c r="D157" s="10" t="str">
        <f ca="1">IFERROR(_xludf.XLOOKUP(C157,STUDENTS!$A$5:$A$204,STUDENTS!$C$5:$C$204,""),"")</f>
        <v/>
      </c>
      <c r="E157" s="10" t="str">
        <f ca="1">IFERROR(_xludf.XLOOKUP(C157,STUDENTS!$A$5:$A$204,STUDENTS!$L$5:$L$204,""),"")</f>
        <v/>
      </c>
      <c r="F157" s="8"/>
      <c r="G157" s="10" t="str">
        <f>SETTINGS!$B$8</f>
        <v>2026/2027</v>
      </c>
      <c r="H157" s="10">
        <f t="shared" si="9"/>
        <v>0</v>
      </c>
      <c r="I157" s="10">
        <f t="shared" si="10"/>
        <v>0</v>
      </c>
      <c r="J157" s="13" t="str">
        <f t="shared" si="11"/>
        <v/>
      </c>
    </row>
    <row r="158" spans="1:10" x14ac:dyDescent="0.2">
      <c r="A158" s="10" t="str">
        <f t="shared" si="8"/>
        <v/>
      </c>
      <c r="B158" s="9"/>
      <c r="C158" s="8"/>
      <c r="D158" s="10" t="str">
        <f ca="1">IFERROR(_xludf.XLOOKUP(C158,STUDENTS!$A$5:$A$204,STUDENTS!$C$5:$C$204,""),"")</f>
        <v/>
      </c>
      <c r="E158" s="10" t="str">
        <f ca="1">IFERROR(_xludf.XLOOKUP(C158,STUDENTS!$A$5:$A$204,STUDENTS!$L$5:$L$204,""),"")</f>
        <v/>
      </c>
      <c r="F158" s="8"/>
      <c r="G158" s="10" t="str">
        <f>SETTINGS!$B$8</f>
        <v>2026/2027</v>
      </c>
      <c r="H158" s="10">
        <f t="shared" si="9"/>
        <v>0</v>
      </c>
      <c r="I158" s="10">
        <f t="shared" si="10"/>
        <v>0</v>
      </c>
      <c r="J158" s="13" t="str">
        <f t="shared" si="11"/>
        <v/>
      </c>
    </row>
    <row r="159" spans="1:10" x14ac:dyDescent="0.2">
      <c r="A159" s="10" t="str">
        <f t="shared" si="8"/>
        <v/>
      </c>
      <c r="B159" s="9"/>
      <c r="C159" s="8"/>
      <c r="D159" s="10" t="str">
        <f ca="1">IFERROR(_xludf.XLOOKUP(C159,STUDENTS!$A$5:$A$204,STUDENTS!$C$5:$C$204,""),"")</f>
        <v/>
      </c>
      <c r="E159" s="10" t="str">
        <f ca="1">IFERROR(_xludf.XLOOKUP(C159,STUDENTS!$A$5:$A$204,STUDENTS!$L$5:$L$204,""),"")</f>
        <v/>
      </c>
      <c r="F159" s="8"/>
      <c r="G159" s="10" t="str">
        <f>SETTINGS!$B$8</f>
        <v>2026/2027</v>
      </c>
      <c r="H159" s="10">
        <f t="shared" si="9"/>
        <v>0</v>
      </c>
      <c r="I159" s="10">
        <f t="shared" si="10"/>
        <v>0</v>
      </c>
      <c r="J159" s="13" t="str">
        <f t="shared" si="11"/>
        <v/>
      </c>
    </row>
    <row r="160" spans="1:10" x14ac:dyDescent="0.2">
      <c r="A160" s="10" t="str">
        <f t="shared" si="8"/>
        <v/>
      </c>
      <c r="B160" s="9"/>
      <c r="C160" s="8"/>
      <c r="D160" s="10" t="str">
        <f ca="1">IFERROR(_xludf.XLOOKUP(C160,STUDENTS!$A$5:$A$204,STUDENTS!$C$5:$C$204,""),"")</f>
        <v/>
      </c>
      <c r="E160" s="10" t="str">
        <f ca="1">IFERROR(_xludf.XLOOKUP(C160,STUDENTS!$A$5:$A$204,STUDENTS!$L$5:$L$204,""),"")</f>
        <v/>
      </c>
      <c r="F160" s="8"/>
      <c r="G160" s="10" t="str">
        <f>SETTINGS!$B$8</f>
        <v>2026/2027</v>
      </c>
      <c r="H160" s="10">
        <f t="shared" si="9"/>
        <v>0</v>
      </c>
      <c r="I160" s="10">
        <f t="shared" si="10"/>
        <v>0</v>
      </c>
      <c r="J160" s="13" t="str">
        <f t="shared" si="11"/>
        <v/>
      </c>
    </row>
    <row r="161" spans="1:10" x14ac:dyDescent="0.2">
      <c r="A161" s="10" t="str">
        <f t="shared" si="8"/>
        <v/>
      </c>
      <c r="B161" s="9"/>
      <c r="C161" s="8"/>
      <c r="D161" s="10" t="str">
        <f ca="1">IFERROR(_xludf.XLOOKUP(C161,STUDENTS!$A$5:$A$204,STUDENTS!$C$5:$C$204,""),"")</f>
        <v/>
      </c>
      <c r="E161" s="10" t="str">
        <f ca="1">IFERROR(_xludf.XLOOKUP(C161,STUDENTS!$A$5:$A$204,STUDENTS!$L$5:$L$204,""),"")</f>
        <v/>
      </c>
      <c r="F161" s="8"/>
      <c r="G161" s="10" t="str">
        <f>SETTINGS!$B$8</f>
        <v>2026/2027</v>
      </c>
      <c r="H161" s="10">
        <f t="shared" si="9"/>
        <v>0</v>
      </c>
      <c r="I161" s="10">
        <f t="shared" si="10"/>
        <v>0</v>
      </c>
      <c r="J161" s="13" t="str">
        <f t="shared" si="11"/>
        <v/>
      </c>
    </row>
    <row r="162" spans="1:10" x14ac:dyDescent="0.2">
      <c r="A162" s="10" t="str">
        <f t="shared" si="8"/>
        <v/>
      </c>
      <c r="B162" s="9"/>
      <c r="C162" s="8"/>
      <c r="D162" s="10" t="str">
        <f ca="1">IFERROR(_xludf.XLOOKUP(C162,STUDENTS!$A$5:$A$204,STUDENTS!$C$5:$C$204,""),"")</f>
        <v/>
      </c>
      <c r="E162" s="10" t="str">
        <f ca="1">IFERROR(_xludf.XLOOKUP(C162,STUDENTS!$A$5:$A$204,STUDENTS!$L$5:$L$204,""),"")</f>
        <v/>
      </c>
      <c r="F162" s="8"/>
      <c r="G162" s="10" t="str">
        <f>SETTINGS!$B$8</f>
        <v>2026/2027</v>
      </c>
      <c r="H162" s="10">
        <f t="shared" si="9"/>
        <v>0</v>
      </c>
      <c r="I162" s="10">
        <f t="shared" si="10"/>
        <v>0</v>
      </c>
      <c r="J162" s="13" t="str">
        <f t="shared" si="11"/>
        <v/>
      </c>
    </row>
    <row r="163" spans="1:10" x14ac:dyDescent="0.2">
      <c r="A163" s="10" t="str">
        <f t="shared" si="8"/>
        <v/>
      </c>
      <c r="B163" s="9"/>
      <c r="C163" s="8"/>
      <c r="D163" s="10" t="str">
        <f ca="1">IFERROR(_xludf.XLOOKUP(C163,STUDENTS!$A$5:$A$204,STUDENTS!$C$5:$C$204,""),"")</f>
        <v/>
      </c>
      <c r="E163" s="10" t="str">
        <f ca="1">IFERROR(_xludf.XLOOKUP(C163,STUDENTS!$A$5:$A$204,STUDENTS!$L$5:$L$204,""),"")</f>
        <v/>
      </c>
      <c r="F163" s="8"/>
      <c r="G163" s="10" t="str">
        <f>SETTINGS!$B$8</f>
        <v>2026/2027</v>
      </c>
      <c r="H163" s="10">
        <f t="shared" si="9"/>
        <v>0</v>
      </c>
      <c r="I163" s="10">
        <f t="shared" si="10"/>
        <v>0</v>
      </c>
      <c r="J163" s="13" t="str">
        <f t="shared" si="11"/>
        <v/>
      </c>
    </row>
    <row r="164" spans="1:10" x14ac:dyDescent="0.2">
      <c r="A164" s="10" t="str">
        <f t="shared" si="8"/>
        <v/>
      </c>
      <c r="B164" s="9"/>
      <c r="C164" s="8"/>
      <c r="D164" s="10" t="str">
        <f ca="1">IFERROR(_xludf.XLOOKUP(C164,STUDENTS!$A$5:$A$204,STUDENTS!$C$5:$C$204,""),"")</f>
        <v/>
      </c>
      <c r="E164" s="10" t="str">
        <f ca="1">IFERROR(_xludf.XLOOKUP(C164,STUDENTS!$A$5:$A$204,STUDENTS!$L$5:$L$204,""),"")</f>
        <v/>
      </c>
      <c r="F164" s="8"/>
      <c r="G164" s="10" t="str">
        <f>SETTINGS!$B$8</f>
        <v>2026/2027</v>
      </c>
      <c r="H164" s="10">
        <f t="shared" si="9"/>
        <v>0</v>
      </c>
      <c r="I164" s="10">
        <f t="shared" si="10"/>
        <v>0</v>
      </c>
      <c r="J164" s="13" t="str">
        <f t="shared" si="11"/>
        <v/>
      </c>
    </row>
    <row r="165" spans="1:10" x14ac:dyDescent="0.2">
      <c r="A165" s="10" t="str">
        <f t="shared" si="8"/>
        <v/>
      </c>
      <c r="B165" s="9"/>
      <c r="C165" s="8"/>
      <c r="D165" s="10" t="str">
        <f ca="1">IFERROR(_xludf.XLOOKUP(C165,STUDENTS!$A$5:$A$204,STUDENTS!$C$5:$C$204,""),"")</f>
        <v/>
      </c>
      <c r="E165" s="10" t="str">
        <f ca="1">IFERROR(_xludf.XLOOKUP(C165,STUDENTS!$A$5:$A$204,STUDENTS!$L$5:$L$204,""),"")</f>
        <v/>
      </c>
      <c r="F165" s="8"/>
      <c r="G165" s="10" t="str">
        <f>SETTINGS!$B$8</f>
        <v>2026/2027</v>
      </c>
      <c r="H165" s="10">
        <f t="shared" si="9"/>
        <v>0</v>
      </c>
      <c r="I165" s="10">
        <f t="shared" si="10"/>
        <v>0</v>
      </c>
      <c r="J165" s="13" t="str">
        <f t="shared" si="11"/>
        <v/>
      </c>
    </row>
    <row r="166" spans="1:10" x14ac:dyDescent="0.2">
      <c r="A166" s="10" t="str">
        <f t="shared" si="8"/>
        <v/>
      </c>
      <c r="B166" s="9"/>
      <c r="C166" s="8"/>
      <c r="D166" s="10" t="str">
        <f ca="1">IFERROR(_xludf.XLOOKUP(C166,STUDENTS!$A$5:$A$204,STUDENTS!$C$5:$C$204,""),"")</f>
        <v/>
      </c>
      <c r="E166" s="10" t="str">
        <f ca="1">IFERROR(_xludf.XLOOKUP(C166,STUDENTS!$A$5:$A$204,STUDENTS!$L$5:$L$204,""),"")</f>
        <v/>
      </c>
      <c r="F166" s="8"/>
      <c r="G166" s="10" t="str">
        <f>SETTINGS!$B$8</f>
        <v>2026/2027</v>
      </c>
      <c r="H166" s="10">
        <f t="shared" si="9"/>
        <v>0</v>
      </c>
      <c r="I166" s="10">
        <f t="shared" si="10"/>
        <v>0</v>
      </c>
      <c r="J166" s="13" t="str">
        <f t="shared" si="11"/>
        <v/>
      </c>
    </row>
    <row r="167" spans="1:10" x14ac:dyDescent="0.2">
      <c r="A167" s="10" t="str">
        <f t="shared" si="8"/>
        <v/>
      </c>
      <c r="B167" s="9"/>
      <c r="C167" s="8"/>
      <c r="D167" s="10" t="str">
        <f ca="1">IFERROR(_xludf.XLOOKUP(C167,STUDENTS!$A$5:$A$204,STUDENTS!$C$5:$C$204,""),"")</f>
        <v/>
      </c>
      <c r="E167" s="10" t="str">
        <f ca="1">IFERROR(_xludf.XLOOKUP(C167,STUDENTS!$A$5:$A$204,STUDENTS!$L$5:$L$204,""),"")</f>
        <v/>
      </c>
      <c r="F167" s="8"/>
      <c r="G167" s="10" t="str">
        <f>SETTINGS!$B$8</f>
        <v>2026/2027</v>
      </c>
      <c r="H167" s="10">
        <f t="shared" si="9"/>
        <v>0</v>
      </c>
      <c r="I167" s="10">
        <f t="shared" si="10"/>
        <v>0</v>
      </c>
      <c r="J167" s="13" t="str">
        <f t="shared" si="11"/>
        <v/>
      </c>
    </row>
    <row r="168" spans="1:10" x14ac:dyDescent="0.2">
      <c r="A168" s="10" t="str">
        <f t="shared" si="8"/>
        <v/>
      </c>
      <c r="B168" s="9"/>
      <c r="C168" s="8"/>
      <c r="D168" s="10" t="str">
        <f ca="1">IFERROR(_xludf.XLOOKUP(C168,STUDENTS!$A$5:$A$204,STUDENTS!$C$5:$C$204,""),"")</f>
        <v/>
      </c>
      <c r="E168" s="10" t="str">
        <f ca="1">IFERROR(_xludf.XLOOKUP(C168,STUDENTS!$A$5:$A$204,STUDENTS!$L$5:$L$204,""),"")</f>
        <v/>
      </c>
      <c r="F168" s="8"/>
      <c r="G168" s="10" t="str">
        <f>SETTINGS!$B$8</f>
        <v>2026/2027</v>
      </c>
      <c r="H168" s="10">
        <f t="shared" si="9"/>
        <v>0</v>
      </c>
      <c r="I168" s="10">
        <f t="shared" si="10"/>
        <v>0</v>
      </c>
      <c r="J168" s="13" t="str">
        <f t="shared" si="11"/>
        <v/>
      </c>
    </row>
    <row r="169" spans="1:10" x14ac:dyDescent="0.2">
      <c r="A169" s="10" t="str">
        <f t="shared" si="8"/>
        <v/>
      </c>
      <c r="B169" s="9"/>
      <c r="C169" s="8"/>
      <c r="D169" s="10" t="str">
        <f ca="1">IFERROR(_xludf.XLOOKUP(C169,STUDENTS!$A$5:$A$204,STUDENTS!$C$5:$C$204,""),"")</f>
        <v/>
      </c>
      <c r="E169" s="10" t="str">
        <f ca="1">IFERROR(_xludf.XLOOKUP(C169,STUDENTS!$A$5:$A$204,STUDENTS!$L$5:$L$204,""),"")</f>
        <v/>
      </c>
      <c r="F169" s="8"/>
      <c r="G169" s="10" t="str">
        <f>SETTINGS!$B$8</f>
        <v>2026/2027</v>
      </c>
      <c r="H169" s="10">
        <f t="shared" si="9"/>
        <v>0</v>
      </c>
      <c r="I169" s="10">
        <f t="shared" si="10"/>
        <v>0</v>
      </c>
      <c r="J169" s="13" t="str">
        <f t="shared" si="11"/>
        <v/>
      </c>
    </row>
    <row r="170" spans="1:10" x14ac:dyDescent="0.2">
      <c r="A170" s="10" t="str">
        <f t="shared" si="8"/>
        <v/>
      </c>
      <c r="B170" s="9"/>
      <c r="C170" s="8"/>
      <c r="D170" s="10" t="str">
        <f ca="1">IFERROR(_xludf.XLOOKUP(C170,STUDENTS!$A$5:$A$204,STUDENTS!$C$5:$C$204,""),"")</f>
        <v/>
      </c>
      <c r="E170" s="10" t="str">
        <f ca="1">IFERROR(_xludf.XLOOKUP(C170,STUDENTS!$A$5:$A$204,STUDENTS!$L$5:$L$204,""),"")</f>
        <v/>
      </c>
      <c r="F170" s="8"/>
      <c r="G170" s="10" t="str">
        <f>SETTINGS!$B$8</f>
        <v>2026/2027</v>
      </c>
      <c r="H170" s="10">
        <f t="shared" si="9"/>
        <v>0</v>
      </c>
      <c r="I170" s="10">
        <f t="shared" si="10"/>
        <v>0</v>
      </c>
      <c r="J170" s="13" t="str">
        <f t="shared" si="11"/>
        <v/>
      </c>
    </row>
    <row r="171" spans="1:10" x14ac:dyDescent="0.2">
      <c r="A171" s="10" t="str">
        <f t="shared" si="8"/>
        <v/>
      </c>
      <c r="B171" s="9"/>
      <c r="C171" s="8"/>
      <c r="D171" s="10" t="str">
        <f ca="1">IFERROR(_xludf.XLOOKUP(C171,STUDENTS!$A$5:$A$204,STUDENTS!$C$5:$C$204,""),"")</f>
        <v/>
      </c>
      <c r="E171" s="10" t="str">
        <f ca="1">IFERROR(_xludf.XLOOKUP(C171,STUDENTS!$A$5:$A$204,STUDENTS!$L$5:$L$204,""),"")</f>
        <v/>
      </c>
      <c r="F171" s="8"/>
      <c r="G171" s="10" t="str">
        <f>SETTINGS!$B$8</f>
        <v>2026/2027</v>
      </c>
      <c r="H171" s="10">
        <f t="shared" si="9"/>
        <v>0</v>
      </c>
      <c r="I171" s="10">
        <f t="shared" si="10"/>
        <v>0</v>
      </c>
      <c r="J171" s="13" t="str">
        <f t="shared" si="11"/>
        <v/>
      </c>
    </row>
    <row r="172" spans="1:10" x14ac:dyDescent="0.2">
      <c r="A172" s="10" t="str">
        <f t="shared" si="8"/>
        <v/>
      </c>
      <c r="B172" s="9"/>
      <c r="C172" s="8"/>
      <c r="D172" s="10" t="str">
        <f ca="1">IFERROR(_xludf.XLOOKUP(C172,STUDENTS!$A$5:$A$204,STUDENTS!$C$5:$C$204,""),"")</f>
        <v/>
      </c>
      <c r="E172" s="10" t="str">
        <f ca="1">IFERROR(_xludf.XLOOKUP(C172,STUDENTS!$A$5:$A$204,STUDENTS!$L$5:$L$204,""),"")</f>
        <v/>
      </c>
      <c r="F172" s="8"/>
      <c r="G172" s="10" t="str">
        <f>SETTINGS!$B$8</f>
        <v>2026/2027</v>
      </c>
      <c r="H172" s="10">
        <f t="shared" si="9"/>
        <v>0</v>
      </c>
      <c r="I172" s="10">
        <f t="shared" si="10"/>
        <v>0</v>
      </c>
      <c r="J172" s="13" t="str">
        <f t="shared" si="11"/>
        <v/>
      </c>
    </row>
    <row r="173" spans="1:10" x14ac:dyDescent="0.2">
      <c r="A173" s="10" t="str">
        <f t="shared" si="8"/>
        <v/>
      </c>
      <c r="B173" s="9"/>
      <c r="C173" s="8"/>
      <c r="D173" s="10" t="str">
        <f ca="1">IFERROR(_xludf.XLOOKUP(C173,STUDENTS!$A$5:$A$204,STUDENTS!$C$5:$C$204,""),"")</f>
        <v/>
      </c>
      <c r="E173" s="10" t="str">
        <f ca="1">IFERROR(_xludf.XLOOKUP(C173,STUDENTS!$A$5:$A$204,STUDENTS!$L$5:$L$204,""),"")</f>
        <v/>
      </c>
      <c r="F173" s="8"/>
      <c r="G173" s="10" t="str">
        <f>SETTINGS!$B$8</f>
        <v>2026/2027</v>
      </c>
      <c r="H173" s="10">
        <f t="shared" si="9"/>
        <v>0</v>
      </c>
      <c r="I173" s="10">
        <f t="shared" si="10"/>
        <v>0</v>
      </c>
      <c r="J173" s="13" t="str">
        <f t="shared" si="11"/>
        <v/>
      </c>
    </row>
    <row r="174" spans="1:10" x14ac:dyDescent="0.2">
      <c r="A174" s="10" t="str">
        <f t="shared" si="8"/>
        <v/>
      </c>
      <c r="B174" s="9"/>
      <c r="C174" s="8"/>
      <c r="D174" s="10" t="str">
        <f ca="1">IFERROR(_xludf.XLOOKUP(C174,STUDENTS!$A$5:$A$204,STUDENTS!$C$5:$C$204,""),"")</f>
        <v/>
      </c>
      <c r="E174" s="10" t="str">
        <f ca="1">IFERROR(_xludf.XLOOKUP(C174,STUDENTS!$A$5:$A$204,STUDENTS!$L$5:$L$204,""),"")</f>
        <v/>
      </c>
      <c r="F174" s="8"/>
      <c r="G174" s="10" t="str">
        <f>SETTINGS!$B$8</f>
        <v>2026/2027</v>
      </c>
      <c r="H174" s="10">
        <f t="shared" si="9"/>
        <v>0</v>
      </c>
      <c r="I174" s="10">
        <f t="shared" si="10"/>
        <v>0</v>
      </c>
      <c r="J174" s="13" t="str">
        <f t="shared" si="11"/>
        <v/>
      </c>
    </row>
    <row r="175" spans="1:10" x14ac:dyDescent="0.2">
      <c r="A175" s="10" t="str">
        <f t="shared" si="8"/>
        <v/>
      </c>
      <c r="B175" s="9"/>
      <c r="C175" s="8"/>
      <c r="D175" s="10" t="str">
        <f ca="1">IFERROR(_xludf.XLOOKUP(C175,STUDENTS!$A$5:$A$204,STUDENTS!$C$5:$C$204,""),"")</f>
        <v/>
      </c>
      <c r="E175" s="10" t="str">
        <f ca="1">IFERROR(_xludf.XLOOKUP(C175,STUDENTS!$A$5:$A$204,STUDENTS!$L$5:$L$204,""),"")</f>
        <v/>
      </c>
      <c r="F175" s="8"/>
      <c r="G175" s="10" t="str">
        <f>SETTINGS!$B$8</f>
        <v>2026/2027</v>
      </c>
      <c r="H175" s="10">
        <f t="shared" si="9"/>
        <v>0</v>
      </c>
      <c r="I175" s="10">
        <f t="shared" si="10"/>
        <v>0</v>
      </c>
      <c r="J175" s="13" t="str">
        <f t="shared" si="11"/>
        <v/>
      </c>
    </row>
    <row r="176" spans="1:10" x14ac:dyDescent="0.2">
      <c r="A176" s="10" t="str">
        <f t="shared" si="8"/>
        <v/>
      </c>
      <c r="B176" s="9"/>
      <c r="C176" s="8"/>
      <c r="D176" s="10" t="str">
        <f ca="1">IFERROR(_xludf.XLOOKUP(C176,STUDENTS!$A$5:$A$204,STUDENTS!$C$5:$C$204,""),"")</f>
        <v/>
      </c>
      <c r="E176" s="10" t="str">
        <f ca="1">IFERROR(_xludf.XLOOKUP(C176,STUDENTS!$A$5:$A$204,STUDENTS!$L$5:$L$204,""),"")</f>
        <v/>
      </c>
      <c r="F176" s="8"/>
      <c r="G176" s="10" t="str">
        <f>SETTINGS!$B$8</f>
        <v>2026/2027</v>
      </c>
      <c r="H176" s="10">
        <f t="shared" si="9"/>
        <v>0</v>
      </c>
      <c r="I176" s="10">
        <f t="shared" si="10"/>
        <v>0</v>
      </c>
      <c r="J176" s="13" t="str">
        <f t="shared" si="11"/>
        <v/>
      </c>
    </row>
    <row r="177" spans="1:10" x14ac:dyDescent="0.2">
      <c r="A177" s="10" t="str">
        <f t="shared" si="8"/>
        <v/>
      </c>
      <c r="B177" s="9"/>
      <c r="C177" s="8"/>
      <c r="D177" s="10" t="str">
        <f ca="1">IFERROR(_xludf.XLOOKUP(C177,STUDENTS!$A$5:$A$204,STUDENTS!$C$5:$C$204,""),"")</f>
        <v/>
      </c>
      <c r="E177" s="10" t="str">
        <f ca="1">IFERROR(_xludf.XLOOKUP(C177,STUDENTS!$A$5:$A$204,STUDENTS!$L$5:$L$204,""),"")</f>
        <v/>
      </c>
      <c r="F177" s="8"/>
      <c r="G177" s="10" t="str">
        <f>SETTINGS!$B$8</f>
        <v>2026/2027</v>
      </c>
      <c r="H177" s="10">
        <f t="shared" si="9"/>
        <v>0</v>
      </c>
      <c r="I177" s="10">
        <f t="shared" si="10"/>
        <v>0</v>
      </c>
      <c r="J177" s="13" t="str">
        <f t="shared" si="11"/>
        <v/>
      </c>
    </row>
    <row r="178" spans="1:10" x14ac:dyDescent="0.2">
      <c r="A178" s="10" t="str">
        <f t="shared" si="8"/>
        <v/>
      </c>
      <c r="B178" s="9"/>
      <c r="C178" s="8"/>
      <c r="D178" s="10" t="str">
        <f ca="1">IFERROR(_xludf.XLOOKUP(C178,STUDENTS!$A$5:$A$204,STUDENTS!$C$5:$C$204,""),"")</f>
        <v/>
      </c>
      <c r="E178" s="10" t="str">
        <f ca="1">IFERROR(_xludf.XLOOKUP(C178,STUDENTS!$A$5:$A$204,STUDENTS!$L$5:$L$204,""),"")</f>
        <v/>
      </c>
      <c r="F178" s="8"/>
      <c r="G178" s="10" t="str">
        <f>SETTINGS!$B$8</f>
        <v>2026/2027</v>
      </c>
      <c r="H178" s="10">
        <f t="shared" si="9"/>
        <v>0</v>
      </c>
      <c r="I178" s="10">
        <f t="shared" si="10"/>
        <v>0</v>
      </c>
      <c r="J178" s="13" t="str">
        <f t="shared" si="11"/>
        <v/>
      </c>
    </row>
    <row r="179" spans="1:10" x14ac:dyDescent="0.2">
      <c r="A179" s="10" t="str">
        <f t="shared" si="8"/>
        <v/>
      </c>
      <c r="B179" s="9"/>
      <c r="C179" s="8"/>
      <c r="D179" s="10" t="str">
        <f ca="1">IFERROR(_xludf.XLOOKUP(C179,STUDENTS!$A$5:$A$204,STUDENTS!$C$5:$C$204,""),"")</f>
        <v/>
      </c>
      <c r="E179" s="10" t="str">
        <f ca="1">IFERROR(_xludf.XLOOKUP(C179,STUDENTS!$A$5:$A$204,STUDENTS!$L$5:$L$204,""),"")</f>
        <v/>
      </c>
      <c r="F179" s="8"/>
      <c r="G179" s="10" t="str">
        <f>SETTINGS!$B$8</f>
        <v>2026/2027</v>
      </c>
      <c r="H179" s="10">
        <f t="shared" si="9"/>
        <v>0</v>
      </c>
      <c r="I179" s="10">
        <f t="shared" si="10"/>
        <v>0</v>
      </c>
      <c r="J179" s="13" t="str">
        <f t="shared" si="11"/>
        <v/>
      </c>
    </row>
    <row r="180" spans="1:10" x14ac:dyDescent="0.2">
      <c r="A180" s="10" t="str">
        <f t="shared" si="8"/>
        <v/>
      </c>
      <c r="B180" s="9"/>
      <c r="C180" s="8"/>
      <c r="D180" s="10" t="str">
        <f ca="1">IFERROR(_xludf.XLOOKUP(C180,STUDENTS!$A$5:$A$204,STUDENTS!$C$5:$C$204,""),"")</f>
        <v/>
      </c>
      <c r="E180" s="10" t="str">
        <f ca="1">IFERROR(_xludf.XLOOKUP(C180,STUDENTS!$A$5:$A$204,STUDENTS!$L$5:$L$204,""),"")</f>
        <v/>
      </c>
      <c r="F180" s="8"/>
      <c r="G180" s="10" t="str">
        <f>SETTINGS!$B$8</f>
        <v>2026/2027</v>
      </c>
      <c r="H180" s="10">
        <f t="shared" si="9"/>
        <v>0</v>
      </c>
      <c r="I180" s="10">
        <f t="shared" si="10"/>
        <v>0</v>
      </c>
      <c r="J180" s="13" t="str">
        <f t="shared" si="11"/>
        <v/>
      </c>
    </row>
    <row r="181" spans="1:10" x14ac:dyDescent="0.2">
      <c r="A181" s="10" t="str">
        <f t="shared" si="8"/>
        <v/>
      </c>
      <c r="B181" s="9"/>
      <c r="C181" s="8"/>
      <c r="D181" s="10" t="str">
        <f ca="1">IFERROR(_xludf.XLOOKUP(C181,STUDENTS!$A$5:$A$204,STUDENTS!$C$5:$C$204,""),"")</f>
        <v/>
      </c>
      <c r="E181" s="10" t="str">
        <f ca="1">IFERROR(_xludf.XLOOKUP(C181,STUDENTS!$A$5:$A$204,STUDENTS!$L$5:$L$204,""),"")</f>
        <v/>
      </c>
      <c r="F181" s="8"/>
      <c r="G181" s="10" t="str">
        <f>SETTINGS!$B$8</f>
        <v>2026/2027</v>
      </c>
      <c r="H181" s="10">
        <f t="shared" si="9"/>
        <v>0</v>
      </c>
      <c r="I181" s="10">
        <f t="shared" si="10"/>
        <v>0</v>
      </c>
      <c r="J181" s="13" t="str">
        <f t="shared" si="11"/>
        <v/>
      </c>
    </row>
    <row r="182" spans="1:10" x14ac:dyDescent="0.2">
      <c r="A182" s="10" t="str">
        <f t="shared" si="8"/>
        <v/>
      </c>
      <c r="B182" s="9"/>
      <c r="C182" s="8"/>
      <c r="D182" s="10" t="str">
        <f ca="1">IFERROR(_xludf.XLOOKUP(C182,STUDENTS!$A$5:$A$204,STUDENTS!$C$5:$C$204,""),"")</f>
        <v/>
      </c>
      <c r="E182" s="10" t="str">
        <f ca="1">IFERROR(_xludf.XLOOKUP(C182,STUDENTS!$A$5:$A$204,STUDENTS!$L$5:$L$204,""),"")</f>
        <v/>
      </c>
      <c r="F182" s="8"/>
      <c r="G182" s="10" t="str">
        <f>SETTINGS!$B$8</f>
        <v>2026/2027</v>
      </c>
      <c r="H182" s="10">
        <f t="shared" si="9"/>
        <v>0</v>
      </c>
      <c r="I182" s="10">
        <f t="shared" si="10"/>
        <v>0</v>
      </c>
      <c r="J182" s="13" t="str">
        <f t="shared" si="11"/>
        <v/>
      </c>
    </row>
    <row r="183" spans="1:10" x14ac:dyDescent="0.2">
      <c r="A183" s="10" t="str">
        <f t="shared" si="8"/>
        <v/>
      </c>
      <c r="B183" s="9"/>
      <c r="C183" s="8"/>
      <c r="D183" s="10" t="str">
        <f ca="1">IFERROR(_xludf.XLOOKUP(C183,STUDENTS!$A$5:$A$204,STUDENTS!$C$5:$C$204,""),"")</f>
        <v/>
      </c>
      <c r="E183" s="10" t="str">
        <f ca="1">IFERROR(_xludf.XLOOKUP(C183,STUDENTS!$A$5:$A$204,STUDENTS!$L$5:$L$204,""),"")</f>
        <v/>
      </c>
      <c r="F183" s="8"/>
      <c r="G183" s="10" t="str">
        <f>SETTINGS!$B$8</f>
        <v>2026/2027</v>
      </c>
      <c r="H183" s="10">
        <f t="shared" si="9"/>
        <v>0</v>
      </c>
      <c r="I183" s="10">
        <f t="shared" si="10"/>
        <v>0</v>
      </c>
      <c r="J183" s="13" t="str">
        <f t="shared" si="11"/>
        <v/>
      </c>
    </row>
    <row r="184" spans="1:10" x14ac:dyDescent="0.2">
      <c r="A184" s="10" t="str">
        <f t="shared" si="8"/>
        <v/>
      </c>
      <c r="B184" s="9"/>
      <c r="C184" s="8"/>
      <c r="D184" s="10" t="str">
        <f ca="1">IFERROR(_xludf.XLOOKUP(C184,STUDENTS!$A$5:$A$204,STUDENTS!$C$5:$C$204,""),"")</f>
        <v/>
      </c>
      <c r="E184" s="10" t="str">
        <f ca="1">IFERROR(_xludf.XLOOKUP(C184,STUDENTS!$A$5:$A$204,STUDENTS!$L$5:$L$204,""),"")</f>
        <v/>
      </c>
      <c r="F184" s="8"/>
      <c r="G184" s="10" t="str">
        <f>SETTINGS!$B$8</f>
        <v>2026/2027</v>
      </c>
      <c r="H184" s="10">
        <f t="shared" si="9"/>
        <v>0</v>
      </c>
      <c r="I184" s="10">
        <f t="shared" si="10"/>
        <v>0</v>
      </c>
      <c r="J184" s="13" t="str">
        <f t="shared" si="11"/>
        <v/>
      </c>
    </row>
    <row r="185" spans="1:10" x14ac:dyDescent="0.2">
      <c r="A185" s="10" t="str">
        <f t="shared" si="8"/>
        <v/>
      </c>
      <c r="B185" s="9"/>
      <c r="C185" s="8"/>
      <c r="D185" s="10" t="str">
        <f ca="1">IFERROR(_xludf.XLOOKUP(C185,STUDENTS!$A$5:$A$204,STUDENTS!$C$5:$C$204,""),"")</f>
        <v/>
      </c>
      <c r="E185" s="10" t="str">
        <f ca="1">IFERROR(_xludf.XLOOKUP(C185,STUDENTS!$A$5:$A$204,STUDENTS!$L$5:$L$204,""),"")</f>
        <v/>
      </c>
      <c r="F185" s="8"/>
      <c r="G185" s="10" t="str">
        <f>SETTINGS!$B$8</f>
        <v>2026/2027</v>
      </c>
      <c r="H185" s="10">
        <f t="shared" si="9"/>
        <v>0</v>
      </c>
      <c r="I185" s="10">
        <f t="shared" si="10"/>
        <v>0</v>
      </c>
      <c r="J185" s="13" t="str">
        <f t="shared" si="11"/>
        <v/>
      </c>
    </row>
    <row r="186" spans="1:10" x14ac:dyDescent="0.2">
      <c r="A186" s="10" t="str">
        <f t="shared" si="8"/>
        <v/>
      </c>
      <c r="B186" s="9"/>
      <c r="C186" s="8"/>
      <c r="D186" s="10" t="str">
        <f ca="1">IFERROR(_xludf.XLOOKUP(C186,STUDENTS!$A$5:$A$204,STUDENTS!$C$5:$C$204,""),"")</f>
        <v/>
      </c>
      <c r="E186" s="10" t="str">
        <f ca="1">IFERROR(_xludf.XLOOKUP(C186,STUDENTS!$A$5:$A$204,STUDENTS!$L$5:$L$204,""),"")</f>
        <v/>
      </c>
      <c r="F186" s="8"/>
      <c r="G186" s="10" t="str">
        <f>SETTINGS!$B$8</f>
        <v>2026/2027</v>
      </c>
      <c r="H186" s="10">
        <f t="shared" si="9"/>
        <v>0</v>
      </c>
      <c r="I186" s="10">
        <f t="shared" si="10"/>
        <v>0</v>
      </c>
      <c r="J186" s="13" t="str">
        <f t="shared" si="11"/>
        <v/>
      </c>
    </row>
    <row r="187" spans="1:10" x14ac:dyDescent="0.2">
      <c r="A187" s="10" t="str">
        <f t="shared" si="8"/>
        <v/>
      </c>
      <c r="B187" s="9"/>
      <c r="C187" s="8"/>
      <c r="D187" s="10" t="str">
        <f ca="1">IFERROR(_xludf.XLOOKUP(C187,STUDENTS!$A$5:$A$204,STUDENTS!$C$5:$C$204,""),"")</f>
        <v/>
      </c>
      <c r="E187" s="10" t="str">
        <f ca="1">IFERROR(_xludf.XLOOKUP(C187,STUDENTS!$A$5:$A$204,STUDENTS!$L$5:$L$204,""),"")</f>
        <v/>
      </c>
      <c r="F187" s="8"/>
      <c r="G187" s="10" t="str">
        <f>SETTINGS!$B$8</f>
        <v>2026/2027</v>
      </c>
      <c r="H187" s="10">
        <f t="shared" si="9"/>
        <v>0</v>
      </c>
      <c r="I187" s="10">
        <f t="shared" si="10"/>
        <v>0</v>
      </c>
      <c r="J187" s="13" t="str">
        <f t="shared" si="11"/>
        <v/>
      </c>
    </row>
    <row r="188" spans="1:10" x14ac:dyDescent="0.2">
      <c r="A188" s="10" t="str">
        <f t="shared" si="8"/>
        <v/>
      </c>
      <c r="B188" s="9"/>
      <c r="C188" s="8"/>
      <c r="D188" s="10" t="str">
        <f ca="1">IFERROR(_xludf.XLOOKUP(C188,STUDENTS!$A$5:$A$204,STUDENTS!$C$5:$C$204,""),"")</f>
        <v/>
      </c>
      <c r="E188" s="10" t="str">
        <f ca="1">IFERROR(_xludf.XLOOKUP(C188,STUDENTS!$A$5:$A$204,STUDENTS!$L$5:$L$204,""),"")</f>
        <v/>
      </c>
      <c r="F188" s="8"/>
      <c r="G188" s="10" t="str">
        <f>SETTINGS!$B$8</f>
        <v>2026/2027</v>
      </c>
      <c r="H188" s="10">
        <f t="shared" si="9"/>
        <v>0</v>
      </c>
      <c r="I188" s="10">
        <f t="shared" si="10"/>
        <v>0</v>
      </c>
      <c r="J188" s="13" t="str">
        <f t="shared" si="11"/>
        <v/>
      </c>
    </row>
    <row r="189" spans="1:10" x14ac:dyDescent="0.2">
      <c r="A189" s="10" t="str">
        <f t="shared" si="8"/>
        <v/>
      </c>
      <c r="B189" s="9"/>
      <c r="C189" s="8"/>
      <c r="D189" s="10" t="str">
        <f ca="1">IFERROR(_xludf.XLOOKUP(C189,STUDENTS!$A$5:$A$204,STUDENTS!$C$5:$C$204,""),"")</f>
        <v/>
      </c>
      <c r="E189" s="10" t="str">
        <f ca="1">IFERROR(_xludf.XLOOKUP(C189,STUDENTS!$A$5:$A$204,STUDENTS!$L$5:$L$204,""),"")</f>
        <v/>
      </c>
      <c r="F189" s="8"/>
      <c r="G189" s="10" t="str">
        <f>SETTINGS!$B$8</f>
        <v>2026/2027</v>
      </c>
      <c r="H189" s="10">
        <f t="shared" si="9"/>
        <v>0</v>
      </c>
      <c r="I189" s="10">
        <f t="shared" si="10"/>
        <v>0</v>
      </c>
      <c r="J189" s="13" t="str">
        <f t="shared" si="11"/>
        <v/>
      </c>
    </row>
    <row r="190" spans="1:10" x14ac:dyDescent="0.2">
      <c r="A190" s="10" t="str">
        <f t="shared" si="8"/>
        <v/>
      </c>
      <c r="B190" s="9"/>
      <c r="C190" s="8"/>
      <c r="D190" s="10" t="str">
        <f ca="1">IFERROR(_xludf.XLOOKUP(C190,STUDENTS!$A$5:$A$204,STUDENTS!$C$5:$C$204,""),"")</f>
        <v/>
      </c>
      <c r="E190" s="10" t="str">
        <f ca="1">IFERROR(_xludf.XLOOKUP(C190,STUDENTS!$A$5:$A$204,STUDENTS!$L$5:$L$204,""),"")</f>
        <v/>
      </c>
      <c r="F190" s="8"/>
      <c r="G190" s="10" t="str">
        <f>SETTINGS!$B$8</f>
        <v>2026/2027</v>
      </c>
      <c r="H190" s="10">
        <f t="shared" si="9"/>
        <v>0</v>
      </c>
      <c r="I190" s="10">
        <f t="shared" si="10"/>
        <v>0</v>
      </c>
      <c r="J190" s="13" t="str">
        <f t="shared" si="11"/>
        <v/>
      </c>
    </row>
    <row r="191" spans="1:10" x14ac:dyDescent="0.2">
      <c r="A191" s="10" t="str">
        <f t="shared" si="8"/>
        <v/>
      </c>
      <c r="B191" s="9"/>
      <c r="C191" s="8"/>
      <c r="D191" s="10" t="str">
        <f ca="1">IFERROR(_xludf.XLOOKUP(C191,STUDENTS!$A$5:$A$204,STUDENTS!$C$5:$C$204,""),"")</f>
        <v/>
      </c>
      <c r="E191" s="10" t="str">
        <f ca="1">IFERROR(_xludf.XLOOKUP(C191,STUDENTS!$A$5:$A$204,STUDENTS!$L$5:$L$204,""),"")</f>
        <v/>
      </c>
      <c r="F191" s="8"/>
      <c r="G191" s="10" t="str">
        <f>SETTINGS!$B$8</f>
        <v>2026/2027</v>
      </c>
      <c r="H191" s="10">
        <f t="shared" si="9"/>
        <v>0</v>
      </c>
      <c r="I191" s="10">
        <f t="shared" si="10"/>
        <v>0</v>
      </c>
      <c r="J191" s="13" t="str">
        <f t="shared" si="11"/>
        <v/>
      </c>
    </row>
    <row r="192" spans="1:10" x14ac:dyDescent="0.2">
      <c r="A192" s="10" t="str">
        <f t="shared" si="8"/>
        <v/>
      </c>
      <c r="B192" s="9"/>
      <c r="C192" s="8"/>
      <c r="D192" s="10" t="str">
        <f ca="1">IFERROR(_xludf.XLOOKUP(C192,STUDENTS!$A$5:$A$204,STUDENTS!$C$5:$C$204,""),"")</f>
        <v/>
      </c>
      <c r="E192" s="10" t="str">
        <f ca="1">IFERROR(_xludf.XLOOKUP(C192,STUDENTS!$A$5:$A$204,STUDENTS!$L$5:$L$204,""),"")</f>
        <v/>
      </c>
      <c r="F192" s="8"/>
      <c r="G192" s="10" t="str">
        <f>SETTINGS!$B$8</f>
        <v>2026/2027</v>
      </c>
      <c r="H192" s="10">
        <f t="shared" si="9"/>
        <v>0</v>
      </c>
      <c r="I192" s="10">
        <f t="shared" si="10"/>
        <v>0</v>
      </c>
      <c r="J192" s="13" t="str">
        <f t="shared" si="11"/>
        <v/>
      </c>
    </row>
    <row r="193" spans="1:10" x14ac:dyDescent="0.2">
      <c r="A193" s="10" t="str">
        <f t="shared" si="8"/>
        <v/>
      </c>
      <c r="B193" s="9"/>
      <c r="C193" s="8"/>
      <c r="D193" s="10" t="str">
        <f ca="1">IFERROR(_xludf.XLOOKUP(C193,STUDENTS!$A$5:$A$204,STUDENTS!$C$5:$C$204,""),"")</f>
        <v/>
      </c>
      <c r="E193" s="10" t="str">
        <f ca="1">IFERROR(_xludf.XLOOKUP(C193,STUDENTS!$A$5:$A$204,STUDENTS!$L$5:$L$204,""),"")</f>
        <v/>
      </c>
      <c r="F193" s="8"/>
      <c r="G193" s="10" t="str">
        <f>SETTINGS!$B$8</f>
        <v>2026/2027</v>
      </c>
      <c r="H193" s="10">
        <f t="shared" si="9"/>
        <v>0</v>
      </c>
      <c r="I193" s="10">
        <f t="shared" si="10"/>
        <v>0</v>
      </c>
      <c r="J193" s="13" t="str">
        <f t="shared" si="11"/>
        <v/>
      </c>
    </row>
    <row r="194" spans="1:10" x14ac:dyDescent="0.2">
      <c r="A194" s="10" t="str">
        <f t="shared" si="8"/>
        <v/>
      </c>
      <c r="B194" s="9"/>
      <c r="C194" s="8"/>
      <c r="D194" s="10" t="str">
        <f ca="1">IFERROR(_xludf.XLOOKUP(C194,STUDENTS!$A$5:$A$204,STUDENTS!$C$5:$C$204,""),"")</f>
        <v/>
      </c>
      <c r="E194" s="10" t="str">
        <f ca="1">IFERROR(_xludf.XLOOKUP(C194,STUDENTS!$A$5:$A$204,STUDENTS!$L$5:$L$204,""),"")</f>
        <v/>
      </c>
      <c r="F194" s="8"/>
      <c r="G194" s="10" t="str">
        <f>SETTINGS!$B$8</f>
        <v>2026/2027</v>
      </c>
      <c r="H194" s="10">
        <f t="shared" si="9"/>
        <v>0</v>
      </c>
      <c r="I194" s="10">
        <f t="shared" si="10"/>
        <v>0</v>
      </c>
      <c r="J194" s="13" t="str">
        <f t="shared" si="11"/>
        <v/>
      </c>
    </row>
    <row r="195" spans="1:10" x14ac:dyDescent="0.2">
      <c r="A195" s="10" t="str">
        <f t="shared" si="8"/>
        <v/>
      </c>
      <c r="B195" s="9"/>
      <c r="C195" s="8"/>
      <c r="D195" s="10" t="str">
        <f ca="1">IFERROR(_xludf.XLOOKUP(C195,STUDENTS!$A$5:$A$204,STUDENTS!$C$5:$C$204,""),"")</f>
        <v/>
      </c>
      <c r="E195" s="10" t="str">
        <f ca="1">IFERROR(_xludf.XLOOKUP(C195,STUDENTS!$A$5:$A$204,STUDENTS!$L$5:$L$204,""),"")</f>
        <v/>
      </c>
      <c r="F195" s="8"/>
      <c r="G195" s="10" t="str">
        <f>SETTINGS!$B$8</f>
        <v>2026/2027</v>
      </c>
      <c r="H195" s="10">
        <f t="shared" si="9"/>
        <v>0</v>
      </c>
      <c r="I195" s="10">
        <f t="shared" si="10"/>
        <v>0</v>
      </c>
      <c r="J195" s="13" t="str">
        <f t="shared" si="11"/>
        <v/>
      </c>
    </row>
    <row r="196" spans="1:10" x14ac:dyDescent="0.2">
      <c r="A196" s="10" t="str">
        <f t="shared" si="8"/>
        <v/>
      </c>
      <c r="B196" s="9"/>
      <c r="C196" s="8"/>
      <c r="D196" s="10" t="str">
        <f ca="1">IFERROR(_xludf.XLOOKUP(C196,STUDENTS!$A$5:$A$204,STUDENTS!$C$5:$C$204,""),"")</f>
        <v/>
      </c>
      <c r="E196" s="10" t="str">
        <f ca="1">IFERROR(_xludf.XLOOKUP(C196,STUDENTS!$A$5:$A$204,STUDENTS!$L$5:$L$204,""),"")</f>
        <v/>
      </c>
      <c r="F196" s="8"/>
      <c r="G196" s="10" t="str">
        <f>SETTINGS!$B$8</f>
        <v>2026/2027</v>
      </c>
      <c r="H196" s="10">
        <f t="shared" si="9"/>
        <v>0</v>
      </c>
      <c r="I196" s="10">
        <f t="shared" si="10"/>
        <v>0</v>
      </c>
      <c r="J196" s="13" t="str">
        <f t="shared" si="11"/>
        <v/>
      </c>
    </row>
    <row r="197" spans="1:10" x14ac:dyDescent="0.2">
      <c r="A197" s="10" t="str">
        <f t="shared" ref="A197:A260" si="12">IF(C197="","","AT-"&amp;TEXT(ROW()-4,"00000"))</f>
        <v/>
      </c>
      <c r="B197" s="9"/>
      <c r="C197" s="8"/>
      <c r="D197" s="10" t="str">
        <f ca="1">IFERROR(_xludf.XLOOKUP(C197,STUDENTS!$A$5:$A$204,STUDENTS!$C$5:$C$204,""),"")</f>
        <v/>
      </c>
      <c r="E197" s="10" t="str">
        <f ca="1">IFERROR(_xludf.XLOOKUP(C197,STUDENTS!$A$5:$A$204,STUDENTS!$L$5:$L$204,""),"")</f>
        <v/>
      </c>
      <c r="F197" s="8"/>
      <c r="G197" s="10" t="str">
        <f>SETTINGS!$B$8</f>
        <v>2026/2027</v>
      </c>
      <c r="H197" s="10">
        <f t="shared" ref="H197:H260" si="13">IF(F197="Present",1,0)</f>
        <v>0</v>
      </c>
      <c r="I197" s="10">
        <f t="shared" ref="I197:I260" si="14">IF(F197="Absent",1,0)</f>
        <v>0</v>
      </c>
      <c r="J197" s="13" t="str">
        <f t="shared" ref="J197:J260" si="15">IF(OR(H197="",I197=""),"",IF(H197+I197=0,"",H197/(H197+I197)))</f>
        <v/>
      </c>
    </row>
    <row r="198" spans="1:10" x14ac:dyDescent="0.2">
      <c r="A198" s="10" t="str">
        <f t="shared" si="12"/>
        <v/>
      </c>
      <c r="B198" s="9"/>
      <c r="C198" s="8"/>
      <c r="D198" s="10" t="str">
        <f ca="1">IFERROR(_xludf.XLOOKUP(C198,STUDENTS!$A$5:$A$204,STUDENTS!$C$5:$C$204,""),"")</f>
        <v/>
      </c>
      <c r="E198" s="10" t="str">
        <f ca="1">IFERROR(_xludf.XLOOKUP(C198,STUDENTS!$A$5:$A$204,STUDENTS!$L$5:$L$204,""),"")</f>
        <v/>
      </c>
      <c r="F198" s="8"/>
      <c r="G198" s="10" t="str">
        <f>SETTINGS!$B$8</f>
        <v>2026/2027</v>
      </c>
      <c r="H198" s="10">
        <f t="shared" si="13"/>
        <v>0</v>
      </c>
      <c r="I198" s="10">
        <f t="shared" si="14"/>
        <v>0</v>
      </c>
      <c r="J198" s="13" t="str">
        <f t="shared" si="15"/>
        <v/>
      </c>
    </row>
    <row r="199" spans="1:10" x14ac:dyDescent="0.2">
      <c r="A199" s="10" t="str">
        <f t="shared" si="12"/>
        <v/>
      </c>
      <c r="B199" s="9"/>
      <c r="C199" s="8"/>
      <c r="D199" s="10" t="str">
        <f ca="1">IFERROR(_xludf.XLOOKUP(C199,STUDENTS!$A$5:$A$204,STUDENTS!$C$5:$C$204,""),"")</f>
        <v/>
      </c>
      <c r="E199" s="10" t="str">
        <f ca="1">IFERROR(_xludf.XLOOKUP(C199,STUDENTS!$A$5:$A$204,STUDENTS!$L$5:$L$204,""),"")</f>
        <v/>
      </c>
      <c r="F199" s="8"/>
      <c r="G199" s="10" t="str">
        <f>SETTINGS!$B$8</f>
        <v>2026/2027</v>
      </c>
      <c r="H199" s="10">
        <f t="shared" si="13"/>
        <v>0</v>
      </c>
      <c r="I199" s="10">
        <f t="shared" si="14"/>
        <v>0</v>
      </c>
      <c r="J199" s="13" t="str">
        <f t="shared" si="15"/>
        <v/>
      </c>
    </row>
    <row r="200" spans="1:10" x14ac:dyDescent="0.2">
      <c r="A200" s="10" t="str">
        <f t="shared" si="12"/>
        <v/>
      </c>
      <c r="B200" s="9"/>
      <c r="C200" s="8"/>
      <c r="D200" s="10" t="str">
        <f ca="1">IFERROR(_xludf.XLOOKUP(C200,STUDENTS!$A$5:$A$204,STUDENTS!$C$5:$C$204,""),"")</f>
        <v/>
      </c>
      <c r="E200" s="10" t="str">
        <f ca="1">IFERROR(_xludf.XLOOKUP(C200,STUDENTS!$A$5:$A$204,STUDENTS!$L$5:$L$204,""),"")</f>
        <v/>
      </c>
      <c r="F200" s="8"/>
      <c r="G200" s="10" t="str">
        <f>SETTINGS!$B$8</f>
        <v>2026/2027</v>
      </c>
      <c r="H200" s="10">
        <f t="shared" si="13"/>
        <v>0</v>
      </c>
      <c r="I200" s="10">
        <f t="shared" si="14"/>
        <v>0</v>
      </c>
      <c r="J200" s="13" t="str">
        <f t="shared" si="15"/>
        <v/>
      </c>
    </row>
    <row r="201" spans="1:10" x14ac:dyDescent="0.2">
      <c r="A201" s="10" t="str">
        <f t="shared" si="12"/>
        <v/>
      </c>
      <c r="B201" s="9"/>
      <c r="C201" s="8"/>
      <c r="D201" s="10" t="str">
        <f ca="1">IFERROR(_xludf.XLOOKUP(C201,STUDENTS!$A$5:$A$204,STUDENTS!$C$5:$C$204,""),"")</f>
        <v/>
      </c>
      <c r="E201" s="10" t="str">
        <f ca="1">IFERROR(_xludf.XLOOKUP(C201,STUDENTS!$A$5:$A$204,STUDENTS!$L$5:$L$204,""),"")</f>
        <v/>
      </c>
      <c r="F201" s="8"/>
      <c r="G201" s="10" t="str">
        <f>SETTINGS!$B$8</f>
        <v>2026/2027</v>
      </c>
      <c r="H201" s="10">
        <f t="shared" si="13"/>
        <v>0</v>
      </c>
      <c r="I201" s="10">
        <f t="shared" si="14"/>
        <v>0</v>
      </c>
      <c r="J201" s="13" t="str">
        <f t="shared" si="15"/>
        <v/>
      </c>
    </row>
    <row r="202" spans="1:10" x14ac:dyDescent="0.2">
      <c r="A202" s="10" t="str">
        <f t="shared" si="12"/>
        <v/>
      </c>
      <c r="B202" s="9"/>
      <c r="C202" s="8"/>
      <c r="D202" s="10" t="str">
        <f ca="1">IFERROR(_xludf.XLOOKUP(C202,STUDENTS!$A$5:$A$204,STUDENTS!$C$5:$C$204,""),"")</f>
        <v/>
      </c>
      <c r="E202" s="10" t="str">
        <f ca="1">IFERROR(_xludf.XLOOKUP(C202,STUDENTS!$A$5:$A$204,STUDENTS!$L$5:$L$204,""),"")</f>
        <v/>
      </c>
      <c r="F202" s="8"/>
      <c r="G202" s="10" t="str">
        <f>SETTINGS!$B$8</f>
        <v>2026/2027</v>
      </c>
      <c r="H202" s="10">
        <f t="shared" si="13"/>
        <v>0</v>
      </c>
      <c r="I202" s="10">
        <f t="shared" si="14"/>
        <v>0</v>
      </c>
      <c r="J202" s="13" t="str">
        <f t="shared" si="15"/>
        <v/>
      </c>
    </row>
    <row r="203" spans="1:10" x14ac:dyDescent="0.2">
      <c r="A203" s="10" t="str">
        <f t="shared" si="12"/>
        <v/>
      </c>
      <c r="B203" s="9"/>
      <c r="C203" s="8"/>
      <c r="D203" s="10" t="str">
        <f ca="1">IFERROR(_xludf.XLOOKUP(C203,STUDENTS!$A$5:$A$204,STUDENTS!$C$5:$C$204,""),"")</f>
        <v/>
      </c>
      <c r="E203" s="10" t="str">
        <f ca="1">IFERROR(_xludf.XLOOKUP(C203,STUDENTS!$A$5:$A$204,STUDENTS!$L$5:$L$204,""),"")</f>
        <v/>
      </c>
      <c r="F203" s="8"/>
      <c r="G203" s="10" t="str">
        <f>SETTINGS!$B$8</f>
        <v>2026/2027</v>
      </c>
      <c r="H203" s="10">
        <f t="shared" si="13"/>
        <v>0</v>
      </c>
      <c r="I203" s="10">
        <f t="shared" si="14"/>
        <v>0</v>
      </c>
      <c r="J203" s="13" t="str">
        <f t="shared" si="15"/>
        <v/>
      </c>
    </row>
    <row r="204" spans="1:10" x14ac:dyDescent="0.2">
      <c r="A204" s="10" t="str">
        <f t="shared" si="12"/>
        <v/>
      </c>
      <c r="B204" s="9"/>
      <c r="C204" s="8"/>
      <c r="D204" s="10" t="str">
        <f ca="1">IFERROR(_xludf.XLOOKUP(C204,STUDENTS!$A$5:$A$204,STUDENTS!$C$5:$C$204,""),"")</f>
        <v/>
      </c>
      <c r="E204" s="10" t="str">
        <f ca="1">IFERROR(_xludf.XLOOKUP(C204,STUDENTS!$A$5:$A$204,STUDENTS!$L$5:$L$204,""),"")</f>
        <v/>
      </c>
      <c r="F204" s="8"/>
      <c r="G204" s="10" t="str">
        <f>SETTINGS!$B$8</f>
        <v>2026/2027</v>
      </c>
      <c r="H204" s="10">
        <f t="shared" si="13"/>
        <v>0</v>
      </c>
      <c r="I204" s="10">
        <f t="shared" si="14"/>
        <v>0</v>
      </c>
      <c r="J204" s="13" t="str">
        <f t="shared" si="15"/>
        <v/>
      </c>
    </row>
    <row r="205" spans="1:10" x14ac:dyDescent="0.2">
      <c r="A205" s="10" t="str">
        <f t="shared" si="12"/>
        <v/>
      </c>
      <c r="B205" s="9"/>
      <c r="C205" s="8"/>
      <c r="D205" s="10" t="str">
        <f ca="1">IFERROR(_xludf.XLOOKUP(C205,STUDENTS!$A$5:$A$204,STUDENTS!$C$5:$C$204,""),"")</f>
        <v/>
      </c>
      <c r="E205" s="10" t="str">
        <f ca="1">IFERROR(_xludf.XLOOKUP(C205,STUDENTS!$A$5:$A$204,STUDENTS!$L$5:$L$204,""),"")</f>
        <v/>
      </c>
      <c r="F205" s="8"/>
      <c r="G205" s="10" t="str">
        <f>SETTINGS!$B$8</f>
        <v>2026/2027</v>
      </c>
      <c r="H205" s="10">
        <f t="shared" si="13"/>
        <v>0</v>
      </c>
      <c r="I205" s="10">
        <f t="shared" si="14"/>
        <v>0</v>
      </c>
      <c r="J205" s="13" t="str">
        <f t="shared" si="15"/>
        <v/>
      </c>
    </row>
    <row r="206" spans="1:10" x14ac:dyDescent="0.2">
      <c r="A206" s="10" t="str">
        <f t="shared" si="12"/>
        <v/>
      </c>
      <c r="B206" s="9"/>
      <c r="C206" s="8"/>
      <c r="D206" s="10" t="str">
        <f ca="1">IFERROR(_xludf.XLOOKUP(C206,STUDENTS!$A$5:$A$204,STUDENTS!$C$5:$C$204,""),"")</f>
        <v/>
      </c>
      <c r="E206" s="10" t="str">
        <f ca="1">IFERROR(_xludf.XLOOKUP(C206,STUDENTS!$A$5:$A$204,STUDENTS!$L$5:$L$204,""),"")</f>
        <v/>
      </c>
      <c r="F206" s="8"/>
      <c r="G206" s="10" t="str">
        <f>SETTINGS!$B$8</f>
        <v>2026/2027</v>
      </c>
      <c r="H206" s="10">
        <f t="shared" si="13"/>
        <v>0</v>
      </c>
      <c r="I206" s="10">
        <f t="shared" si="14"/>
        <v>0</v>
      </c>
      <c r="J206" s="13" t="str">
        <f t="shared" si="15"/>
        <v/>
      </c>
    </row>
    <row r="207" spans="1:10" x14ac:dyDescent="0.2">
      <c r="A207" s="10" t="str">
        <f t="shared" si="12"/>
        <v/>
      </c>
      <c r="B207" s="9"/>
      <c r="C207" s="8"/>
      <c r="D207" s="10" t="str">
        <f ca="1">IFERROR(_xludf.XLOOKUP(C207,STUDENTS!$A$5:$A$204,STUDENTS!$C$5:$C$204,""),"")</f>
        <v/>
      </c>
      <c r="E207" s="10" t="str">
        <f ca="1">IFERROR(_xludf.XLOOKUP(C207,STUDENTS!$A$5:$A$204,STUDENTS!$L$5:$L$204,""),"")</f>
        <v/>
      </c>
      <c r="F207" s="8"/>
      <c r="G207" s="10" t="str">
        <f>SETTINGS!$B$8</f>
        <v>2026/2027</v>
      </c>
      <c r="H207" s="10">
        <f t="shared" si="13"/>
        <v>0</v>
      </c>
      <c r="I207" s="10">
        <f t="shared" si="14"/>
        <v>0</v>
      </c>
      <c r="J207" s="13" t="str">
        <f t="shared" si="15"/>
        <v/>
      </c>
    </row>
    <row r="208" spans="1:10" x14ac:dyDescent="0.2">
      <c r="A208" s="10" t="str">
        <f t="shared" si="12"/>
        <v/>
      </c>
      <c r="B208" s="9"/>
      <c r="C208" s="8"/>
      <c r="D208" s="10" t="str">
        <f ca="1">IFERROR(_xludf.XLOOKUP(C208,STUDENTS!$A$5:$A$204,STUDENTS!$C$5:$C$204,""),"")</f>
        <v/>
      </c>
      <c r="E208" s="10" t="str">
        <f ca="1">IFERROR(_xludf.XLOOKUP(C208,STUDENTS!$A$5:$A$204,STUDENTS!$L$5:$L$204,""),"")</f>
        <v/>
      </c>
      <c r="F208" s="8"/>
      <c r="G208" s="10" t="str">
        <f>SETTINGS!$B$8</f>
        <v>2026/2027</v>
      </c>
      <c r="H208" s="10">
        <f t="shared" si="13"/>
        <v>0</v>
      </c>
      <c r="I208" s="10">
        <f t="shared" si="14"/>
        <v>0</v>
      </c>
      <c r="J208" s="13" t="str">
        <f t="shared" si="15"/>
        <v/>
      </c>
    </row>
    <row r="209" spans="1:10" x14ac:dyDescent="0.2">
      <c r="A209" s="10" t="str">
        <f t="shared" si="12"/>
        <v/>
      </c>
      <c r="B209" s="9"/>
      <c r="C209" s="8"/>
      <c r="D209" s="10" t="str">
        <f ca="1">IFERROR(_xludf.XLOOKUP(C209,STUDENTS!$A$5:$A$204,STUDENTS!$C$5:$C$204,""),"")</f>
        <v/>
      </c>
      <c r="E209" s="10" t="str">
        <f ca="1">IFERROR(_xludf.XLOOKUP(C209,STUDENTS!$A$5:$A$204,STUDENTS!$L$5:$L$204,""),"")</f>
        <v/>
      </c>
      <c r="F209" s="8"/>
      <c r="G209" s="10" t="str">
        <f>SETTINGS!$B$8</f>
        <v>2026/2027</v>
      </c>
      <c r="H209" s="10">
        <f t="shared" si="13"/>
        <v>0</v>
      </c>
      <c r="I209" s="10">
        <f t="shared" si="14"/>
        <v>0</v>
      </c>
      <c r="J209" s="13" t="str">
        <f t="shared" si="15"/>
        <v/>
      </c>
    </row>
    <row r="210" spans="1:10" x14ac:dyDescent="0.2">
      <c r="A210" s="10" t="str">
        <f t="shared" si="12"/>
        <v/>
      </c>
      <c r="B210" s="9"/>
      <c r="C210" s="8"/>
      <c r="D210" s="10" t="str">
        <f ca="1">IFERROR(_xludf.XLOOKUP(C210,STUDENTS!$A$5:$A$204,STUDENTS!$C$5:$C$204,""),"")</f>
        <v/>
      </c>
      <c r="E210" s="10" t="str">
        <f ca="1">IFERROR(_xludf.XLOOKUP(C210,STUDENTS!$A$5:$A$204,STUDENTS!$L$5:$L$204,""),"")</f>
        <v/>
      </c>
      <c r="F210" s="8"/>
      <c r="G210" s="10" t="str">
        <f>SETTINGS!$B$8</f>
        <v>2026/2027</v>
      </c>
      <c r="H210" s="10">
        <f t="shared" si="13"/>
        <v>0</v>
      </c>
      <c r="I210" s="10">
        <f t="shared" si="14"/>
        <v>0</v>
      </c>
      <c r="J210" s="13" t="str">
        <f t="shared" si="15"/>
        <v/>
      </c>
    </row>
    <row r="211" spans="1:10" x14ac:dyDescent="0.2">
      <c r="A211" s="10" t="str">
        <f t="shared" si="12"/>
        <v/>
      </c>
      <c r="B211" s="9"/>
      <c r="C211" s="8"/>
      <c r="D211" s="10" t="str">
        <f ca="1">IFERROR(_xludf.XLOOKUP(C211,STUDENTS!$A$5:$A$204,STUDENTS!$C$5:$C$204,""),"")</f>
        <v/>
      </c>
      <c r="E211" s="10" t="str">
        <f ca="1">IFERROR(_xludf.XLOOKUP(C211,STUDENTS!$A$5:$A$204,STUDENTS!$L$5:$L$204,""),"")</f>
        <v/>
      </c>
      <c r="F211" s="8"/>
      <c r="G211" s="10" t="str">
        <f>SETTINGS!$B$8</f>
        <v>2026/2027</v>
      </c>
      <c r="H211" s="10">
        <f t="shared" si="13"/>
        <v>0</v>
      </c>
      <c r="I211" s="10">
        <f t="shared" si="14"/>
        <v>0</v>
      </c>
      <c r="J211" s="13" t="str">
        <f t="shared" si="15"/>
        <v/>
      </c>
    </row>
    <row r="212" spans="1:10" x14ac:dyDescent="0.2">
      <c r="A212" s="10" t="str">
        <f t="shared" si="12"/>
        <v/>
      </c>
      <c r="B212" s="9"/>
      <c r="C212" s="8"/>
      <c r="D212" s="10" t="str">
        <f ca="1">IFERROR(_xludf.XLOOKUP(C212,STUDENTS!$A$5:$A$204,STUDENTS!$C$5:$C$204,""),"")</f>
        <v/>
      </c>
      <c r="E212" s="10" t="str">
        <f ca="1">IFERROR(_xludf.XLOOKUP(C212,STUDENTS!$A$5:$A$204,STUDENTS!$L$5:$L$204,""),"")</f>
        <v/>
      </c>
      <c r="F212" s="8"/>
      <c r="G212" s="10" t="str">
        <f>SETTINGS!$B$8</f>
        <v>2026/2027</v>
      </c>
      <c r="H212" s="10">
        <f t="shared" si="13"/>
        <v>0</v>
      </c>
      <c r="I212" s="10">
        <f t="shared" si="14"/>
        <v>0</v>
      </c>
      <c r="J212" s="13" t="str">
        <f t="shared" si="15"/>
        <v/>
      </c>
    </row>
    <row r="213" spans="1:10" x14ac:dyDescent="0.2">
      <c r="A213" s="10" t="str">
        <f t="shared" si="12"/>
        <v/>
      </c>
      <c r="B213" s="9"/>
      <c r="C213" s="8"/>
      <c r="D213" s="10" t="str">
        <f ca="1">IFERROR(_xludf.XLOOKUP(C213,STUDENTS!$A$5:$A$204,STUDENTS!$C$5:$C$204,""),"")</f>
        <v/>
      </c>
      <c r="E213" s="10" t="str">
        <f ca="1">IFERROR(_xludf.XLOOKUP(C213,STUDENTS!$A$5:$A$204,STUDENTS!$L$5:$L$204,""),"")</f>
        <v/>
      </c>
      <c r="F213" s="8"/>
      <c r="G213" s="10" t="str">
        <f>SETTINGS!$B$8</f>
        <v>2026/2027</v>
      </c>
      <c r="H213" s="10">
        <f t="shared" si="13"/>
        <v>0</v>
      </c>
      <c r="I213" s="10">
        <f t="shared" si="14"/>
        <v>0</v>
      </c>
      <c r="J213" s="13" t="str">
        <f t="shared" si="15"/>
        <v/>
      </c>
    </row>
    <row r="214" spans="1:10" x14ac:dyDescent="0.2">
      <c r="A214" s="10" t="str">
        <f t="shared" si="12"/>
        <v/>
      </c>
      <c r="B214" s="9"/>
      <c r="C214" s="8"/>
      <c r="D214" s="10" t="str">
        <f ca="1">IFERROR(_xludf.XLOOKUP(C214,STUDENTS!$A$5:$A$204,STUDENTS!$C$5:$C$204,""),"")</f>
        <v/>
      </c>
      <c r="E214" s="10" t="str">
        <f ca="1">IFERROR(_xludf.XLOOKUP(C214,STUDENTS!$A$5:$A$204,STUDENTS!$L$5:$L$204,""),"")</f>
        <v/>
      </c>
      <c r="F214" s="8"/>
      <c r="G214" s="10" t="str">
        <f>SETTINGS!$B$8</f>
        <v>2026/2027</v>
      </c>
      <c r="H214" s="10">
        <f t="shared" si="13"/>
        <v>0</v>
      </c>
      <c r="I214" s="10">
        <f t="shared" si="14"/>
        <v>0</v>
      </c>
      <c r="J214" s="13" t="str">
        <f t="shared" si="15"/>
        <v/>
      </c>
    </row>
    <row r="215" spans="1:10" x14ac:dyDescent="0.2">
      <c r="A215" s="10" t="str">
        <f t="shared" si="12"/>
        <v/>
      </c>
      <c r="B215" s="9"/>
      <c r="C215" s="8"/>
      <c r="D215" s="10" t="str">
        <f ca="1">IFERROR(_xludf.XLOOKUP(C215,STUDENTS!$A$5:$A$204,STUDENTS!$C$5:$C$204,""),"")</f>
        <v/>
      </c>
      <c r="E215" s="10" t="str">
        <f ca="1">IFERROR(_xludf.XLOOKUP(C215,STUDENTS!$A$5:$A$204,STUDENTS!$L$5:$L$204,""),"")</f>
        <v/>
      </c>
      <c r="F215" s="8"/>
      <c r="G215" s="10" t="str">
        <f>SETTINGS!$B$8</f>
        <v>2026/2027</v>
      </c>
      <c r="H215" s="10">
        <f t="shared" si="13"/>
        <v>0</v>
      </c>
      <c r="I215" s="10">
        <f t="shared" si="14"/>
        <v>0</v>
      </c>
      <c r="J215" s="13" t="str">
        <f t="shared" si="15"/>
        <v/>
      </c>
    </row>
    <row r="216" spans="1:10" x14ac:dyDescent="0.2">
      <c r="A216" s="10" t="str">
        <f t="shared" si="12"/>
        <v/>
      </c>
      <c r="B216" s="9"/>
      <c r="C216" s="8"/>
      <c r="D216" s="10" t="str">
        <f ca="1">IFERROR(_xludf.XLOOKUP(C216,STUDENTS!$A$5:$A$204,STUDENTS!$C$5:$C$204,""),"")</f>
        <v/>
      </c>
      <c r="E216" s="10" t="str">
        <f ca="1">IFERROR(_xludf.XLOOKUP(C216,STUDENTS!$A$5:$A$204,STUDENTS!$L$5:$L$204,""),"")</f>
        <v/>
      </c>
      <c r="F216" s="8"/>
      <c r="G216" s="10" t="str">
        <f>SETTINGS!$B$8</f>
        <v>2026/2027</v>
      </c>
      <c r="H216" s="10">
        <f t="shared" si="13"/>
        <v>0</v>
      </c>
      <c r="I216" s="10">
        <f t="shared" si="14"/>
        <v>0</v>
      </c>
      <c r="J216" s="13" t="str">
        <f t="shared" si="15"/>
        <v/>
      </c>
    </row>
    <row r="217" spans="1:10" x14ac:dyDescent="0.2">
      <c r="A217" s="10" t="str">
        <f t="shared" si="12"/>
        <v/>
      </c>
      <c r="B217" s="9"/>
      <c r="C217" s="8"/>
      <c r="D217" s="10" t="str">
        <f ca="1">IFERROR(_xludf.XLOOKUP(C217,STUDENTS!$A$5:$A$204,STUDENTS!$C$5:$C$204,""),"")</f>
        <v/>
      </c>
      <c r="E217" s="10" t="str">
        <f ca="1">IFERROR(_xludf.XLOOKUP(C217,STUDENTS!$A$5:$A$204,STUDENTS!$L$5:$L$204,""),"")</f>
        <v/>
      </c>
      <c r="F217" s="8"/>
      <c r="G217" s="10" t="str">
        <f>SETTINGS!$B$8</f>
        <v>2026/2027</v>
      </c>
      <c r="H217" s="10">
        <f t="shared" si="13"/>
        <v>0</v>
      </c>
      <c r="I217" s="10">
        <f t="shared" si="14"/>
        <v>0</v>
      </c>
      <c r="J217" s="13" t="str">
        <f t="shared" si="15"/>
        <v/>
      </c>
    </row>
    <row r="218" spans="1:10" x14ac:dyDescent="0.2">
      <c r="A218" s="10" t="str">
        <f t="shared" si="12"/>
        <v/>
      </c>
      <c r="B218" s="9"/>
      <c r="C218" s="8"/>
      <c r="D218" s="10" t="str">
        <f ca="1">IFERROR(_xludf.XLOOKUP(C218,STUDENTS!$A$5:$A$204,STUDENTS!$C$5:$C$204,""),"")</f>
        <v/>
      </c>
      <c r="E218" s="10" t="str">
        <f ca="1">IFERROR(_xludf.XLOOKUP(C218,STUDENTS!$A$5:$A$204,STUDENTS!$L$5:$L$204,""),"")</f>
        <v/>
      </c>
      <c r="F218" s="8"/>
      <c r="G218" s="10" t="str">
        <f>SETTINGS!$B$8</f>
        <v>2026/2027</v>
      </c>
      <c r="H218" s="10">
        <f t="shared" si="13"/>
        <v>0</v>
      </c>
      <c r="I218" s="10">
        <f t="shared" si="14"/>
        <v>0</v>
      </c>
      <c r="J218" s="13" t="str">
        <f t="shared" si="15"/>
        <v/>
      </c>
    </row>
    <row r="219" spans="1:10" x14ac:dyDescent="0.2">
      <c r="A219" s="10" t="str">
        <f t="shared" si="12"/>
        <v/>
      </c>
      <c r="B219" s="9"/>
      <c r="C219" s="8"/>
      <c r="D219" s="10" t="str">
        <f ca="1">IFERROR(_xludf.XLOOKUP(C219,STUDENTS!$A$5:$A$204,STUDENTS!$C$5:$C$204,""),"")</f>
        <v/>
      </c>
      <c r="E219" s="10" t="str">
        <f ca="1">IFERROR(_xludf.XLOOKUP(C219,STUDENTS!$A$5:$A$204,STUDENTS!$L$5:$L$204,""),"")</f>
        <v/>
      </c>
      <c r="F219" s="8"/>
      <c r="G219" s="10" t="str">
        <f>SETTINGS!$B$8</f>
        <v>2026/2027</v>
      </c>
      <c r="H219" s="10">
        <f t="shared" si="13"/>
        <v>0</v>
      </c>
      <c r="I219" s="10">
        <f t="shared" si="14"/>
        <v>0</v>
      </c>
      <c r="J219" s="13" t="str">
        <f t="shared" si="15"/>
        <v/>
      </c>
    </row>
    <row r="220" spans="1:10" x14ac:dyDescent="0.2">
      <c r="A220" s="10" t="str">
        <f t="shared" si="12"/>
        <v/>
      </c>
      <c r="B220" s="9"/>
      <c r="C220" s="8"/>
      <c r="D220" s="10" t="str">
        <f ca="1">IFERROR(_xludf.XLOOKUP(C220,STUDENTS!$A$5:$A$204,STUDENTS!$C$5:$C$204,""),"")</f>
        <v/>
      </c>
      <c r="E220" s="10" t="str">
        <f ca="1">IFERROR(_xludf.XLOOKUP(C220,STUDENTS!$A$5:$A$204,STUDENTS!$L$5:$L$204,""),"")</f>
        <v/>
      </c>
      <c r="F220" s="8"/>
      <c r="G220" s="10" t="str">
        <f>SETTINGS!$B$8</f>
        <v>2026/2027</v>
      </c>
      <c r="H220" s="10">
        <f t="shared" si="13"/>
        <v>0</v>
      </c>
      <c r="I220" s="10">
        <f t="shared" si="14"/>
        <v>0</v>
      </c>
      <c r="J220" s="13" t="str">
        <f t="shared" si="15"/>
        <v/>
      </c>
    </row>
    <row r="221" spans="1:10" x14ac:dyDescent="0.2">
      <c r="A221" s="10" t="str">
        <f t="shared" si="12"/>
        <v/>
      </c>
      <c r="B221" s="9"/>
      <c r="C221" s="8"/>
      <c r="D221" s="10" t="str">
        <f ca="1">IFERROR(_xludf.XLOOKUP(C221,STUDENTS!$A$5:$A$204,STUDENTS!$C$5:$C$204,""),"")</f>
        <v/>
      </c>
      <c r="E221" s="10" t="str">
        <f ca="1">IFERROR(_xludf.XLOOKUP(C221,STUDENTS!$A$5:$A$204,STUDENTS!$L$5:$L$204,""),"")</f>
        <v/>
      </c>
      <c r="F221" s="8"/>
      <c r="G221" s="10" t="str">
        <f>SETTINGS!$B$8</f>
        <v>2026/2027</v>
      </c>
      <c r="H221" s="10">
        <f t="shared" si="13"/>
        <v>0</v>
      </c>
      <c r="I221" s="10">
        <f t="shared" si="14"/>
        <v>0</v>
      </c>
      <c r="J221" s="13" t="str">
        <f t="shared" si="15"/>
        <v/>
      </c>
    </row>
    <row r="222" spans="1:10" x14ac:dyDescent="0.2">
      <c r="A222" s="10" t="str">
        <f t="shared" si="12"/>
        <v/>
      </c>
      <c r="B222" s="9"/>
      <c r="C222" s="8"/>
      <c r="D222" s="10" t="str">
        <f ca="1">IFERROR(_xludf.XLOOKUP(C222,STUDENTS!$A$5:$A$204,STUDENTS!$C$5:$C$204,""),"")</f>
        <v/>
      </c>
      <c r="E222" s="10" t="str">
        <f ca="1">IFERROR(_xludf.XLOOKUP(C222,STUDENTS!$A$5:$A$204,STUDENTS!$L$5:$L$204,""),"")</f>
        <v/>
      </c>
      <c r="F222" s="8"/>
      <c r="G222" s="10" t="str">
        <f>SETTINGS!$B$8</f>
        <v>2026/2027</v>
      </c>
      <c r="H222" s="10">
        <f t="shared" si="13"/>
        <v>0</v>
      </c>
      <c r="I222" s="10">
        <f t="shared" si="14"/>
        <v>0</v>
      </c>
      <c r="J222" s="13" t="str">
        <f t="shared" si="15"/>
        <v/>
      </c>
    </row>
    <row r="223" spans="1:10" x14ac:dyDescent="0.2">
      <c r="A223" s="10" t="str">
        <f t="shared" si="12"/>
        <v/>
      </c>
      <c r="B223" s="9"/>
      <c r="C223" s="8"/>
      <c r="D223" s="10" t="str">
        <f ca="1">IFERROR(_xludf.XLOOKUP(C223,STUDENTS!$A$5:$A$204,STUDENTS!$C$5:$C$204,""),"")</f>
        <v/>
      </c>
      <c r="E223" s="10" t="str">
        <f ca="1">IFERROR(_xludf.XLOOKUP(C223,STUDENTS!$A$5:$A$204,STUDENTS!$L$5:$L$204,""),"")</f>
        <v/>
      </c>
      <c r="F223" s="8"/>
      <c r="G223" s="10" t="str">
        <f>SETTINGS!$B$8</f>
        <v>2026/2027</v>
      </c>
      <c r="H223" s="10">
        <f t="shared" si="13"/>
        <v>0</v>
      </c>
      <c r="I223" s="10">
        <f t="shared" si="14"/>
        <v>0</v>
      </c>
      <c r="J223" s="13" t="str">
        <f t="shared" si="15"/>
        <v/>
      </c>
    </row>
    <row r="224" spans="1:10" x14ac:dyDescent="0.2">
      <c r="A224" s="10" t="str">
        <f t="shared" si="12"/>
        <v/>
      </c>
      <c r="B224" s="9"/>
      <c r="C224" s="8"/>
      <c r="D224" s="10" t="str">
        <f ca="1">IFERROR(_xludf.XLOOKUP(C224,STUDENTS!$A$5:$A$204,STUDENTS!$C$5:$C$204,""),"")</f>
        <v/>
      </c>
      <c r="E224" s="10" t="str">
        <f ca="1">IFERROR(_xludf.XLOOKUP(C224,STUDENTS!$A$5:$A$204,STUDENTS!$L$5:$L$204,""),"")</f>
        <v/>
      </c>
      <c r="F224" s="8"/>
      <c r="G224" s="10" t="str">
        <f>SETTINGS!$B$8</f>
        <v>2026/2027</v>
      </c>
      <c r="H224" s="10">
        <f t="shared" si="13"/>
        <v>0</v>
      </c>
      <c r="I224" s="10">
        <f t="shared" si="14"/>
        <v>0</v>
      </c>
      <c r="J224" s="13" t="str">
        <f t="shared" si="15"/>
        <v/>
      </c>
    </row>
    <row r="225" spans="1:10" x14ac:dyDescent="0.2">
      <c r="A225" s="10" t="str">
        <f t="shared" si="12"/>
        <v/>
      </c>
      <c r="B225" s="9"/>
      <c r="C225" s="8"/>
      <c r="D225" s="10" t="str">
        <f ca="1">IFERROR(_xludf.XLOOKUP(C225,STUDENTS!$A$5:$A$204,STUDENTS!$C$5:$C$204,""),"")</f>
        <v/>
      </c>
      <c r="E225" s="10" t="str">
        <f ca="1">IFERROR(_xludf.XLOOKUP(C225,STUDENTS!$A$5:$A$204,STUDENTS!$L$5:$L$204,""),"")</f>
        <v/>
      </c>
      <c r="F225" s="8"/>
      <c r="G225" s="10" t="str">
        <f>SETTINGS!$B$8</f>
        <v>2026/2027</v>
      </c>
      <c r="H225" s="10">
        <f t="shared" si="13"/>
        <v>0</v>
      </c>
      <c r="I225" s="10">
        <f t="shared" si="14"/>
        <v>0</v>
      </c>
      <c r="J225" s="13" t="str">
        <f t="shared" si="15"/>
        <v/>
      </c>
    </row>
    <row r="226" spans="1:10" x14ac:dyDescent="0.2">
      <c r="A226" s="10" t="str">
        <f t="shared" si="12"/>
        <v/>
      </c>
      <c r="B226" s="9"/>
      <c r="C226" s="8"/>
      <c r="D226" s="10" t="str">
        <f ca="1">IFERROR(_xludf.XLOOKUP(C226,STUDENTS!$A$5:$A$204,STUDENTS!$C$5:$C$204,""),"")</f>
        <v/>
      </c>
      <c r="E226" s="10" t="str">
        <f ca="1">IFERROR(_xludf.XLOOKUP(C226,STUDENTS!$A$5:$A$204,STUDENTS!$L$5:$L$204,""),"")</f>
        <v/>
      </c>
      <c r="F226" s="8"/>
      <c r="G226" s="10" t="str">
        <f>SETTINGS!$B$8</f>
        <v>2026/2027</v>
      </c>
      <c r="H226" s="10">
        <f t="shared" si="13"/>
        <v>0</v>
      </c>
      <c r="I226" s="10">
        <f t="shared" si="14"/>
        <v>0</v>
      </c>
      <c r="J226" s="13" t="str">
        <f t="shared" si="15"/>
        <v/>
      </c>
    </row>
    <row r="227" spans="1:10" x14ac:dyDescent="0.2">
      <c r="A227" s="10" t="str">
        <f t="shared" si="12"/>
        <v/>
      </c>
      <c r="B227" s="9"/>
      <c r="C227" s="8"/>
      <c r="D227" s="10" t="str">
        <f ca="1">IFERROR(_xludf.XLOOKUP(C227,STUDENTS!$A$5:$A$204,STUDENTS!$C$5:$C$204,""),"")</f>
        <v/>
      </c>
      <c r="E227" s="10" t="str">
        <f ca="1">IFERROR(_xludf.XLOOKUP(C227,STUDENTS!$A$5:$A$204,STUDENTS!$L$5:$L$204,""),"")</f>
        <v/>
      </c>
      <c r="F227" s="8"/>
      <c r="G227" s="10" t="str">
        <f>SETTINGS!$B$8</f>
        <v>2026/2027</v>
      </c>
      <c r="H227" s="10">
        <f t="shared" si="13"/>
        <v>0</v>
      </c>
      <c r="I227" s="10">
        <f t="shared" si="14"/>
        <v>0</v>
      </c>
      <c r="J227" s="13" t="str">
        <f t="shared" si="15"/>
        <v/>
      </c>
    </row>
    <row r="228" spans="1:10" x14ac:dyDescent="0.2">
      <c r="A228" s="10" t="str">
        <f t="shared" si="12"/>
        <v/>
      </c>
      <c r="B228" s="9"/>
      <c r="C228" s="8"/>
      <c r="D228" s="10" t="str">
        <f ca="1">IFERROR(_xludf.XLOOKUP(C228,STUDENTS!$A$5:$A$204,STUDENTS!$C$5:$C$204,""),"")</f>
        <v/>
      </c>
      <c r="E228" s="10" t="str">
        <f ca="1">IFERROR(_xludf.XLOOKUP(C228,STUDENTS!$A$5:$A$204,STUDENTS!$L$5:$L$204,""),"")</f>
        <v/>
      </c>
      <c r="F228" s="8"/>
      <c r="G228" s="10" t="str">
        <f>SETTINGS!$B$8</f>
        <v>2026/2027</v>
      </c>
      <c r="H228" s="10">
        <f t="shared" si="13"/>
        <v>0</v>
      </c>
      <c r="I228" s="10">
        <f t="shared" si="14"/>
        <v>0</v>
      </c>
      <c r="J228" s="13" t="str">
        <f t="shared" si="15"/>
        <v/>
      </c>
    </row>
    <row r="229" spans="1:10" x14ac:dyDescent="0.2">
      <c r="A229" s="10" t="str">
        <f t="shared" si="12"/>
        <v/>
      </c>
      <c r="B229" s="9"/>
      <c r="C229" s="8"/>
      <c r="D229" s="10" t="str">
        <f ca="1">IFERROR(_xludf.XLOOKUP(C229,STUDENTS!$A$5:$A$204,STUDENTS!$C$5:$C$204,""),"")</f>
        <v/>
      </c>
      <c r="E229" s="10" t="str">
        <f ca="1">IFERROR(_xludf.XLOOKUP(C229,STUDENTS!$A$5:$A$204,STUDENTS!$L$5:$L$204,""),"")</f>
        <v/>
      </c>
      <c r="F229" s="8"/>
      <c r="G229" s="10" t="str">
        <f>SETTINGS!$B$8</f>
        <v>2026/2027</v>
      </c>
      <c r="H229" s="10">
        <f t="shared" si="13"/>
        <v>0</v>
      </c>
      <c r="I229" s="10">
        <f t="shared" si="14"/>
        <v>0</v>
      </c>
      <c r="J229" s="13" t="str">
        <f t="shared" si="15"/>
        <v/>
      </c>
    </row>
    <row r="230" spans="1:10" x14ac:dyDescent="0.2">
      <c r="A230" s="10" t="str">
        <f t="shared" si="12"/>
        <v/>
      </c>
      <c r="B230" s="9"/>
      <c r="C230" s="8"/>
      <c r="D230" s="10" t="str">
        <f ca="1">IFERROR(_xludf.XLOOKUP(C230,STUDENTS!$A$5:$A$204,STUDENTS!$C$5:$C$204,""),"")</f>
        <v/>
      </c>
      <c r="E230" s="10" t="str">
        <f ca="1">IFERROR(_xludf.XLOOKUP(C230,STUDENTS!$A$5:$A$204,STUDENTS!$L$5:$L$204,""),"")</f>
        <v/>
      </c>
      <c r="F230" s="8"/>
      <c r="G230" s="10" t="str">
        <f>SETTINGS!$B$8</f>
        <v>2026/2027</v>
      </c>
      <c r="H230" s="10">
        <f t="shared" si="13"/>
        <v>0</v>
      </c>
      <c r="I230" s="10">
        <f t="shared" si="14"/>
        <v>0</v>
      </c>
      <c r="J230" s="13" t="str">
        <f t="shared" si="15"/>
        <v/>
      </c>
    </row>
    <row r="231" spans="1:10" x14ac:dyDescent="0.2">
      <c r="A231" s="10" t="str">
        <f t="shared" si="12"/>
        <v/>
      </c>
      <c r="B231" s="9"/>
      <c r="C231" s="8"/>
      <c r="D231" s="10" t="str">
        <f ca="1">IFERROR(_xludf.XLOOKUP(C231,STUDENTS!$A$5:$A$204,STUDENTS!$C$5:$C$204,""),"")</f>
        <v/>
      </c>
      <c r="E231" s="10" t="str">
        <f ca="1">IFERROR(_xludf.XLOOKUP(C231,STUDENTS!$A$5:$A$204,STUDENTS!$L$5:$L$204,""),"")</f>
        <v/>
      </c>
      <c r="F231" s="8"/>
      <c r="G231" s="10" t="str">
        <f>SETTINGS!$B$8</f>
        <v>2026/2027</v>
      </c>
      <c r="H231" s="10">
        <f t="shared" si="13"/>
        <v>0</v>
      </c>
      <c r="I231" s="10">
        <f t="shared" si="14"/>
        <v>0</v>
      </c>
      <c r="J231" s="13" t="str">
        <f t="shared" si="15"/>
        <v/>
      </c>
    </row>
    <row r="232" spans="1:10" x14ac:dyDescent="0.2">
      <c r="A232" s="10" t="str">
        <f t="shared" si="12"/>
        <v/>
      </c>
      <c r="B232" s="9"/>
      <c r="C232" s="8"/>
      <c r="D232" s="10" t="str">
        <f ca="1">IFERROR(_xludf.XLOOKUP(C232,STUDENTS!$A$5:$A$204,STUDENTS!$C$5:$C$204,""),"")</f>
        <v/>
      </c>
      <c r="E232" s="10" t="str">
        <f ca="1">IFERROR(_xludf.XLOOKUP(C232,STUDENTS!$A$5:$A$204,STUDENTS!$L$5:$L$204,""),"")</f>
        <v/>
      </c>
      <c r="F232" s="8"/>
      <c r="G232" s="10" t="str">
        <f>SETTINGS!$B$8</f>
        <v>2026/2027</v>
      </c>
      <c r="H232" s="10">
        <f t="shared" si="13"/>
        <v>0</v>
      </c>
      <c r="I232" s="10">
        <f t="shared" si="14"/>
        <v>0</v>
      </c>
      <c r="J232" s="13" t="str">
        <f t="shared" si="15"/>
        <v/>
      </c>
    </row>
    <row r="233" spans="1:10" x14ac:dyDescent="0.2">
      <c r="A233" s="10" t="str">
        <f t="shared" si="12"/>
        <v/>
      </c>
      <c r="B233" s="9"/>
      <c r="C233" s="8"/>
      <c r="D233" s="10" t="str">
        <f ca="1">IFERROR(_xludf.XLOOKUP(C233,STUDENTS!$A$5:$A$204,STUDENTS!$C$5:$C$204,""),"")</f>
        <v/>
      </c>
      <c r="E233" s="10" t="str">
        <f ca="1">IFERROR(_xludf.XLOOKUP(C233,STUDENTS!$A$5:$A$204,STUDENTS!$L$5:$L$204,""),"")</f>
        <v/>
      </c>
      <c r="F233" s="8"/>
      <c r="G233" s="10" t="str">
        <f>SETTINGS!$B$8</f>
        <v>2026/2027</v>
      </c>
      <c r="H233" s="10">
        <f t="shared" si="13"/>
        <v>0</v>
      </c>
      <c r="I233" s="10">
        <f t="shared" si="14"/>
        <v>0</v>
      </c>
      <c r="J233" s="13" t="str">
        <f t="shared" si="15"/>
        <v/>
      </c>
    </row>
    <row r="234" spans="1:10" x14ac:dyDescent="0.2">
      <c r="A234" s="10" t="str">
        <f t="shared" si="12"/>
        <v/>
      </c>
      <c r="B234" s="9"/>
      <c r="C234" s="8"/>
      <c r="D234" s="10" t="str">
        <f ca="1">IFERROR(_xludf.XLOOKUP(C234,STUDENTS!$A$5:$A$204,STUDENTS!$C$5:$C$204,""),"")</f>
        <v/>
      </c>
      <c r="E234" s="10" t="str">
        <f ca="1">IFERROR(_xludf.XLOOKUP(C234,STUDENTS!$A$5:$A$204,STUDENTS!$L$5:$L$204,""),"")</f>
        <v/>
      </c>
      <c r="F234" s="8"/>
      <c r="G234" s="10" t="str">
        <f>SETTINGS!$B$8</f>
        <v>2026/2027</v>
      </c>
      <c r="H234" s="10">
        <f t="shared" si="13"/>
        <v>0</v>
      </c>
      <c r="I234" s="10">
        <f t="shared" si="14"/>
        <v>0</v>
      </c>
      <c r="J234" s="13" t="str">
        <f t="shared" si="15"/>
        <v/>
      </c>
    </row>
    <row r="235" spans="1:10" x14ac:dyDescent="0.2">
      <c r="A235" s="10" t="str">
        <f t="shared" si="12"/>
        <v/>
      </c>
      <c r="B235" s="9"/>
      <c r="C235" s="8"/>
      <c r="D235" s="10" t="str">
        <f ca="1">IFERROR(_xludf.XLOOKUP(C235,STUDENTS!$A$5:$A$204,STUDENTS!$C$5:$C$204,""),"")</f>
        <v/>
      </c>
      <c r="E235" s="10" t="str">
        <f ca="1">IFERROR(_xludf.XLOOKUP(C235,STUDENTS!$A$5:$A$204,STUDENTS!$L$5:$L$204,""),"")</f>
        <v/>
      </c>
      <c r="F235" s="8"/>
      <c r="G235" s="10" t="str">
        <f>SETTINGS!$B$8</f>
        <v>2026/2027</v>
      </c>
      <c r="H235" s="10">
        <f t="shared" si="13"/>
        <v>0</v>
      </c>
      <c r="I235" s="10">
        <f t="shared" si="14"/>
        <v>0</v>
      </c>
      <c r="J235" s="13" t="str">
        <f t="shared" si="15"/>
        <v/>
      </c>
    </row>
    <row r="236" spans="1:10" x14ac:dyDescent="0.2">
      <c r="A236" s="10" t="str">
        <f t="shared" si="12"/>
        <v/>
      </c>
      <c r="B236" s="9"/>
      <c r="C236" s="8"/>
      <c r="D236" s="10" t="str">
        <f ca="1">IFERROR(_xludf.XLOOKUP(C236,STUDENTS!$A$5:$A$204,STUDENTS!$C$5:$C$204,""),"")</f>
        <v/>
      </c>
      <c r="E236" s="10" t="str">
        <f ca="1">IFERROR(_xludf.XLOOKUP(C236,STUDENTS!$A$5:$A$204,STUDENTS!$L$5:$L$204,""),"")</f>
        <v/>
      </c>
      <c r="F236" s="8"/>
      <c r="G236" s="10" t="str">
        <f>SETTINGS!$B$8</f>
        <v>2026/2027</v>
      </c>
      <c r="H236" s="10">
        <f t="shared" si="13"/>
        <v>0</v>
      </c>
      <c r="I236" s="10">
        <f t="shared" si="14"/>
        <v>0</v>
      </c>
      <c r="J236" s="13" t="str">
        <f t="shared" si="15"/>
        <v/>
      </c>
    </row>
    <row r="237" spans="1:10" x14ac:dyDescent="0.2">
      <c r="A237" s="10" t="str">
        <f t="shared" si="12"/>
        <v/>
      </c>
      <c r="B237" s="9"/>
      <c r="C237" s="8"/>
      <c r="D237" s="10" t="str">
        <f ca="1">IFERROR(_xludf.XLOOKUP(C237,STUDENTS!$A$5:$A$204,STUDENTS!$C$5:$C$204,""),"")</f>
        <v/>
      </c>
      <c r="E237" s="10" t="str">
        <f ca="1">IFERROR(_xludf.XLOOKUP(C237,STUDENTS!$A$5:$A$204,STUDENTS!$L$5:$L$204,""),"")</f>
        <v/>
      </c>
      <c r="F237" s="8"/>
      <c r="G237" s="10" t="str">
        <f>SETTINGS!$B$8</f>
        <v>2026/2027</v>
      </c>
      <c r="H237" s="10">
        <f t="shared" si="13"/>
        <v>0</v>
      </c>
      <c r="I237" s="10">
        <f t="shared" si="14"/>
        <v>0</v>
      </c>
      <c r="J237" s="13" t="str">
        <f t="shared" si="15"/>
        <v/>
      </c>
    </row>
    <row r="238" spans="1:10" x14ac:dyDescent="0.2">
      <c r="A238" s="10" t="str">
        <f t="shared" si="12"/>
        <v/>
      </c>
      <c r="B238" s="9"/>
      <c r="C238" s="8"/>
      <c r="D238" s="10" t="str">
        <f ca="1">IFERROR(_xludf.XLOOKUP(C238,STUDENTS!$A$5:$A$204,STUDENTS!$C$5:$C$204,""),"")</f>
        <v/>
      </c>
      <c r="E238" s="10" t="str">
        <f ca="1">IFERROR(_xludf.XLOOKUP(C238,STUDENTS!$A$5:$A$204,STUDENTS!$L$5:$L$204,""),"")</f>
        <v/>
      </c>
      <c r="F238" s="8"/>
      <c r="G238" s="10" t="str">
        <f>SETTINGS!$B$8</f>
        <v>2026/2027</v>
      </c>
      <c r="H238" s="10">
        <f t="shared" si="13"/>
        <v>0</v>
      </c>
      <c r="I238" s="10">
        <f t="shared" si="14"/>
        <v>0</v>
      </c>
      <c r="J238" s="13" t="str">
        <f t="shared" si="15"/>
        <v/>
      </c>
    </row>
    <row r="239" spans="1:10" x14ac:dyDescent="0.2">
      <c r="A239" s="10" t="str">
        <f t="shared" si="12"/>
        <v/>
      </c>
      <c r="B239" s="9"/>
      <c r="C239" s="8"/>
      <c r="D239" s="10" t="str">
        <f ca="1">IFERROR(_xludf.XLOOKUP(C239,STUDENTS!$A$5:$A$204,STUDENTS!$C$5:$C$204,""),"")</f>
        <v/>
      </c>
      <c r="E239" s="10" t="str">
        <f ca="1">IFERROR(_xludf.XLOOKUP(C239,STUDENTS!$A$5:$A$204,STUDENTS!$L$5:$L$204,""),"")</f>
        <v/>
      </c>
      <c r="F239" s="8"/>
      <c r="G239" s="10" t="str">
        <f>SETTINGS!$B$8</f>
        <v>2026/2027</v>
      </c>
      <c r="H239" s="10">
        <f t="shared" si="13"/>
        <v>0</v>
      </c>
      <c r="I239" s="10">
        <f t="shared" si="14"/>
        <v>0</v>
      </c>
      <c r="J239" s="13" t="str">
        <f t="shared" si="15"/>
        <v/>
      </c>
    </row>
    <row r="240" spans="1:10" x14ac:dyDescent="0.2">
      <c r="A240" s="10" t="str">
        <f t="shared" si="12"/>
        <v/>
      </c>
      <c r="B240" s="9"/>
      <c r="C240" s="8"/>
      <c r="D240" s="10" t="str">
        <f ca="1">IFERROR(_xludf.XLOOKUP(C240,STUDENTS!$A$5:$A$204,STUDENTS!$C$5:$C$204,""),"")</f>
        <v/>
      </c>
      <c r="E240" s="10" t="str">
        <f ca="1">IFERROR(_xludf.XLOOKUP(C240,STUDENTS!$A$5:$A$204,STUDENTS!$L$5:$L$204,""),"")</f>
        <v/>
      </c>
      <c r="F240" s="8"/>
      <c r="G240" s="10" t="str">
        <f>SETTINGS!$B$8</f>
        <v>2026/2027</v>
      </c>
      <c r="H240" s="10">
        <f t="shared" si="13"/>
        <v>0</v>
      </c>
      <c r="I240" s="10">
        <f t="shared" si="14"/>
        <v>0</v>
      </c>
      <c r="J240" s="13" t="str">
        <f t="shared" si="15"/>
        <v/>
      </c>
    </row>
    <row r="241" spans="1:10" x14ac:dyDescent="0.2">
      <c r="A241" s="10" t="str">
        <f t="shared" si="12"/>
        <v/>
      </c>
      <c r="B241" s="9"/>
      <c r="C241" s="8"/>
      <c r="D241" s="10" t="str">
        <f ca="1">IFERROR(_xludf.XLOOKUP(C241,STUDENTS!$A$5:$A$204,STUDENTS!$C$5:$C$204,""),"")</f>
        <v/>
      </c>
      <c r="E241" s="10" t="str">
        <f ca="1">IFERROR(_xludf.XLOOKUP(C241,STUDENTS!$A$5:$A$204,STUDENTS!$L$5:$L$204,""),"")</f>
        <v/>
      </c>
      <c r="F241" s="8"/>
      <c r="G241" s="10" t="str">
        <f>SETTINGS!$B$8</f>
        <v>2026/2027</v>
      </c>
      <c r="H241" s="10">
        <f t="shared" si="13"/>
        <v>0</v>
      </c>
      <c r="I241" s="10">
        <f t="shared" si="14"/>
        <v>0</v>
      </c>
      <c r="J241" s="13" t="str">
        <f t="shared" si="15"/>
        <v/>
      </c>
    </row>
    <row r="242" spans="1:10" x14ac:dyDescent="0.2">
      <c r="A242" s="10" t="str">
        <f t="shared" si="12"/>
        <v/>
      </c>
      <c r="B242" s="9"/>
      <c r="C242" s="8"/>
      <c r="D242" s="10" t="str">
        <f ca="1">IFERROR(_xludf.XLOOKUP(C242,STUDENTS!$A$5:$A$204,STUDENTS!$C$5:$C$204,""),"")</f>
        <v/>
      </c>
      <c r="E242" s="10" t="str">
        <f ca="1">IFERROR(_xludf.XLOOKUP(C242,STUDENTS!$A$5:$A$204,STUDENTS!$L$5:$L$204,""),"")</f>
        <v/>
      </c>
      <c r="F242" s="8"/>
      <c r="G242" s="10" t="str">
        <f>SETTINGS!$B$8</f>
        <v>2026/2027</v>
      </c>
      <c r="H242" s="10">
        <f t="shared" si="13"/>
        <v>0</v>
      </c>
      <c r="I242" s="10">
        <f t="shared" si="14"/>
        <v>0</v>
      </c>
      <c r="J242" s="13" t="str">
        <f t="shared" si="15"/>
        <v/>
      </c>
    </row>
    <row r="243" spans="1:10" x14ac:dyDescent="0.2">
      <c r="A243" s="10" t="str">
        <f t="shared" si="12"/>
        <v/>
      </c>
      <c r="B243" s="9"/>
      <c r="C243" s="8"/>
      <c r="D243" s="10" t="str">
        <f ca="1">IFERROR(_xludf.XLOOKUP(C243,STUDENTS!$A$5:$A$204,STUDENTS!$C$5:$C$204,""),"")</f>
        <v/>
      </c>
      <c r="E243" s="10" t="str">
        <f ca="1">IFERROR(_xludf.XLOOKUP(C243,STUDENTS!$A$5:$A$204,STUDENTS!$L$5:$L$204,""),"")</f>
        <v/>
      </c>
      <c r="F243" s="8"/>
      <c r="G243" s="10" t="str">
        <f>SETTINGS!$B$8</f>
        <v>2026/2027</v>
      </c>
      <c r="H243" s="10">
        <f t="shared" si="13"/>
        <v>0</v>
      </c>
      <c r="I243" s="10">
        <f t="shared" si="14"/>
        <v>0</v>
      </c>
      <c r="J243" s="13" t="str">
        <f t="shared" si="15"/>
        <v/>
      </c>
    </row>
    <row r="244" spans="1:10" x14ac:dyDescent="0.2">
      <c r="A244" s="10" t="str">
        <f t="shared" si="12"/>
        <v/>
      </c>
      <c r="B244" s="9"/>
      <c r="C244" s="8"/>
      <c r="D244" s="10" t="str">
        <f ca="1">IFERROR(_xludf.XLOOKUP(C244,STUDENTS!$A$5:$A$204,STUDENTS!$C$5:$C$204,""),"")</f>
        <v/>
      </c>
      <c r="E244" s="10" t="str">
        <f ca="1">IFERROR(_xludf.XLOOKUP(C244,STUDENTS!$A$5:$A$204,STUDENTS!$L$5:$L$204,""),"")</f>
        <v/>
      </c>
      <c r="F244" s="8"/>
      <c r="G244" s="10" t="str">
        <f>SETTINGS!$B$8</f>
        <v>2026/2027</v>
      </c>
      <c r="H244" s="10">
        <f t="shared" si="13"/>
        <v>0</v>
      </c>
      <c r="I244" s="10">
        <f t="shared" si="14"/>
        <v>0</v>
      </c>
      <c r="J244" s="13" t="str">
        <f t="shared" si="15"/>
        <v/>
      </c>
    </row>
    <row r="245" spans="1:10" x14ac:dyDescent="0.2">
      <c r="A245" s="10" t="str">
        <f t="shared" si="12"/>
        <v/>
      </c>
      <c r="B245" s="9"/>
      <c r="C245" s="8"/>
      <c r="D245" s="10" t="str">
        <f ca="1">IFERROR(_xludf.XLOOKUP(C245,STUDENTS!$A$5:$A$204,STUDENTS!$C$5:$C$204,""),"")</f>
        <v/>
      </c>
      <c r="E245" s="10" t="str">
        <f ca="1">IFERROR(_xludf.XLOOKUP(C245,STUDENTS!$A$5:$A$204,STUDENTS!$L$5:$L$204,""),"")</f>
        <v/>
      </c>
      <c r="F245" s="8"/>
      <c r="G245" s="10" t="str">
        <f>SETTINGS!$B$8</f>
        <v>2026/2027</v>
      </c>
      <c r="H245" s="10">
        <f t="shared" si="13"/>
        <v>0</v>
      </c>
      <c r="I245" s="10">
        <f t="shared" si="14"/>
        <v>0</v>
      </c>
      <c r="J245" s="13" t="str">
        <f t="shared" si="15"/>
        <v/>
      </c>
    </row>
    <row r="246" spans="1:10" x14ac:dyDescent="0.2">
      <c r="A246" s="10" t="str">
        <f t="shared" si="12"/>
        <v/>
      </c>
      <c r="B246" s="9"/>
      <c r="C246" s="8"/>
      <c r="D246" s="10" t="str">
        <f ca="1">IFERROR(_xludf.XLOOKUP(C246,STUDENTS!$A$5:$A$204,STUDENTS!$C$5:$C$204,""),"")</f>
        <v/>
      </c>
      <c r="E246" s="10" t="str">
        <f ca="1">IFERROR(_xludf.XLOOKUP(C246,STUDENTS!$A$5:$A$204,STUDENTS!$L$5:$L$204,""),"")</f>
        <v/>
      </c>
      <c r="F246" s="8"/>
      <c r="G246" s="10" t="str">
        <f>SETTINGS!$B$8</f>
        <v>2026/2027</v>
      </c>
      <c r="H246" s="10">
        <f t="shared" si="13"/>
        <v>0</v>
      </c>
      <c r="I246" s="10">
        <f t="shared" si="14"/>
        <v>0</v>
      </c>
      <c r="J246" s="13" t="str">
        <f t="shared" si="15"/>
        <v/>
      </c>
    </row>
    <row r="247" spans="1:10" x14ac:dyDescent="0.2">
      <c r="A247" s="10" t="str">
        <f t="shared" si="12"/>
        <v/>
      </c>
      <c r="B247" s="9"/>
      <c r="C247" s="8"/>
      <c r="D247" s="10" t="str">
        <f ca="1">IFERROR(_xludf.XLOOKUP(C247,STUDENTS!$A$5:$A$204,STUDENTS!$C$5:$C$204,""),"")</f>
        <v/>
      </c>
      <c r="E247" s="10" t="str">
        <f ca="1">IFERROR(_xludf.XLOOKUP(C247,STUDENTS!$A$5:$A$204,STUDENTS!$L$5:$L$204,""),"")</f>
        <v/>
      </c>
      <c r="F247" s="8"/>
      <c r="G247" s="10" t="str">
        <f>SETTINGS!$B$8</f>
        <v>2026/2027</v>
      </c>
      <c r="H247" s="10">
        <f t="shared" si="13"/>
        <v>0</v>
      </c>
      <c r="I247" s="10">
        <f t="shared" si="14"/>
        <v>0</v>
      </c>
      <c r="J247" s="13" t="str">
        <f t="shared" si="15"/>
        <v/>
      </c>
    </row>
    <row r="248" spans="1:10" x14ac:dyDescent="0.2">
      <c r="A248" s="10" t="str">
        <f t="shared" si="12"/>
        <v/>
      </c>
      <c r="B248" s="9"/>
      <c r="C248" s="8"/>
      <c r="D248" s="10" t="str">
        <f ca="1">IFERROR(_xludf.XLOOKUP(C248,STUDENTS!$A$5:$A$204,STUDENTS!$C$5:$C$204,""),"")</f>
        <v/>
      </c>
      <c r="E248" s="10" t="str">
        <f ca="1">IFERROR(_xludf.XLOOKUP(C248,STUDENTS!$A$5:$A$204,STUDENTS!$L$5:$L$204,""),"")</f>
        <v/>
      </c>
      <c r="F248" s="8"/>
      <c r="G248" s="10" t="str">
        <f>SETTINGS!$B$8</f>
        <v>2026/2027</v>
      </c>
      <c r="H248" s="10">
        <f t="shared" si="13"/>
        <v>0</v>
      </c>
      <c r="I248" s="10">
        <f t="shared" si="14"/>
        <v>0</v>
      </c>
      <c r="J248" s="13" t="str">
        <f t="shared" si="15"/>
        <v/>
      </c>
    </row>
    <row r="249" spans="1:10" x14ac:dyDescent="0.2">
      <c r="A249" s="10" t="str">
        <f t="shared" si="12"/>
        <v/>
      </c>
      <c r="B249" s="9"/>
      <c r="C249" s="8"/>
      <c r="D249" s="10" t="str">
        <f ca="1">IFERROR(_xludf.XLOOKUP(C249,STUDENTS!$A$5:$A$204,STUDENTS!$C$5:$C$204,""),"")</f>
        <v/>
      </c>
      <c r="E249" s="10" t="str">
        <f ca="1">IFERROR(_xludf.XLOOKUP(C249,STUDENTS!$A$5:$A$204,STUDENTS!$L$5:$L$204,""),"")</f>
        <v/>
      </c>
      <c r="F249" s="8"/>
      <c r="G249" s="10" t="str">
        <f>SETTINGS!$B$8</f>
        <v>2026/2027</v>
      </c>
      <c r="H249" s="10">
        <f t="shared" si="13"/>
        <v>0</v>
      </c>
      <c r="I249" s="10">
        <f t="shared" si="14"/>
        <v>0</v>
      </c>
      <c r="J249" s="13" t="str">
        <f t="shared" si="15"/>
        <v/>
      </c>
    </row>
    <row r="250" spans="1:10" x14ac:dyDescent="0.2">
      <c r="A250" s="10" t="str">
        <f t="shared" si="12"/>
        <v/>
      </c>
      <c r="B250" s="9"/>
      <c r="C250" s="8"/>
      <c r="D250" s="10" t="str">
        <f ca="1">IFERROR(_xludf.XLOOKUP(C250,STUDENTS!$A$5:$A$204,STUDENTS!$C$5:$C$204,""),"")</f>
        <v/>
      </c>
      <c r="E250" s="10" t="str">
        <f ca="1">IFERROR(_xludf.XLOOKUP(C250,STUDENTS!$A$5:$A$204,STUDENTS!$L$5:$L$204,""),"")</f>
        <v/>
      </c>
      <c r="F250" s="8"/>
      <c r="G250" s="10" t="str">
        <f>SETTINGS!$B$8</f>
        <v>2026/2027</v>
      </c>
      <c r="H250" s="10">
        <f t="shared" si="13"/>
        <v>0</v>
      </c>
      <c r="I250" s="10">
        <f t="shared" si="14"/>
        <v>0</v>
      </c>
      <c r="J250" s="13" t="str">
        <f t="shared" si="15"/>
        <v/>
      </c>
    </row>
    <row r="251" spans="1:10" x14ac:dyDescent="0.2">
      <c r="A251" s="10" t="str">
        <f t="shared" si="12"/>
        <v/>
      </c>
      <c r="B251" s="9"/>
      <c r="C251" s="8"/>
      <c r="D251" s="10" t="str">
        <f ca="1">IFERROR(_xludf.XLOOKUP(C251,STUDENTS!$A$5:$A$204,STUDENTS!$C$5:$C$204,""),"")</f>
        <v/>
      </c>
      <c r="E251" s="10" t="str">
        <f ca="1">IFERROR(_xludf.XLOOKUP(C251,STUDENTS!$A$5:$A$204,STUDENTS!$L$5:$L$204,""),"")</f>
        <v/>
      </c>
      <c r="F251" s="8"/>
      <c r="G251" s="10" t="str">
        <f>SETTINGS!$B$8</f>
        <v>2026/2027</v>
      </c>
      <c r="H251" s="10">
        <f t="shared" si="13"/>
        <v>0</v>
      </c>
      <c r="I251" s="10">
        <f t="shared" si="14"/>
        <v>0</v>
      </c>
      <c r="J251" s="13" t="str">
        <f t="shared" si="15"/>
        <v/>
      </c>
    </row>
    <row r="252" spans="1:10" x14ac:dyDescent="0.2">
      <c r="A252" s="10" t="str">
        <f t="shared" si="12"/>
        <v/>
      </c>
      <c r="B252" s="9"/>
      <c r="C252" s="8"/>
      <c r="D252" s="10" t="str">
        <f ca="1">IFERROR(_xludf.XLOOKUP(C252,STUDENTS!$A$5:$A$204,STUDENTS!$C$5:$C$204,""),"")</f>
        <v/>
      </c>
      <c r="E252" s="10" t="str">
        <f ca="1">IFERROR(_xludf.XLOOKUP(C252,STUDENTS!$A$5:$A$204,STUDENTS!$L$5:$L$204,""),"")</f>
        <v/>
      </c>
      <c r="F252" s="8"/>
      <c r="G252" s="10" t="str">
        <f>SETTINGS!$B$8</f>
        <v>2026/2027</v>
      </c>
      <c r="H252" s="10">
        <f t="shared" si="13"/>
        <v>0</v>
      </c>
      <c r="I252" s="10">
        <f t="shared" si="14"/>
        <v>0</v>
      </c>
      <c r="J252" s="13" t="str">
        <f t="shared" si="15"/>
        <v/>
      </c>
    </row>
    <row r="253" spans="1:10" x14ac:dyDescent="0.2">
      <c r="A253" s="10" t="str">
        <f t="shared" si="12"/>
        <v/>
      </c>
      <c r="B253" s="9"/>
      <c r="C253" s="8"/>
      <c r="D253" s="10" t="str">
        <f ca="1">IFERROR(_xludf.XLOOKUP(C253,STUDENTS!$A$5:$A$204,STUDENTS!$C$5:$C$204,""),"")</f>
        <v/>
      </c>
      <c r="E253" s="10" t="str">
        <f ca="1">IFERROR(_xludf.XLOOKUP(C253,STUDENTS!$A$5:$A$204,STUDENTS!$L$5:$L$204,""),"")</f>
        <v/>
      </c>
      <c r="F253" s="8"/>
      <c r="G253" s="10" t="str">
        <f>SETTINGS!$B$8</f>
        <v>2026/2027</v>
      </c>
      <c r="H253" s="10">
        <f t="shared" si="13"/>
        <v>0</v>
      </c>
      <c r="I253" s="10">
        <f t="shared" si="14"/>
        <v>0</v>
      </c>
      <c r="J253" s="13" t="str">
        <f t="shared" si="15"/>
        <v/>
      </c>
    </row>
    <row r="254" spans="1:10" x14ac:dyDescent="0.2">
      <c r="A254" s="10" t="str">
        <f t="shared" si="12"/>
        <v/>
      </c>
      <c r="B254" s="9"/>
      <c r="C254" s="8"/>
      <c r="D254" s="10" t="str">
        <f ca="1">IFERROR(_xludf.XLOOKUP(C254,STUDENTS!$A$5:$A$204,STUDENTS!$C$5:$C$204,""),"")</f>
        <v/>
      </c>
      <c r="E254" s="10" t="str">
        <f ca="1">IFERROR(_xludf.XLOOKUP(C254,STUDENTS!$A$5:$A$204,STUDENTS!$L$5:$L$204,""),"")</f>
        <v/>
      </c>
      <c r="F254" s="8"/>
      <c r="G254" s="10" t="str">
        <f>SETTINGS!$B$8</f>
        <v>2026/2027</v>
      </c>
      <c r="H254" s="10">
        <f t="shared" si="13"/>
        <v>0</v>
      </c>
      <c r="I254" s="10">
        <f t="shared" si="14"/>
        <v>0</v>
      </c>
      <c r="J254" s="13" t="str">
        <f t="shared" si="15"/>
        <v/>
      </c>
    </row>
    <row r="255" spans="1:10" x14ac:dyDescent="0.2">
      <c r="A255" s="10" t="str">
        <f t="shared" si="12"/>
        <v/>
      </c>
      <c r="B255" s="9"/>
      <c r="C255" s="8"/>
      <c r="D255" s="10" t="str">
        <f ca="1">IFERROR(_xludf.XLOOKUP(C255,STUDENTS!$A$5:$A$204,STUDENTS!$C$5:$C$204,""),"")</f>
        <v/>
      </c>
      <c r="E255" s="10" t="str">
        <f ca="1">IFERROR(_xludf.XLOOKUP(C255,STUDENTS!$A$5:$A$204,STUDENTS!$L$5:$L$204,""),"")</f>
        <v/>
      </c>
      <c r="F255" s="8"/>
      <c r="G255" s="10" t="str">
        <f>SETTINGS!$B$8</f>
        <v>2026/2027</v>
      </c>
      <c r="H255" s="10">
        <f t="shared" si="13"/>
        <v>0</v>
      </c>
      <c r="I255" s="10">
        <f t="shared" si="14"/>
        <v>0</v>
      </c>
      <c r="J255" s="13" t="str">
        <f t="shared" si="15"/>
        <v/>
      </c>
    </row>
    <row r="256" spans="1:10" x14ac:dyDescent="0.2">
      <c r="A256" s="10" t="str">
        <f t="shared" si="12"/>
        <v/>
      </c>
      <c r="B256" s="9"/>
      <c r="C256" s="8"/>
      <c r="D256" s="10" t="str">
        <f ca="1">IFERROR(_xludf.XLOOKUP(C256,STUDENTS!$A$5:$A$204,STUDENTS!$C$5:$C$204,""),"")</f>
        <v/>
      </c>
      <c r="E256" s="10" t="str">
        <f ca="1">IFERROR(_xludf.XLOOKUP(C256,STUDENTS!$A$5:$A$204,STUDENTS!$L$5:$L$204,""),"")</f>
        <v/>
      </c>
      <c r="F256" s="8"/>
      <c r="G256" s="10" t="str">
        <f>SETTINGS!$B$8</f>
        <v>2026/2027</v>
      </c>
      <c r="H256" s="10">
        <f t="shared" si="13"/>
        <v>0</v>
      </c>
      <c r="I256" s="10">
        <f t="shared" si="14"/>
        <v>0</v>
      </c>
      <c r="J256" s="13" t="str">
        <f t="shared" si="15"/>
        <v/>
      </c>
    </row>
    <row r="257" spans="1:10" x14ac:dyDescent="0.2">
      <c r="A257" s="10" t="str">
        <f t="shared" si="12"/>
        <v/>
      </c>
      <c r="B257" s="9"/>
      <c r="C257" s="8"/>
      <c r="D257" s="10" t="str">
        <f ca="1">IFERROR(_xludf.XLOOKUP(C257,STUDENTS!$A$5:$A$204,STUDENTS!$C$5:$C$204,""),"")</f>
        <v/>
      </c>
      <c r="E257" s="10" t="str">
        <f ca="1">IFERROR(_xludf.XLOOKUP(C257,STUDENTS!$A$5:$A$204,STUDENTS!$L$5:$L$204,""),"")</f>
        <v/>
      </c>
      <c r="F257" s="8"/>
      <c r="G257" s="10" t="str">
        <f>SETTINGS!$B$8</f>
        <v>2026/2027</v>
      </c>
      <c r="H257" s="10">
        <f t="shared" si="13"/>
        <v>0</v>
      </c>
      <c r="I257" s="10">
        <f t="shared" si="14"/>
        <v>0</v>
      </c>
      <c r="J257" s="13" t="str">
        <f t="shared" si="15"/>
        <v/>
      </c>
    </row>
    <row r="258" spans="1:10" x14ac:dyDescent="0.2">
      <c r="A258" s="10" t="str">
        <f t="shared" si="12"/>
        <v/>
      </c>
      <c r="B258" s="9"/>
      <c r="C258" s="8"/>
      <c r="D258" s="10" t="str">
        <f ca="1">IFERROR(_xludf.XLOOKUP(C258,STUDENTS!$A$5:$A$204,STUDENTS!$C$5:$C$204,""),"")</f>
        <v/>
      </c>
      <c r="E258" s="10" t="str">
        <f ca="1">IFERROR(_xludf.XLOOKUP(C258,STUDENTS!$A$5:$A$204,STUDENTS!$L$5:$L$204,""),"")</f>
        <v/>
      </c>
      <c r="F258" s="8"/>
      <c r="G258" s="10" t="str">
        <f>SETTINGS!$B$8</f>
        <v>2026/2027</v>
      </c>
      <c r="H258" s="10">
        <f t="shared" si="13"/>
        <v>0</v>
      </c>
      <c r="I258" s="10">
        <f t="shared" si="14"/>
        <v>0</v>
      </c>
      <c r="J258" s="13" t="str">
        <f t="shared" si="15"/>
        <v/>
      </c>
    </row>
    <row r="259" spans="1:10" x14ac:dyDescent="0.2">
      <c r="A259" s="10" t="str">
        <f t="shared" si="12"/>
        <v/>
      </c>
      <c r="B259" s="9"/>
      <c r="C259" s="8"/>
      <c r="D259" s="10" t="str">
        <f ca="1">IFERROR(_xludf.XLOOKUP(C259,STUDENTS!$A$5:$A$204,STUDENTS!$C$5:$C$204,""),"")</f>
        <v/>
      </c>
      <c r="E259" s="10" t="str">
        <f ca="1">IFERROR(_xludf.XLOOKUP(C259,STUDENTS!$A$5:$A$204,STUDENTS!$L$5:$L$204,""),"")</f>
        <v/>
      </c>
      <c r="F259" s="8"/>
      <c r="G259" s="10" t="str">
        <f>SETTINGS!$B$8</f>
        <v>2026/2027</v>
      </c>
      <c r="H259" s="10">
        <f t="shared" si="13"/>
        <v>0</v>
      </c>
      <c r="I259" s="10">
        <f t="shared" si="14"/>
        <v>0</v>
      </c>
      <c r="J259" s="13" t="str">
        <f t="shared" si="15"/>
        <v/>
      </c>
    </row>
    <row r="260" spans="1:10" x14ac:dyDescent="0.2">
      <c r="A260" s="10" t="str">
        <f t="shared" si="12"/>
        <v/>
      </c>
      <c r="B260" s="9"/>
      <c r="C260" s="8"/>
      <c r="D260" s="10" t="str">
        <f ca="1">IFERROR(_xludf.XLOOKUP(C260,STUDENTS!$A$5:$A$204,STUDENTS!$C$5:$C$204,""),"")</f>
        <v/>
      </c>
      <c r="E260" s="10" t="str">
        <f ca="1">IFERROR(_xludf.XLOOKUP(C260,STUDENTS!$A$5:$A$204,STUDENTS!$L$5:$L$204,""),"")</f>
        <v/>
      </c>
      <c r="F260" s="8"/>
      <c r="G260" s="10" t="str">
        <f>SETTINGS!$B$8</f>
        <v>2026/2027</v>
      </c>
      <c r="H260" s="10">
        <f t="shared" si="13"/>
        <v>0</v>
      </c>
      <c r="I260" s="10">
        <f t="shared" si="14"/>
        <v>0</v>
      </c>
      <c r="J260" s="13" t="str">
        <f t="shared" si="15"/>
        <v/>
      </c>
    </row>
    <row r="261" spans="1:10" x14ac:dyDescent="0.2">
      <c r="A261" s="10" t="str">
        <f t="shared" ref="A261:A324" si="16">IF(C261="","","AT-"&amp;TEXT(ROW()-4,"00000"))</f>
        <v/>
      </c>
      <c r="B261" s="9"/>
      <c r="C261" s="8"/>
      <c r="D261" s="10" t="str">
        <f ca="1">IFERROR(_xludf.XLOOKUP(C261,STUDENTS!$A$5:$A$204,STUDENTS!$C$5:$C$204,""),"")</f>
        <v/>
      </c>
      <c r="E261" s="10" t="str">
        <f ca="1">IFERROR(_xludf.XLOOKUP(C261,STUDENTS!$A$5:$A$204,STUDENTS!$L$5:$L$204,""),"")</f>
        <v/>
      </c>
      <c r="F261" s="8"/>
      <c r="G261" s="10" t="str">
        <f>SETTINGS!$B$8</f>
        <v>2026/2027</v>
      </c>
      <c r="H261" s="10">
        <f t="shared" ref="H261:H324" si="17">IF(F261="Present",1,0)</f>
        <v>0</v>
      </c>
      <c r="I261" s="10">
        <f t="shared" ref="I261:I324" si="18">IF(F261="Absent",1,0)</f>
        <v>0</v>
      </c>
      <c r="J261" s="13" t="str">
        <f t="shared" ref="J261:J324" si="19">IF(OR(H261="",I261=""),"",IF(H261+I261=0,"",H261/(H261+I261)))</f>
        <v/>
      </c>
    </row>
    <row r="262" spans="1:10" x14ac:dyDescent="0.2">
      <c r="A262" s="10" t="str">
        <f t="shared" si="16"/>
        <v/>
      </c>
      <c r="B262" s="9"/>
      <c r="C262" s="8"/>
      <c r="D262" s="10" t="str">
        <f ca="1">IFERROR(_xludf.XLOOKUP(C262,STUDENTS!$A$5:$A$204,STUDENTS!$C$5:$C$204,""),"")</f>
        <v/>
      </c>
      <c r="E262" s="10" t="str">
        <f ca="1">IFERROR(_xludf.XLOOKUP(C262,STUDENTS!$A$5:$A$204,STUDENTS!$L$5:$L$204,""),"")</f>
        <v/>
      </c>
      <c r="F262" s="8"/>
      <c r="G262" s="10" t="str">
        <f>SETTINGS!$B$8</f>
        <v>2026/2027</v>
      </c>
      <c r="H262" s="10">
        <f t="shared" si="17"/>
        <v>0</v>
      </c>
      <c r="I262" s="10">
        <f t="shared" si="18"/>
        <v>0</v>
      </c>
      <c r="J262" s="13" t="str">
        <f t="shared" si="19"/>
        <v/>
      </c>
    </row>
    <row r="263" spans="1:10" x14ac:dyDescent="0.2">
      <c r="A263" s="10" t="str">
        <f t="shared" si="16"/>
        <v/>
      </c>
      <c r="B263" s="9"/>
      <c r="C263" s="8"/>
      <c r="D263" s="10" t="str">
        <f ca="1">IFERROR(_xludf.XLOOKUP(C263,STUDENTS!$A$5:$A$204,STUDENTS!$C$5:$C$204,""),"")</f>
        <v/>
      </c>
      <c r="E263" s="10" t="str">
        <f ca="1">IFERROR(_xludf.XLOOKUP(C263,STUDENTS!$A$5:$A$204,STUDENTS!$L$5:$L$204,""),"")</f>
        <v/>
      </c>
      <c r="F263" s="8"/>
      <c r="G263" s="10" t="str">
        <f>SETTINGS!$B$8</f>
        <v>2026/2027</v>
      </c>
      <c r="H263" s="10">
        <f t="shared" si="17"/>
        <v>0</v>
      </c>
      <c r="I263" s="10">
        <f t="shared" si="18"/>
        <v>0</v>
      </c>
      <c r="J263" s="13" t="str">
        <f t="shared" si="19"/>
        <v/>
      </c>
    </row>
    <row r="264" spans="1:10" x14ac:dyDescent="0.2">
      <c r="A264" s="10" t="str">
        <f t="shared" si="16"/>
        <v/>
      </c>
      <c r="B264" s="9"/>
      <c r="C264" s="8"/>
      <c r="D264" s="10" t="str">
        <f ca="1">IFERROR(_xludf.XLOOKUP(C264,STUDENTS!$A$5:$A$204,STUDENTS!$C$5:$C$204,""),"")</f>
        <v/>
      </c>
      <c r="E264" s="10" t="str">
        <f ca="1">IFERROR(_xludf.XLOOKUP(C264,STUDENTS!$A$5:$A$204,STUDENTS!$L$5:$L$204,""),"")</f>
        <v/>
      </c>
      <c r="F264" s="8"/>
      <c r="G264" s="10" t="str">
        <f>SETTINGS!$B$8</f>
        <v>2026/2027</v>
      </c>
      <c r="H264" s="10">
        <f t="shared" si="17"/>
        <v>0</v>
      </c>
      <c r="I264" s="10">
        <f t="shared" si="18"/>
        <v>0</v>
      </c>
      <c r="J264" s="13" t="str">
        <f t="shared" si="19"/>
        <v/>
      </c>
    </row>
    <row r="265" spans="1:10" x14ac:dyDescent="0.2">
      <c r="A265" s="10" t="str">
        <f t="shared" si="16"/>
        <v/>
      </c>
      <c r="B265" s="9"/>
      <c r="C265" s="8"/>
      <c r="D265" s="10" t="str">
        <f ca="1">IFERROR(_xludf.XLOOKUP(C265,STUDENTS!$A$5:$A$204,STUDENTS!$C$5:$C$204,""),"")</f>
        <v/>
      </c>
      <c r="E265" s="10" t="str">
        <f ca="1">IFERROR(_xludf.XLOOKUP(C265,STUDENTS!$A$5:$A$204,STUDENTS!$L$5:$L$204,""),"")</f>
        <v/>
      </c>
      <c r="F265" s="8"/>
      <c r="G265" s="10" t="str">
        <f>SETTINGS!$B$8</f>
        <v>2026/2027</v>
      </c>
      <c r="H265" s="10">
        <f t="shared" si="17"/>
        <v>0</v>
      </c>
      <c r="I265" s="10">
        <f t="shared" si="18"/>
        <v>0</v>
      </c>
      <c r="J265" s="13" t="str">
        <f t="shared" si="19"/>
        <v/>
      </c>
    </row>
    <row r="266" spans="1:10" x14ac:dyDescent="0.2">
      <c r="A266" s="10" t="str">
        <f t="shared" si="16"/>
        <v/>
      </c>
      <c r="B266" s="9"/>
      <c r="C266" s="8"/>
      <c r="D266" s="10" t="str">
        <f ca="1">IFERROR(_xludf.XLOOKUP(C266,STUDENTS!$A$5:$A$204,STUDENTS!$C$5:$C$204,""),"")</f>
        <v/>
      </c>
      <c r="E266" s="10" t="str">
        <f ca="1">IFERROR(_xludf.XLOOKUP(C266,STUDENTS!$A$5:$A$204,STUDENTS!$L$5:$L$204,""),"")</f>
        <v/>
      </c>
      <c r="F266" s="8"/>
      <c r="G266" s="10" t="str">
        <f>SETTINGS!$B$8</f>
        <v>2026/2027</v>
      </c>
      <c r="H266" s="10">
        <f t="shared" si="17"/>
        <v>0</v>
      </c>
      <c r="I266" s="10">
        <f t="shared" si="18"/>
        <v>0</v>
      </c>
      <c r="J266" s="13" t="str">
        <f t="shared" si="19"/>
        <v/>
      </c>
    </row>
    <row r="267" spans="1:10" x14ac:dyDescent="0.2">
      <c r="A267" s="10" t="str">
        <f t="shared" si="16"/>
        <v/>
      </c>
      <c r="B267" s="9"/>
      <c r="C267" s="8"/>
      <c r="D267" s="10" t="str">
        <f ca="1">IFERROR(_xludf.XLOOKUP(C267,STUDENTS!$A$5:$A$204,STUDENTS!$C$5:$C$204,""),"")</f>
        <v/>
      </c>
      <c r="E267" s="10" t="str">
        <f ca="1">IFERROR(_xludf.XLOOKUP(C267,STUDENTS!$A$5:$A$204,STUDENTS!$L$5:$L$204,""),"")</f>
        <v/>
      </c>
      <c r="F267" s="8"/>
      <c r="G267" s="10" t="str">
        <f>SETTINGS!$B$8</f>
        <v>2026/2027</v>
      </c>
      <c r="H267" s="10">
        <f t="shared" si="17"/>
        <v>0</v>
      </c>
      <c r="I267" s="10">
        <f t="shared" si="18"/>
        <v>0</v>
      </c>
      <c r="J267" s="13" t="str">
        <f t="shared" si="19"/>
        <v/>
      </c>
    </row>
    <row r="268" spans="1:10" x14ac:dyDescent="0.2">
      <c r="A268" s="10" t="str">
        <f t="shared" si="16"/>
        <v/>
      </c>
      <c r="B268" s="9"/>
      <c r="C268" s="8"/>
      <c r="D268" s="10" t="str">
        <f ca="1">IFERROR(_xludf.XLOOKUP(C268,STUDENTS!$A$5:$A$204,STUDENTS!$C$5:$C$204,""),"")</f>
        <v/>
      </c>
      <c r="E268" s="10" t="str">
        <f ca="1">IFERROR(_xludf.XLOOKUP(C268,STUDENTS!$A$5:$A$204,STUDENTS!$L$5:$L$204,""),"")</f>
        <v/>
      </c>
      <c r="F268" s="8"/>
      <c r="G268" s="10" t="str">
        <f>SETTINGS!$B$8</f>
        <v>2026/2027</v>
      </c>
      <c r="H268" s="10">
        <f t="shared" si="17"/>
        <v>0</v>
      </c>
      <c r="I268" s="10">
        <f t="shared" si="18"/>
        <v>0</v>
      </c>
      <c r="J268" s="13" t="str">
        <f t="shared" si="19"/>
        <v/>
      </c>
    </row>
    <row r="269" spans="1:10" x14ac:dyDescent="0.2">
      <c r="A269" s="10" t="str">
        <f t="shared" si="16"/>
        <v/>
      </c>
      <c r="B269" s="9"/>
      <c r="C269" s="8"/>
      <c r="D269" s="10" t="str">
        <f ca="1">IFERROR(_xludf.XLOOKUP(C269,STUDENTS!$A$5:$A$204,STUDENTS!$C$5:$C$204,""),"")</f>
        <v/>
      </c>
      <c r="E269" s="10" t="str">
        <f ca="1">IFERROR(_xludf.XLOOKUP(C269,STUDENTS!$A$5:$A$204,STUDENTS!$L$5:$L$204,""),"")</f>
        <v/>
      </c>
      <c r="F269" s="8"/>
      <c r="G269" s="10" t="str">
        <f>SETTINGS!$B$8</f>
        <v>2026/2027</v>
      </c>
      <c r="H269" s="10">
        <f t="shared" si="17"/>
        <v>0</v>
      </c>
      <c r="I269" s="10">
        <f t="shared" si="18"/>
        <v>0</v>
      </c>
      <c r="J269" s="13" t="str">
        <f t="shared" si="19"/>
        <v/>
      </c>
    </row>
    <row r="270" spans="1:10" x14ac:dyDescent="0.2">
      <c r="A270" s="10" t="str">
        <f t="shared" si="16"/>
        <v/>
      </c>
      <c r="B270" s="9"/>
      <c r="C270" s="8"/>
      <c r="D270" s="10" t="str">
        <f ca="1">IFERROR(_xludf.XLOOKUP(C270,STUDENTS!$A$5:$A$204,STUDENTS!$C$5:$C$204,""),"")</f>
        <v/>
      </c>
      <c r="E270" s="10" t="str">
        <f ca="1">IFERROR(_xludf.XLOOKUP(C270,STUDENTS!$A$5:$A$204,STUDENTS!$L$5:$L$204,""),"")</f>
        <v/>
      </c>
      <c r="F270" s="8"/>
      <c r="G270" s="10" t="str">
        <f>SETTINGS!$B$8</f>
        <v>2026/2027</v>
      </c>
      <c r="H270" s="10">
        <f t="shared" si="17"/>
        <v>0</v>
      </c>
      <c r="I270" s="10">
        <f t="shared" si="18"/>
        <v>0</v>
      </c>
      <c r="J270" s="13" t="str">
        <f t="shared" si="19"/>
        <v/>
      </c>
    </row>
    <row r="271" spans="1:10" x14ac:dyDescent="0.2">
      <c r="A271" s="10" t="str">
        <f t="shared" si="16"/>
        <v/>
      </c>
      <c r="B271" s="9"/>
      <c r="C271" s="8"/>
      <c r="D271" s="10" t="str">
        <f ca="1">IFERROR(_xludf.XLOOKUP(C271,STUDENTS!$A$5:$A$204,STUDENTS!$C$5:$C$204,""),"")</f>
        <v/>
      </c>
      <c r="E271" s="10" t="str">
        <f ca="1">IFERROR(_xludf.XLOOKUP(C271,STUDENTS!$A$5:$A$204,STUDENTS!$L$5:$L$204,""),"")</f>
        <v/>
      </c>
      <c r="F271" s="8"/>
      <c r="G271" s="10" t="str">
        <f>SETTINGS!$B$8</f>
        <v>2026/2027</v>
      </c>
      <c r="H271" s="10">
        <f t="shared" si="17"/>
        <v>0</v>
      </c>
      <c r="I271" s="10">
        <f t="shared" si="18"/>
        <v>0</v>
      </c>
      <c r="J271" s="13" t="str">
        <f t="shared" si="19"/>
        <v/>
      </c>
    </row>
    <row r="272" spans="1:10" x14ac:dyDescent="0.2">
      <c r="A272" s="10" t="str">
        <f t="shared" si="16"/>
        <v/>
      </c>
      <c r="B272" s="9"/>
      <c r="C272" s="8"/>
      <c r="D272" s="10" t="str">
        <f ca="1">IFERROR(_xludf.XLOOKUP(C272,STUDENTS!$A$5:$A$204,STUDENTS!$C$5:$C$204,""),"")</f>
        <v/>
      </c>
      <c r="E272" s="10" t="str">
        <f ca="1">IFERROR(_xludf.XLOOKUP(C272,STUDENTS!$A$5:$A$204,STUDENTS!$L$5:$L$204,""),"")</f>
        <v/>
      </c>
      <c r="F272" s="8"/>
      <c r="G272" s="10" t="str">
        <f>SETTINGS!$B$8</f>
        <v>2026/2027</v>
      </c>
      <c r="H272" s="10">
        <f t="shared" si="17"/>
        <v>0</v>
      </c>
      <c r="I272" s="10">
        <f t="shared" si="18"/>
        <v>0</v>
      </c>
      <c r="J272" s="13" t="str">
        <f t="shared" si="19"/>
        <v/>
      </c>
    </row>
    <row r="273" spans="1:10" x14ac:dyDescent="0.2">
      <c r="A273" s="10" t="str">
        <f t="shared" si="16"/>
        <v/>
      </c>
      <c r="B273" s="9"/>
      <c r="C273" s="8"/>
      <c r="D273" s="10" t="str">
        <f ca="1">IFERROR(_xludf.XLOOKUP(C273,STUDENTS!$A$5:$A$204,STUDENTS!$C$5:$C$204,""),"")</f>
        <v/>
      </c>
      <c r="E273" s="10" t="str">
        <f ca="1">IFERROR(_xludf.XLOOKUP(C273,STUDENTS!$A$5:$A$204,STUDENTS!$L$5:$L$204,""),"")</f>
        <v/>
      </c>
      <c r="F273" s="8"/>
      <c r="G273" s="10" t="str">
        <f>SETTINGS!$B$8</f>
        <v>2026/2027</v>
      </c>
      <c r="H273" s="10">
        <f t="shared" si="17"/>
        <v>0</v>
      </c>
      <c r="I273" s="10">
        <f t="shared" si="18"/>
        <v>0</v>
      </c>
      <c r="J273" s="13" t="str">
        <f t="shared" si="19"/>
        <v/>
      </c>
    </row>
    <row r="274" spans="1:10" x14ac:dyDescent="0.2">
      <c r="A274" s="10" t="str">
        <f t="shared" si="16"/>
        <v/>
      </c>
      <c r="B274" s="9"/>
      <c r="C274" s="8"/>
      <c r="D274" s="10" t="str">
        <f ca="1">IFERROR(_xludf.XLOOKUP(C274,STUDENTS!$A$5:$A$204,STUDENTS!$C$5:$C$204,""),"")</f>
        <v/>
      </c>
      <c r="E274" s="10" t="str">
        <f ca="1">IFERROR(_xludf.XLOOKUP(C274,STUDENTS!$A$5:$A$204,STUDENTS!$L$5:$L$204,""),"")</f>
        <v/>
      </c>
      <c r="F274" s="8"/>
      <c r="G274" s="10" t="str">
        <f>SETTINGS!$B$8</f>
        <v>2026/2027</v>
      </c>
      <c r="H274" s="10">
        <f t="shared" si="17"/>
        <v>0</v>
      </c>
      <c r="I274" s="10">
        <f t="shared" si="18"/>
        <v>0</v>
      </c>
      <c r="J274" s="13" t="str">
        <f t="shared" si="19"/>
        <v/>
      </c>
    </row>
    <row r="275" spans="1:10" x14ac:dyDescent="0.2">
      <c r="A275" s="10" t="str">
        <f t="shared" si="16"/>
        <v/>
      </c>
      <c r="B275" s="9"/>
      <c r="C275" s="8"/>
      <c r="D275" s="10" t="str">
        <f ca="1">IFERROR(_xludf.XLOOKUP(C275,STUDENTS!$A$5:$A$204,STUDENTS!$C$5:$C$204,""),"")</f>
        <v/>
      </c>
      <c r="E275" s="10" t="str">
        <f ca="1">IFERROR(_xludf.XLOOKUP(C275,STUDENTS!$A$5:$A$204,STUDENTS!$L$5:$L$204,""),"")</f>
        <v/>
      </c>
      <c r="F275" s="8"/>
      <c r="G275" s="10" t="str">
        <f>SETTINGS!$B$8</f>
        <v>2026/2027</v>
      </c>
      <c r="H275" s="10">
        <f t="shared" si="17"/>
        <v>0</v>
      </c>
      <c r="I275" s="10">
        <f t="shared" si="18"/>
        <v>0</v>
      </c>
      <c r="J275" s="13" t="str">
        <f t="shared" si="19"/>
        <v/>
      </c>
    </row>
    <row r="276" spans="1:10" x14ac:dyDescent="0.2">
      <c r="A276" s="10" t="str">
        <f t="shared" si="16"/>
        <v/>
      </c>
      <c r="B276" s="9"/>
      <c r="C276" s="8"/>
      <c r="D276" s="10" t="str">
        <f ca="1">IFERROR(_xludf.XLOOKUP(C276,STUDENTS!$A$5:$A$204,STUDENTS!$C$5:$C$204,""),"")</f>
        <v/>
      </c>
      <c r="E276" s="10" t="str">
        <f ca="1">IFERROR(_xludf.XLOOKUP(C276,STUDENTS!$A$5:$A$204,STUDENTS!$L$5:$L$204,""),"")</f>
        <v/>
      </c>
      <c r="F276" s="8"/>
      <c r="G276" s="10" t="str">
        <f>SETTINGS!$B$8</f>
        <v>2026/2027</v>
      </c>
      <c r="H276" s="10">
        <f t="shared" si="17"/>
        <v>0</v>
      </c>
      <c r="I276" s="10">
        <f t="shared" si="18"/>
        <v>0</v>
      </c>
      <c r="J276" s="13" t="str">
        <f t="shared" si="19"/>
        <v/>
      </c>
    </row>
    <row r="277" spans="1:10" x14ac:dyDescent="0.2">
      <c r="A277" s="10" t="str">
        <f t="shared" si="16"/>
        <v/>
      </c>
      <c r="B277" s="9"/>
      <c r="C277" s="8"/>
      <c r="D277" s="10" t="str">
        <f ca="1">IFERROR(_xludf.XLOOKUP(C277,STUDENTS!$A$5:$A$204,STUDENTS!$C$5:$C$204,""),"")</f>
        <v/>
      </c>
      <c r="E277" s="10" t="str">
        <f ca="1">IFERROR(_xludf.XLOOKUP(C277,STUDENTS!$A$5:$A$204,STUDENTS!$L$5:$L$204,""),"")</f>
        <v/>
      </c>
      <c r="F277" s="8"/>
      <c r="G277" s="10" t="str">
        <f>SETTINGS!$B$8</f>
        <v>2026/2027</v>
      </c>
      <c r="H277" s="10">
        <f t="shared" si="17"/>
        <v>0</v>
      </c>
      <c r="I277" s="10">
        <f t="shared" si="18"/>
        <v>0</v>
      </c>
      <c r="J277" s="13" t="str">
        <f t="shared" si="19"/>
        <v/>
      </c>
    </row>
    <row r="278" spans="1:10" x14ac:dyDescent="0.2">
      <c r="A278" s="10" t="str">
        <f t="shared" si="16"/>
        <v/>
      </c>
      <c r="B278" s="9"/>
      <c r="C278" s="8"/>
      <c r="D278" s="10" t="str">
        <f ca="1">IFERROR(_xludf.XLOOKUP(C278,STUDENTS!$A$5:$A$204,STUDENTS!$C$5:$C$204,""),"")</f>
        <v/>
      </c>
      <c r="E278" s="10" t="str">
        <f ca="1">IFERROR(_xludf.XLOOKUP(C278,STUDENTS!$A$5:$A$204,STUDENTS!$L$5:$L$204,""),"")</f>
        <v/>
      </c>
      <c r="F278" s="8"/>
      <c r="G278" s="10" t="str">
        <f>SETTINGS!$B$8</f>
        <v>2026/2027</v>
      </c>
      <c r="H278" s="10">
        <f t="shared" si="17"/>
        <v>0</v>
      </c>
      <c r="I278" s="10">
        <f t="shared" si="18"/>
        <v>0</v>
      </c>
      <c r="J278" s="13" t="str">
        <f t="shared" si="19"/>
        <v/>
      </c>
    </row>
    <row r="279" spans="1:10" x14ac:dyDescent="0.2">
      <c r="A279" s="10" t="str">
        <f t="shared" si="16"/>
        <v/>
      </c>
      <c r="B279" s="9"/>
      <c r="C279" s="8"/>
      <c r="D279" s="10" t="str">
        <f ca="1">IFERROR(_xludf.XLOOKUP(C279,STUDENTS!$A$5:$A$204,STUDENTS!$C$5:$C$204,""),"")</f>
        <v/>
      </c>
      <c r="E279" s="10" t="str">
        <f ca="1">IFERROR(_xludf.XLOOKUP(C279,STUDENTS!$A$5:$A$204,STUDENTS!$L$5:$L$204,""),"")</f>
        <v/>
      </c>
      <c r="F279" s="8"/>
      <c r="G279" s="10" t="str">
        <f>SETTINGS!$B$8</f>
        <v>2026/2027</v>
      </c>
      <c r="H279" s="10">
        <f t="shared" si="17"/>
        <v>0</v>
      </c>
      <c r="I279" s="10">
        <f t="shared" si="18"/>
        <v>0</v>
      </c>
      <c r="J279" s="13" t="str">
        <f t="shared" si="19"/>
        <v/>
      </c>
    </row>
    <row r="280" spans="1:10" x14ac:dyDescent="0.2">
      <c r="A280" s="10" t="str">
        <f t="shared" si="16"/>
        <v/>
      </c>
      <c r="B280" s="9"/>
      <c r="C280" s="8"/>
      <c r="D280" s="10" t="str">
        <f ca="1">IFERROR(_xludf.XLOOKUP(C280,STUDENTS!$A$5:$A$204,STUDENTS!$C$5:$C$204,""),"")</f>
        <v/>
      </c>
      <c r="E280" s="10" t="str">
        <f ca="1">IFERROR(_xludf.XLOOKUP(C280,STUDENTS!$A$5:$A$204,STUDENTS!$L$5:$L$204,""),"")</f>
        <v/>
      </c>
      <c r="F280" s="8"/>
      <c r="G280" s="10" t="str">
        <f>SETTINGS!$B$8</f>
        <v>2026/2027</v>
      </c>
      <c r="H280" s="10">
        <f t="shared" si="17"/>
        <v>0</v>
      </c>
      <c r="I280" s="10">
        <f t="shared" si="18"/>
        <v>0</v>
      </c>
      <c r="J280" s="13" t="str">
        <f t="shared" si="19"/>
        <v/>
      </c>
    </row>
    <row r="281" spans="1:10" x14ac:dyDescent="0.2">
      <c r="A281" s="10" t="str">
        <f t="shared" si="16"/>
        <v/>
      </c>
      <c r="B281" s="9"/>
      <c r="C281" s="8"/>
      <c r="D281" s="10" t="str">
        <f ca="1">IFERROR(_xludf.XLOOKUP(C281,STUDENTS!$A$5:$A$204,STUDENTS!$C$5:$C$204,""),"")</f>
        <v/>
      </c>
      <c r="E281" s="10" t="str">
        <f ca="1">IFERROR(_xludf.XLOOKUP(C281,STUDENTS!$A$5:$A$204,STUDENTS!$L$5:$L$204,""),"")</f>
        <v/>
      </c>
      <c r="F281" s="8"/>
      <c r="G281" s="10" t="str">
        <f>SETTINGS!$B$8</f>
        <v>2026/2027</v>
      </c>
      <c r="H281" s="10">
        <f t="shared" si="17"/>
        <v>0</v>
      </c>
      <c r="I281" s="10">
        <f t="shared" si="18"/>
        <v>0</v>
      </c>
      <c r="J281" s="13" t="str">
        <f t="shared" si="19"/>
        <v/>
      </c>
    </row>
    <row r="282" spans="1:10" x14ac:dyDescent="0.2">
      <c r="A282" s="10" t="str">
        <f t="shared" si="16"/>
        <v/>
      </c>
      <c r="B282" s="9"/>
      <c r="C282" s="8"/>
      <c r="D282" s="10" t="str">
        <f ca="1">IFERROR(_xludf.XLOOKUP(C282,STUDENTS!$A$5:$A$204,STUDENTS!$C$5:$C$204,""),"")</f>
        <v/>
      </c>
      <c r="E282" s="10" t="str">
        <f ca="1">IFERROR(_xludf.XLOOKUP(C282,STUDENTS!$A$5:$A$204,STUDENTS!$L$5:$L$204,""),"")</f>
        <v/>
      </c>
      <c r="F282" s="8"/>
      <c r="G282" s="10" t="str">
        <f>SETTINGS!$B$8</f>
        <v>2026/2027</v>
      </c>
      <c r="H282" s="10">
        <f t="shared" si="17"/>
        <v>0</v>
      </c>
      <c r="I282" s="10">
        <f t="shared" si="18"/>
        <v>0</v>
      </c>
      <c r="J282" s="13" t="str">
        <f t="shared" si="19"/>
        <v/>
      </c>
    </row>
    <row r="283" spans="1:10" x14ac:dyDescent="0.2">
      <c r="A283" s="10" t="str">
        <f t="shared" si="16"/>
        <v/>
      </c>
      <c r="B283" s="9"/>
      <c r="C283" s="8"/>
      <c r="D283" s="10" t="str">
        <f ca="1">IFERROR(_xludf.XLOOKUP(C283,STUDENTS!$A$5:$A$204,STUDENTS!$C$5:$C$204,""),"")</f>
        <v/>
      </c>
      <c r="E283" s="10" t="str">
        <f ca="1">IFERROR(_xludf.XLOOKUP(C283,STUDENTS!$A$5:$A$204,STUDENTS!$L$5:$L$204,""),"")</f>
        <v/>
      </c>
      <c r="F283" s="8"/>
      <c r="G283" s="10" t="str">
        <f>SETTINGS!$B$8</f>
        <v>2026/2027</v>
      </c>
      <c r="H283" s="10">
        <f t="shared" si="17"/>
        <v>0</v>
      </c>
      <c r="I283" s="10">
        <f t="shared" si="18"/>
        <v>0</v>
      </c>
      <c r="J283" s="13" t="str">
        <f t="shared" si="19"/>
        <v/>
      </c>
    </row>
    <row r="284" spans="1:10" x14ac:dyDescent="0.2">
      <c r="A284" s="10" t="str">
        <f t="shared" si="16"/>
        <v/>
      </c>
      <c r="B284" s="9"/>
      <c r="C284" s="8"/>
      <c r="D284" s="10" t="str">
        <f ca="1">IFERROR(_xludf.XLOOKUP(C284,STUDENTS!$A$5:$A$204,STUDENTS!$C$5:$C$204,""),"")</f>
        <v/>
      </c>
      <c r="E284" s="10" t="str">
        <f ca="1">IFERROR(_xludf.XLOOKUP(C284,STUDENTS!$A$5:$A$204,STUDENTS!$L$5:$L$204,""),"")</f>
        <v/>
      </c>
      <c r="F284" s="8"/>
      <c r="G284" s="10" t="str">
        <f>SETTINGS!$B$8</f>
        <v>2026/2027</v>
      </c>
      <c r="H284" s="10">
        <f t="shared" si="17"/>
        <v>0</v>
      </c>
      <c r="I284" s="10">
        <f t="shared" si="18"/>
        <v>0</v>
      </c>
      <c r="J284" s="13" t="str">
        <f t="shared" si="19"/>
        <v/>
      </c>
    </row>
    <row r="285" spans="1:10" x14ac:dyDescent="0.2">
      <c r="A285" s="10" t="str">
        <f t="shared" si="16"/>
        <v/>
      </c>
      <c r="B285" s="9"/>
      <c r="C285" s="8"/>
      <c r="D285" s="10" t="str">
        <f ca="1">IFERROR(_xludf.XLOOKUP(C285,STUDENTS!$A$5:$A$204,STUDENTS!$C$5:$C$204,""),"")</f>
        <v/>
      </c>
      <c r="E285" s="10" t="str">
        <f ca="1">IFERROR(_xludf.XLOOKUP(C285,STUDENTS!$A$5:$A$204,STUDENTS!$L$5:$L$204,""),"")</f>
        <v/>
      </c>
      <c r="F285" s="8"/>
      <c r="G285" s="10" t="str">
        <f>SETTINGS!$B$8</f>
        <v>2026/2027</v>
      </c>
      <c r="H285" s="10">
        <f t="shared" si="17"/>
        <v>0</v>
      </c>
      <c r="I285" s="10">
        <f t="shared" si="18"/>
        <v>0</v>
      </c>
      <c r="J285" s="13" t="str">
        <f t="shared" si="19"/>
        <v/>
      </c>
    </row>
    <row r="286" spans="1:10" x14ac:dyDescent="0.2">
      <c r="A286" s="10" t="str">
        <f t="shared" si="16"/>
        <v/>
      </c>
      <c r="B286" s="9"/>
      <c r="C286" s="8"/>
      <c r="D286" s="10" t="str">
        <f ca="1">IFERROR(_xludf.XLOOKUP(C286,STUDENTS!$A$5:$A$204,STUDENTS!$C$5:$C$204,""),"")</f>
        <v/>
      </c>
      <c r="E286" s="10" t="str">
        <f ca="1">IFERROR(_xludf.XLOOKUP(C286,STUDENTS!$A$5:$A$204,STUDENTS!$L$5:$L$204,""),"")</f>
        <v/>
      </c>
      <c r="F286" s="8"/>
      <c r="G286" s="10" t="str">
        <f>SETTINGS!$B$8</f>
        <v>2026/2027</v>
      </c>
      <c r="H286" s="10">
        <f t="shared" si="17"/>
        <v>0</v>
      </c>
      <c r="I286" s="10">
        <f t="shared" si="18"/>
        <v>0</v>
      </c>
      <c r="J286" s="13" t="str">
        <f t="shared" si="19"/>
        <v/>
      </c>
    </row>
    <row r="287" spans="1:10" x14ac:dyDescent="0.2">
      <c r="A287" s="10" t="str">
        <f t="shared" si="16"/>
        <v/>
      </c>
      <c r="B287" s="9"/>
      <c r="C287" s="8"/>
      <c r="D287" s="10" t="str">
        <f ca="1">IFERROR(_xludf.XLOOKUP(C287,STUDENTS!$A$5:$A$204,STUDENTS!$C$5:$C$204,""),"")</f>
        <v/>
      </c>
      <c r="E287" s="10" t="str">
        <f ca="1">IFERROR(_xludf.XLOOKUP(C287,STUDENTS!$A$5:$A$204,STUDENTS!$L$5:$L$204,""),"")</f>
        <v/>
      </c>
      <c r="F287" s="8"/>
      <c r="G287" s="10" t="str">
        <f>SETTINGS!$B$8</f>
        <v>2026/2027</v>
      </c>
      <c r="H287" s="10">
        <f t="shared" si="17"/>
        <v>0</v>
      </c>
      <c r="I287" s="10">
        <f t="shared" si="18"/>
        <v>0</v>
      </c>
      <c r="J287" s="13" t="str">
        <f t="shared" si="19"/>
        <v/>
      </c>
    </row>
    <row r="288" spans="1:10" x14ac:dyDescent="0.2">
      <c r="A288" s="10" t="str">
        <f t="shared" si="16"/>
        <v/>
      </c>
      <c r="B288" s="9"/>
      <c r="C288" s="8"/>
      <c r="D288" s="10" t="str">
        <f ca="1">IFERROR(_xludf.XLOOKUP(C288,STUDENTS!$A$5:$A$204,STUDENTS!$C$5:$C$204,""),"")</f>
        <v/>
      </c>
      <c r="E288" s="10" t="str">
        <f ca="1">IFERROR(_xludf.XLOOKUP(C288,STUDENTS!$A$5:$A$204,STUDENTS!$L$5:$L$204,""),"")</f>
        <v/>
      </c>
      <c r="F288" s="8"/>
      <c r="G288" s="10" t="str">
        <f>SETTINGS!$B$8</f>
        <v>2026/2027</v>
      </c>
      <c r="H288" s="10">
        <f t="shared" si="17"/>
        <v>0</v>
      </c>
      <c r="I288" s="10">
        <f t="shared" si="18"/>
        <v>0</v>
      </c>
      <c r="J288" s="13" t="str">
        <f t="shared" si="19"/>
        <v/>
      </c>
    </row>
    <row r="289" spans="1:10" x14ac:dyDescent="0.2">
      <c r="A289" s="10" t="str">
        <f t="shared" si="16"/>
        <v/>
      </c>
      <c r="B289" s="9"/>
      <c r="C289" s="8"/>
      <c r="D289" s="10" t="str">
        <f ca="1">IFERROR(_xludf.XLOOKUP(C289,STUDENTS!$A$5:$A$204,STUDENTS!$C$5:$C$204,""),"")</f>
        <v/>
      </c>
      <c r="E289" s="10" t="str">
        <f ca="1">IFERROR(_xludf.XLOOKUP(C289,STUDENTS!$A$5:$A$204,STUDENTS!$L$5:$L$204,""),"")</f>
        <v/>
      </c>
      <c r="F289" s="8"/>
      <c r="G289" s="10" t="str">
        <f>SETTINGS!$B$8</f>
        <v>2026/2027</v>
      </c>
      <c r="H289" s="10">
        <f t="shared" si="17"/>
        <v>0</v>
      </c>
      <c r="I289" s="10">
        <f t="shared" si="18"/>
        <v>0</v>
      </c>
      <c r="J289" s="13" t="str">
        <f t="shared" si="19"/>
        <v/>
      </c>
    </row>
    <row r="290" spans="1:10" x14ac:dyDescent="0.2">
      <c r="A290" s="10" t="str">
        <f t="shared" si="16"/>
        <v/>
      </c>
      <c r="B290" s="9"/>
      <c r="C290" s="8"/>
      <c r="D290" s="10" t="str">
        <f ca="1">IFERROR(_xludf.XLOOKUP(C290,STUDENTS!$A$5:$A$204,STUDENTS!$C$5:$C$204,""),"")</f>
        <v/>
      </c>
      <c r="E290" s="10" t="str">
        <f ca="1">IFERROR(_xludf.XLOOKUP(C290,STUDENTS!$A$5:$A$204,STUDENTS!$L$5:$L$204,""),"")</f>
        <v/>
      </c>
      <c r="F290" s="8"/>
      <c r="G290" s="10" t="str">
        <f>SETTINGS!$B$8</f>
        <v>2026/2027</v>
      </c>
      <c r="H290" s="10">
        <f t="shared" si="17"/>
        <v>0</v>
      </c>
      <c r="I290" s="10">
        <f t="shared" si="18"/>
        <v>0</v>
      </c>
      <c r="J290" s="13" t="str">
        <f t="shared" si="19"/>
        <v/>
      </c>
    </row>
    <row r="291" spans="1:10" x14ac:dyDescent="0.2">
      <c r="A291" s="10" t="str">
        <f t="shared" si="16"/>
        <v/>
      </c>
      <c r="B291" s="9"/>
      <c r="C291" s="8"/>
      <c r="D291" s="10" t="str">
        <f ca="1">IFERROR(_xludf.XLOOKUP(C291,STUDENTS!$A$5:$A$204,STUDENTS!$C$5:$C$204,""),"")</f>
        <v/>
      </c>
      <c r="E291" s="10" t="str">
        <f ca="1">IFERROR(_xludf.XLOOKUP(C291,STUDENTS!$A$5:$A$204,STUDENTS!$L$5:$L$204,""),"")</f>
        <v/>
      </c>
      <c r="F291" s="8"/>
      <c r="G291" s="10" t="str">
        <f>SETTINGS!$B$8</f>
        <v>2026/2027</v>
      </c>
      <c r="H291" s="10">
        <f t="shared" si="17"/>
        <v>0</v>
      </c>
      <c r="I291" s="10">
        <f t="shared" si="18"/>
        <v>0</v>
      </c>
      <c r="J291" s="13" t="str">
        <f t="shared" si="19"/>
        <v/>
      </c>
    </row>
    <row r="292" spans="1:10" x14ac:dyDescent="0.2">
      <c r="A292" s="10" t="str">
        <f t="shared" si="16"/>
        <v/>
      </c>
      <c r="B292" s="9"/>
      <c r="C292" s="8"/>
      <c r="D292" s="10" t="str">
        <f ca="1">IFERROR(_xludf.XLOOKUP(C292,STUDENTS!$A$5:$A$204,STUDENTS!$C$5:$C$204,""),"")</f>
        <v/>
      </c>
      <c r="E292" s="10" t="str">
        <f ca="1">IFERROR(_xludf.XLOOKUP(C292,STUDENTS!$A$5:$A$204,STUDENTS!$L$5:$L$204,""),"")</f>
        <v/>
      </c>
      <c r="F292" s="8"/>
      <c r="G292" s="10" t="str">
        <f>SETTINGS!$B$8</f>
        <v>2026/2027</v>
      </c>
      <c r="H292" s="10">
        <f t="shared" si="17"/>
        <v>0</v>
      </c>
      <c r="I292" s="10">
        <f t="shared" si="18"/>
        <v>0</v>
      </c>
      <c r="J292" s="13" t="str">
        <f t="shared" si="19"/>
        <v/>
      </c>
    </row>
    <row r="293" spans="1:10" x14ac:dyDescent="0.2">
      <c r="A293" s="10" t="str">
        <f t="shared" si="16"/>
        <v/>
      </c>
      <c r="B293" s="9"/>
      <c r="C293" s="8"/>
      <c r="D293" s="10" t="str">
        <f ca="1">IFERROR(_xludf.XLOOKUP(C293,STUDENTS!$A$5:$A$204,STUDENTS!$C$5:$C$204,""),"")</f>
        <v/>
      </c>
      <c r="E293" s="10" t="str">
        <f ca="1">IFERROR(_xludf.XLOOKUP(C293,STUDENTS!$A$5:$A$204,STUDENTS!$L$5:$L$204,""),"")</f>
        <v/>
      </c>
      <c r="F293" s="8"/>
      <c r="G293" s="10" t="str">
        <f>SETTINGS!$B$8</f>
        <v>2026/2027</v>
      </c>
      <c r="H293" s="10">
        <f t="shared" si="17"/>
        <v>0</v>
      </c>
      <c r="I293" s="10">
        <f t="shared" si="18"/>
        <v>0</v>
      </c>
      <c r="J293" s="13" t="str">
        <f t="shared" si="19"/>
        <v/>
      </c>
    </row>
    <row r="294" spans="1:10" x14ac:dyDescent="0.2">
      <c r="A294" s="10" t="str">
        <f t="shared" si="16"/>
        <v/>
      </c>
      <c r="B294" s="9"/>
      <c r="C294" s="8"/>
      <c r="D294" s="10" t="str">
        <f ca="1">IFERROR(_xludf.XLOOKUP(C294,STUDENTS!$A$5:$A$204,STUDENTS!$C$5:$C$204,""),"")</f>
        <v/>
      </c>
      <c r="E294" s="10" t="str">
        <f ca="1">IFERROR(_xludf.XLOOKUP(C294,STUDENTS!$A$5:$A$204,STUDENTS!$L$5:$L$204,""),"")</f>
        <v/>
      </c>
      <c r="F294" s="8"/>
      <c r="G294" s="10" t="str">
        <f>SETTINGS!$B$8</f>
        <v>2026/2027</v>
      </c>
      <c r="H294" s="10">
        <f t="shared" si="17"/>
        <v>0</v>
      </c>
      <c r="I294" s="10">
        <f t="shared" si="18"/>
        <v>0</v>
      </c>
      <c r="J294" s="13" t="str">
        <f t="shared" si="19"/>
        <v/>
      </c>
    </row>
    <row r="295" spans="1:10" x14ac:dyDescent="0.2">
      <c r="A295" s="10" t="str">
        <f t="shared" si="16"/>
        <v/>
      </c>
      <c r="B295" s="9"/>
      <c r="C295" s="8"/>
      <c r="D295" s="10" t="str">
        <f ca="1">IFERROR(_xludf.XLOOKUP(C295,STUDENTS!$A$5:$A$204,STUDENTS!$C$5:$C$204,""),"")</f>
        <v/>
      </c>
      <c r="E295" s="10" t="str">
        <f ca="1">IFERROR(_xludf.XLOOKUP(C295,STUDENTS!$A$5:$A$204,STUDENTS!$L$5:$L$204,""),"")</f>
        <v/>
      </c>
      <c r="F295" s="8"/>
      <c r="G295" s="10" t="str">
        <f>SETTINGS!$B$8</f>
        <v>2026/2027</v>
      </c>
      <c r="H295" s="10">
        <f t="shared" si="17"/>
        <v>0</v>
      </c>
      <c r="I295" s="10">
        <f t="shared" si="18"/>
        <v>0</v>
      </c>
      <c r="J295" s="13" t="str">
        <f t="shared" si="19"/>
        <v/>
      </c>
    </row>
    <row r="296" spans="1:10" x14ac:dyDescent="0.2">
      <c r="A296" s="10" t="str">
        <f t="shared" si="16"/>
        <v/>
      </c>
      <c r="B296" s="9"/>
      <c r="C296" s="8"/>
      <c r="D296" s="10" t="str">
        <f ca="1">IFERROR(_xludf.XLOOKUP(C296,STUDENTS!$A$5:$A$204,STUDENTS!$C$5:$C$204,""),"")</f>
        <v/>
      </c>
      <c r="E296" s="10" t="str">
        <f ca="1">IFERROR(_xludf.XLOOKUP(C296,STUDENTS!$A$5:$A$204,STUDENTS!$L$5:$L$204,""),"")</f>
        <v/>
      </c>
      <c r="F296" s="8"/>
      <c r="G296" s="10" t="str">
        <f>SETTINGS!$B$8</f>
        <v>2026/2027</v>
      </c>
      <c r="H296" s="10">
        <f t="shared" si="17"/>
        <v>0</v>
      </c>
      <c r="I296" s="10">
        <f t="shared" si="18"/>
        <v>0</v>
      </c>
      <c r="J296" s="13" t="str">
        <f t="shared" si="19"/>
        <v/>
      </c>
    </row>
    <row r="297" spans="1:10" x14ac:dyDescent="0.2">
      <c r="A297" s="10" t="str">
        <f t="shared" si="16"/>
        <v/>
      </c>
      <c r="B297" s="9"/>
      <c r="C297" s="8"/>
      <c r="D297" s="10" t="str">
        <f ca="1">IFERROR(_xludf.XLOOKUP(C297,STUDENTS!$A$5:$A$204,STUDENTS!$C$5:$C$204,""),"")</f>
        <v/>
      </c>
      <c r="E297" s="10" t="str">
        <f ca="1">IFERROR(_xludf.XLOOKUP(C297,STUDENTS!$A$5:$A$204,STUDENTS!$L$5:$L$204,""),"")</f>
        <v/>
      </c>
      <c r="F297" s="8"/>
      <c r="G297" s="10" t="str">
        <f>SETTINGS!$B$8</f>
        <v>2026/2027</v>
      </c>
      <c r="H297" s="10">
        <f t="shared" si="17"/>
        <v>0</v>
      </c>
      <c r="I297" s="10">
        <f t="shared" si="18"/>
        <v>0</v>
      </c>
      <c r="J297" s="13" t="str">
        <f t="shared" si="19"/>
        <v/>
      </c>
    </row>
    <row r="298" spans="1:10" x14ac:dyDescent="0.2">
      <c r="A298" s="10" t="str">
        <f t="shared" si="16"/>
        <v/>
      </c>
      <c r="B298" s="9"/>
      <c r="C298" s="8"/>
      <c r="D298" s="10" t="str">
        <f ca="1">IFERROR(_xludf.XLOOKUP(C298,STUDENTS!$A$5:$A$204,STUDENTS!$C$5:$C$204,""),"")</f>
        <v/>
      </c>
      <c r="E298" s="10" t="str">
        <f ca="1">IFERROR(_xludf.XLOOKUP(C298,STUDENTS!$A$5:$A$204,STUDENTS!$L$5:$L$204,""),"")</f>
        <v/>
      </c>
      <c r="F298" s="8"/>
      <c r="G298" s="10" t="str">
        <f>SETTINGS!$B$8</f>
        <v>2026/2027</v>
      </c>
      <c r="H298" s="10">
        <f t="shared" si="17"/>
        <v>0</v>
      </c>
      <c r="I298" s="10">
        <f t="shared" si="18"/>
        <v>0</v>
      </c>
      <c r="J298" s="13" t="str">
        <f t="shared" si="19"/>
        <v/>
      </c>
    </row>
    <row r="299" spans="1:10" x14ac:dyDescent="0.2">
      <c r="A299" s="10" t="str">
        <f t="shared" si="16"/>
        <v/>
      </c>
      <c r="B299" s="9"/>
      <c r="C299" s="8"/>
      <c r="D299" s="10" t="str">
        <f ca="1">IFERROR(_xludf.XLOOKUP(C299,STUDENTS!$A$5:$A$204,STUDENTS!$C$5:$C$204,""),"")</f>
        <v/>
      </c>
      <c r="E299" s="10" t="str">
        <f ca="1">IFERROR(_xludf.XLOOKUP(C299,STUDENTS!$A$5:$A$204,STUDENTS!$L$5:$L$204,""),"")</f>
        <v/>
      </c>
      <c r="F299" s="8"/>
      <c r="G299" s="10" t="str">
        <f>SETTINGS!$B$8</f>
        <v>2026/2027</v>
      </c>
      <c r="H299" s="10">
        <f t="shared" si="17"/>
        <v>0</v>
      </c>
      <c r="I299" s="10">
        <f t="shared" si="18"/>
        <v>0</v>
      </c>
      <c r="J299" s="13" t="str">
        <f t="shared" si="19"/>
        <v/>
      </c>
    </row>
    <row r="300" spans="1:10" x14ac:dyDescent="0.2">
      <c r="A300" s="10" t="str">
        <f t="shared" si="16"/>
        <v/>
      </c>
      <c r="B300" s="9"/>
      <c r="C300" s="8"/>
      <c r="D300" s="10" t="str">
        <f ca="1">IFERROR(_xludf.XLOOKUP(C300,STUDENTS!$A$5:$A$204,STUDENTS!$C$5:$C$204,""),"")</f>
        <v/>
      </c>
      <c r="E300" s="10" t="str">
        <f ca="1">IFERROR(_xludf.XLOOKUP(C300,STUDENTS!$A$5:$A$204,STUDENTS!$L$5:$L$204,""),"")</f>
        <v/>
      </c>
      <c r="F300" s="8"/>
      <c r="G300" s="10" t="str">
        <f>SETTINGS!$B$8</f>
        <v>2026/2027</v>
      </c>
      <c r="H300" s="10">
        <f t="shared" si="17"/>
        <v>0</v>
      </c>
      <c r="I300" s="10">
        <f t="shared" si="18"/>
        <v>0</v>
      </c>
      <c r="J300" s="13" t="str">
        <f t="shared" si="19"/>
        <v/>
      </c>
    </row>
    <row r="301" spans="1:10" x14ac:dyDescent="0.2">
      <c r="A301" s="10" t="str">
        <f t="shared" si="16"/>
        <v/>
      </c>
      <c r="B301" s="9"/>
      <c r="C301" s="8"/>
      <c r="D301" s="10" t="str">
        <f ca="1">IFERROR(_xludf.XLOOKUP(C301,STUDENTS!$A$5:$A$204,STUDENTS!$C$5:$C$204,""),"")</f>
        <v/>
      </c>
      <c r="E301" s="10" t="str">
        <f ca="1">IFERROR(_xludf.XLOOKUP(C301,STUDENTS!$A$5:$A$204,STUDENTS!$L$5:$L$204,""),"")</f>
        <v/>
      </c>
      <c r="F301" s="8"/>
      <c r="G301" s="10" t="str">
        <f>SETTINGS!$B$8</f>
        <v>2026/2027</v>
      </c>
      <c r="H301" s="10">
        <f t="shared" si="17"/>
        <v>0</v>
      </c>
      <c r="I301" s="10">
        <f t="shared" si="18"/>
        <v>0</v>
      </c>
      <c r="J301" s="13" t="str">
        <f t="shared" si="19"/>
        <v/>
      </c>
    </row>
    <row r="302" spans="1:10" x14ac:dyDescent="0.2">
      <c r="A302" s="10" t="str">
        <f t="shared" si="16"/>
        <v/>
      </c>
      <c r="B302" s="9"/>
      <c r="C302" s="8"/>
      <c r="D302" s="10" t="str">
        <f ca="1">IFERROR(_xludf.XLOOKUP(C302,STUDENTS!$A$5:$A$204,STUDENTS!$C$5:$C$204,""),"")</f>
        <v/>
      </c>
      <c r="E302" s="10" t="str">
        <f ca="1">IFERROR(_xludf.XLOOKUP(C302,STUDENTS!$A$5:$A$204,STUDENTS!$L$5:$L$204,""),"")</f>
        <v/>
      </c>
      <c r="F302" s="8"/>
      <c r="G302" s="10" t="str">
        <f>SETTINGS!$B$8</f>
        <v>2026/2027</v>
      </c>
      <c r="H302" s="10">
        <f t="shared" si="17"/>
        <v>0</v>
      </c>
      <c r="I302" s="10">
        <f t="shared" si="18"/>
        <v>0</v>
      </c>
      <c r="J302" s="13" t="str">
        <f t="shared" si="19"/>
        <v/>
      </c>
    </row>
    <row r="303" spans="1:10" x14ac:dyDescent="0.2">
      <c r="A303" s="10" t="str">
        <f t="shared" si="16"/>
        <v/>
      </c>
      <c r="B303" s="9"/>
      <c r="C303" s="8"/>
      <c r="D303" s="10" t="str">
        <f ca="1">IFERROR(_xludf.XLOOKUP(C303,STUDENTS!$A$5:$A$204,STUDENTS!$C$5:$C$204,""),"")</f>
        <v/>
      </c>
      <c r="E303" s="10" t="str">
        <f ca="1">IFERROR(_xludf.XLOOKUP(C303,STUDENTS!$A$5:$A$204,STUDENTS!$L$5:$L$204,""),"")</f>
        <v/>
      </c>
      <c r="F303" s="8"/>
      <c r="G303" s="10" t="str">
        <f>SETTINGS!$B$8</f>
        <v>2026/2027</v>
      </c>
      <c r="H303" s="10">
        <f t="shared" si="17"/>
        <v>0</v>
      </c>
      <c r="I303" s="10">
        <f t="shared" si="18"/>
        <v>0</v>
      </c>
      <c r="J303" s="13" t="str">
        <f t="shared" si="19"/>
        <v/>
      </c>
    </row>
    <row r="304" spans="1:10" x14ac:dyDescent="0.2">
      <c r="A304" s="10" t="str">
        <f t="shared" si="16"/>
        <v/>
      </c>
      <c r="B304" s="9"/>
      <c r="C304" s="8"/>
      <c r="D304" s="10" t="str">
        <f ca="1">IFERROR(_xludf.XLOOKUP(C304,STUDENTS!$A$5:$A$204,STUDENTS!$C$5:$C$204,""),"")</f>
        <v/>
      </c>
      <c r="E304" s="10" t="str">
        <f ca="1">IFERROR(_xludf.XLOOKUP(C304,STUDENTS!$A$5:$A$204,STUDENTS!$L$5:$L$204,""),"")</f>
        <v/>
      </c>
      <c r="F304" s="8"/>
      <c r="G304" s="10" t="str">
        <f>SETTINGS!$B$8</f>
        <v>2026/2027</v>
      </c>
      <c r="H304" s="10">
        <f t="shared" si="17"/>
        <v>0</v>
      </c>
      <c r="I304" s="10">
        <f t="shared" si="18"/>
        <v>0</v>
      </c>
      <c r="J304" s="13" t="str">
        <f t="shared" si="19"/>
        <v/>
      </c>
    </row>
    <row r="305" spans="1:10" x14ac:dyDescent="0.2">
      <c r="A305" s="10" t="str">
        <f t="shared" si="16"/>
        <v/>
      </c>
      <c r="B305" s="9"/>
      <c r="C305" s="8"/>
      <c r="D305" s="10" t="str">
        <f ca="1">IFERROR(_xludf.XLOOKUP(C305,STUDENTS!$A$5:$A$204,STUDENTS!$C$5:$C$204,""),"")</f>
        <v/>
      </c>
      <c r="E305" s="10" t="str">
        <f ca="1">IFERROR(_xludf.XLOOKUP(C305,STUDENTS!$A$5:$A$204,STUDENTS!$L$5:$L$204,""),"")</f>
        <v/>
      </c>
      <c r="F305" s="8"/>
      <c r="G305" s="10" t="str">
        <f>SETTINGS!$B$8</f>
        <v>2026/2027</v>
      </c>
      <c r="H305" s="10">
        <f t="shared" si="17"/>
        <v>0</v>
      </c>
      <c r="I305" s="10">
        <f t="shared" si="18"/>
        <v>0</v>
      </c>
      <c r="J305" s="13" t="str">
        <f t="shared" si="19"/>
        <v/>
      </c>
    </row>
    <row r="306" spans="1:10" x14ac:dyDescent="0.2">
      <c r="A306" s="10" t="str">
        <f t="shared" si="16"/>
        <v/>
      </c>
      <c r="B306" s="9"/>
      <c r="C306" s="8"/>
      <c r="D306" s="10" t="str">
        <f ca="1">IFERROR(_xludf.XLOOKUP(C306,STUDENTS!$A$5:$A$204,STUDENTS!$C$5:$C$204,""),"")</f>
        <v/>
      </c>
      <c r="E306" s="10" t="str">
        <f ca="1">IFERROR(_xludf.XLOOKUP(C306,STUDENTS!$A$5:$A$204,STUDENTS!$L$5:$L$204,""),"")</f>
        <v/>
      </c>
      <c r="F306" s="8"/>
      <c r="G306" s="10" t="str">
        <f>SETTINGS!$B$8</f>
        <v>2026/2027</v>
      </c>
      <c r="H306" s="10">
        <f t="shared" si="17"/>
        <v>0</v>
      </c>
      <c r="I306" s="10">
        <f t="shared" si="18"/>
        <v>0</v>
      </c>
      <c r="J306" s="13" t="str">
        <f t="shared" si="19"/>
        <v/>
      </c>
    </row>
    <row r="307" spans="1:10" x14ac:dyDescent="0.2">
      <c r="A307" s="10" t="str">
        <f t="shared" si="16"/>
        <v/>
      </c>
      <c r="B307" s="9"/>
      <c r="C307" s="8"/>
      <c r="D307" s="10" t="str">
        <f ca="1">IFERROR(_xludf.XLOOKUP(C307,STUDENTS!$A$5:$A$204,STUDENTS!$C$5:$C$204,""),"")</f>
        <v/>
      </c>
      <c r="E307" s="10" t="str">
        <f ca="1">IFERROR(_xludf.XLOOKUP(C307,STUDENTS!$A$5:$A$204,STUDENTS!$L$5:$L$204,""),"")</f>
        <v/>
      </c>
      <c r="F307" s="8"/>
      <c r="G307" s="10" t="str">
        <f>SETTINGS!$B$8</f>
        <v>2026/2027</v>
      </c>
      <c r="H307" s="10">
        <f t="shared" si="17"/>
        <v>0</v>
      </c>
      <c r="I307" s="10">
        <f t="shared" si="18"/>
        <v>0</v>
      </c>
      <c r="J307" s="13" t="str">
        <f t="shared" si="19"/>
        <v/>
      </c>
    </row>
    <row r="308" spans="1:10" x14ac:dyDescent="0.2">
      <c r="A308" s="10" t="str">
        <f t="shared" si="16"/>
        <v/>
      </c>
      <c r="B308" s="9"/>
      <c r="C308" s="8"/>
      <c r="D308" s="10" t="str">
        <f ca="1">IFERROR(_xludf.XLOOKUP(C308,STUDENTS!$A$5:$A$204,STUDENTS!$C$5:$C$204,""),"")</f>
        <v/>
      </c>
      <c r="E308" s="10" t="str">
        <f ca="1">IFERROR(_xludf.XLOOKUP(C308,STUDENTS!$A$5:$A$204,STUDENTS!$L$5:$L$204,""),"")</f>
        <v/>
      </c>
      <c r="F308" s="8"/>
      <c r="G308" s="10" t="str">
        <f>SETTINGS!$B$8</f>
        <v>2026/2027</v>
      </c>
      <c r="H308" s="10">
        <f t="shared" si="17"/>
        <v>0</v>
      </c>
      <c r="I308" s="10">
        <f t="shared" si="18"/>
        <v>0</v>
      </c>
      <c r="J308" s="13" t="str">
        <f t="shared" si="19"/>
        <v/>
      </c>
    </row>
    <row r="309" spans="1:10" x14ac:dyDescent="0.2">
      <c r="A309" s="10" t="str">
        <f t="shared" si="16"/>
        <v/>
      </c>
      <c r="B309" s="9"/>
      <c r="C309" s="8"/>
      <c r="D309" s="10" t="str">
        <f ca="1">IFERROR(_xludf.XLOOKUP(C309,STUDENTS!$A$5:$A$204,STUDENTS!$C$5:$C$204,""),"")</f>
        <v/>
      </c>
      <c r="E309" s="10" t="str">
        <f ca="1">IFERROR(_xludf.XLOOKUP(C309,STUDENTS!$A$5:$A$204,STUDENTS!$L$5:$L$204,""),"")</f>
        <v/>
      </c>
      <c r="F309" s="8"/>
      <c r="G309" s="10" t="str">
        <f>SETTINGS!$B$8</f>
        <v>2026/2027</v>
      </c>
      <c r="H309" s="10">
        <f t="shared" si="17"/>
        <v>0</v>
      </c>
      <c r="I309" s="10">
        <f t="shared" si="18"/>
        <v>0</v>
      </c>
      <c r="J309" s="13" t="str">
        <f t="shared" si="19"/>
        <v/>
      </c>
    </row>
    <row r="310" spans="1:10" x14ac:dyDescent="0.2">
      <c r="A310" s="10" t="str">
        <f t="shared" si="16"/>
        <v/>
      </c>
      <c r="B310" s="9"/>
      <c r="C310" s="8"/>
      <c r="D310" s="10" t="str">
        <f ca="1">IFERROR(_xludf.XLOOKUP(C310,STUDENTS!$A$5:$A$204,STUDENTS!$C$5:$C$204,""),"")</f>
        <v/>
      </c>
      <c r="E310" s="10" t="str">
        <f ca="1">IFERROR(_xludf.XLOOKUP(C310,STUDENTS!$A$5:$A$204,STUDENTS!$L$5:$L$204,""),"")</f>
        <v/>
      </c>
      <c r="F310" s="8"/>
      <c r="G310" s="10" t="str">
        <f>SETTINGS!$B$8</f>
        <v>2026/2027</v>
      </c>
      <c r="H310" s="10">
        <f t="shared" si="17"/>
        <v>0</v>
      </c>
      <c r="I310" s="10">
        <f t="shared" si="18"/>
        <v>0</v>
      </c>
      <c r="J310" s="13" t="str">
        <f t="shared" si="19"/>
        <v/>
      </c>
    </row>
    <row r="311" spans="1:10" x14ac:dyDescent="0.2">
      <c r="A311" s="10" t="str">
        <f t="shared" si="16"/>
        <v/>
      </c>
      <c r="B311" s="9"/>
      <c r="C311" s="8"/>
      <c r="D311" s="10" t="str">
        <f ca="1">IFERROR(_xludf.XLOOKUP(C311,STUDENTS!$A$5:$A$204,STUDENTS!$C$5:$C$204,""),"")</f>
        <v/>
      </c>
      <c r="E311" s="10" t="str">
        <f ca="1">IFERROR(_xludf.XLOOKUP(C311,STUDENTS!$A$5:$A$204,STUDENTS!$L$5:$L$204,""),"")</f>
        <v/>
      </c>
      <c r="F311" s="8"/>
      <c r="G311" s="10" t="str">
        <f>SETTINGS!$B$8</f>
        <v>2026/2027</v>
      </c>
      <c r="H311" s="10">
        <f t="shared" si="17"/>
        <v>0</v>
      </c>
      <c r="I311" s="10">
        <f t="shared" si="18"/>
        <v>0</v>
      </c>
      <c r="J311" s="13" t="str">
        <f t="shared" si="19"/>
        <v/>
      </c>
    </row>
    <row r="312" spans="1:10" x14ac:dyDescent="0.2">
      <c r="A312" s="10" t="str">
        <f t="shared" si="16"/>
        <v/>
      </c>
      <c r="B312" s="9"/>
      <c r="C312" s="8"/>
      <c r="D312" s="10" t="str">
        <f ca="1">IFERROR(_xludf.XLOOKUP(C312,STUDENTS!$A$5:$A$204,STUDENTS!$C$5:$C$204,""),"")</f>
        <v/>
      </c>
      <c r="E312" s="10" t="str">
        <f ca="1">IFERROR(_xludf.XLOOKUP(C312,STUDENTS!$A$5:$A$204,STUDENTS!$L$5:$L$204,""),"")</f>
        <v/>
      </c>
      <c r="F312" s="8"/>
      <c r="G312" s="10" t="str">
        <f>SETTINGS!$B$8</f>
        <v>2026/2027</v>
      </c>
      <c r="H312" s="10">
        <f t="shared" si="17"/>
        <v>0</v>
      </c>
      <c r="I312" s="10">
        <f t="shared" si="18"/>
        <v>0</v>
      </c>
      <c r="J312" s="13" t="str">
        <f t="shared" si="19"/>
        <v/>
      </c>
    </row>
    <row r="313" spans="1:10" x14ac:dyDescent="0.2">
      <c r="A313" s="10" t="str">
        <f t="shared" si="16"/>
        <v/>
      </c>
      <c r="B313" s="9"/>
      <c r="C313" s="8"/>
      <c r="D313" s="10" t="str">
        <f ca="1">IFERROR(_xludf.XLOOKUP(C313,STUDENTS!$A$5:$A$204,STUDENTS!$C$5:$C$204,""),"")</f>
        <v/>
      </c>
      <c r="E313" s="10" t="str">
        <f ca="1">IFERROR(_xludf.XLOOKUP(C313,STUDENTS!$A$5:$A$204,STUDENTS!$L$5:$L$204,""),"")</f>
        <v/>
      </c>
      <c r="F313" s="8"/>
      <c r="G313" s="10" t="str">
        <f>SETTINGS!$B$8</f>
        <v>2026/2027</v>
      </c>
      <c r="H313" s="10">
        <f t="shared" si="17"/>
        <v>0</v>
      </c>
      <c r="I313" s="10">
        <f t="shared" si="18"/>
        <v>0</v>
      </c>
      <c r="J313" s="13" t="str">
        <f t="shared" si="19"/>
        <v/>
      </c>
    </row>
    <row r="314" spans="1:10" x14ac:dyDescent="0.2">
      <c r="A314" s="10" t="str">
        <f t="shared" si="16"/>
        <v/>
      </c>
      <c r="B314" s="9"/>
      <c r="C314" s="8"/>
      <c r="D314" s="10" t="str">
        <f ca="1">IFERROR(_xludf.XLOOKUP(C314,STUDENTS!$A$5:$A$204,STUDENTS!$C$5:$C$204,""),"")</f>
        <v/>
      </c>
      <c r="E314" s="10" t="str">
        <f ca="1">IFERROR(_xludf.XLOOKUP(C314,STUDENTS!$A$5:$A$204,STUDENTS!$L$5:$L$204,""),"")</f>
        <v/>
      </c>
      <c r="F314" s="8"/>
      <c r="G314" s="10" t="str">
        <f>SETTINGS!$B$8</f>
        <v>2026/2027</v>
      </c>
      <c r="H314" s="10">
        <f t="shared" si="17"/>
        <v>0</v>
      </c>
      <c r="I314" s="10">
        <f t="shared" si="18"/>
        <v>0</v>
      </c>
      <c r="J314" s="13" t="str">
        <f t="shared" si="19"/>
        <v/>
      </c>
    </row>
    <row r="315" spans="1:10" x14ac:dyDescent="0.2">
      <c r="A315" s="10" t="str">
        <f t="shared" si="16"/>
        <v/>
      </c>
      <c r="B315" s="9"/>
      <c r="C315" s="8"/>
      <c r="D315" s="10" t="str">
        <f ca="1">IFERROR(_xludf.XLOOKUP(C315,STUDENTS!$A$5:$A$204,STUDENTS!$C$5:$C$204,""),"")</f>
        <v/>
      </c>
      <c r="E315" s="10" t="str">
        <f ca="1">IFERROR(_xludf.XLOOKUP(C315,STUDENTS!$A$5:$A$204,STUDENTS!$L$5:$L$204,""),"")</f>
        <v/>
      </c>
      <c r="F315" s="8"/>
      <c r="G315" s="10" t="str">
        <f>SETTINGS!$B$8</f>
        <v>2026/2027</v>
      </c>
      <c r="H315" s="10">
        <f t="shared" si="17"/>
        <v>0</v>
      </c>
      <c r="I315" s="10">
        <f t="shared" si="18"/>
        <v>0</v>
      </c>
      <c r="J315" s="13" t="str">
        <f t="shared" si="19"/>
        <v/>
      </c>
    </row>
    <row r="316" spans="1:10" x14ac:dyDescent="0.2">
      <c r="A316" s="10" t="str">
        <f t="shared" si="16"/>
        <v/>
      </c>
      <c r="B316" s="9"/>
      <c r="C316" s="8"/>
      <c r="D316" s="10" t="str">
        <f ca="1">IFERROR(_xludf.XLOOKUP(C316,STUDENTS!$A$5:$A$204,STUDENTS!$C$5:$C$204,""),"")</f>
        <v/>
      </c>
      <c r="E316" s="10" t="str">
        <f ca="1">IFERROR(_xludf.XLOOKUP(C316,STUDENTS!$A$5:$A$204,STUDENTS!$L$5:$L$204,""),"")</f>
        <v/>
      </c>
      <c r="F316" s="8"/>
      <c r="G316" s="10" t="str">
        <f>SETTINGS!$B$8</f>
        <v>2026/2027</v>
      </c>
      <c r="H316" s="10">
        <f t="shared" si="17"/>
        <v>0</v>
      </c>
      <c r="I316" s="10">
        <f t="shared" si="18"/>
        <v>0</v>
      </c>
      <c r="J316" s="13" t="str">
        <f t="shared" si="19"/>
        <v/>
      </c>
    </row>
    <row r="317" spans="1:10" x14ac:dyDescent="0.2">
      <c r="A317" s="10" t="str">
        <f t="shared" si="16"/>
        <v/>
      </c>
      <c r="B317" s="9"/>
      <c r="C317" s="8"/>
      <c r="D317" s="10" t="str">
        <f ca="1">IFERROR(_xludf.XLOOKUP(C317,STUDENTS!$A$5:$A$204,STUDENTS!$C$5:$C$204,""),"")</f>
        <v/>
      </c>
      <c r="E317" s="10" t="str">
        <f ca="1">IFERROR(_xludf.XLOOKUP(C317,STUDENTS!$A$5:$A$204,STUDENTS!$L$5:$L$204,""),"")</f>
        <v/>
      </c>
      <c r="F317" s="8"/>
      <c r="G317" s="10" t="str">
        <f>SETTINGS!$B$8</f>
        <v>2026/2027</v>
      </c>
      <c r="H317" s="10">
        <f t="shared" si="17"/>
        <v>0</v>
      </c>
      <c r="I317" s="10">
        <f t="shared" si="18"/>
        <v>0</v>
      </c>
      <c r="J317" s="13" t="str">
        <f t="shared" si="19"/>
        <v/>
      </c>
    </row>
    <row r="318" spans="1:10" x14ac:dyDescent="0.2">
      <c r="A318" s="10" t="str">
        <f t="shared" si="16"/>
        <v/>
      </c>
      <c r="B318" s="9"/>
      <c r="C318" s="8"/>
      <c r="D318" s="10" t="str">
        <f ca="1">IFERROR(_xludf.XLOOKUP(C318,STUDENTS!$A$5:$A$204,STUDENTS!$C$5:$C$204,""),"")</f>
        <v/>
      </c>
      <c r="E318" s="10" t="str">
        <f ca="1">IFERROR(_xludf.XLOOKUP(C318,STUDENTS!$A$5:$A$204,STUDENTS!$L$5:$L$204,""),"")</f>
        <v/>
      </c>
      <c r="F318" s="8"/>
      <c r="G318" s="10" t="str">
        <f>SETTINGS!$B$8</f>
        <v>2026/2027</v>
      </c>
      <c r="H318" s="10">
        <f t="shared" si="17"/>
        <v>0</v>
      </c>
      <c r="I318" s="10">
        <f t="shared" si="18"/>
        <v>0</v>
      </c>
      <c r="J318" s="13" t="str">
        <f t="shared" si="19"/>
        <v/>
      </c>
    </row>
    <row r="319" spans="1:10" x14ac:dyDescent="0.2">
      <c r="A319" s="10" t="str">
        <f t="shared" si="16"/>
        <v/>
      </c>
      <c r="B319" s="9"/>
      <c r="C319" s="8"/>
      <c r="D319" s="10" t="str">
        <f ca="1">IFERROR(_xludf.XLOOKUP(C319,STUDENTS!$A$5:$A$204,STUDENTS!$C$5:$C$204,""),"")</f>
        <v/>
      </c>
      <c r="E319" s="10" t="str">
        <f ca="1">IFERROR(_xludf.XLOOKUP(C319,STUDENTS!$A$5:$A$204,STUDENTS!$L$5:$L$204,""),"")</f>
        <v/>
      </c>
      <c r="F319" s="8"/>
      <c r="G319" s="10" t="str">
        <f>SETTINGS!$B$8</f>
        <v>2026/2027</v>
      </c>
      <c r="H319" s="10">
        <f t="shared" si="17"/>
        <v>0</v>
      </c>
      <c r="I319" s="10">
        <f t="shared" si="18"/>
        <v>0</v>
      </c>
      <c r="J319" s="13" t="str">
        <f t="shared" si="19"/>
        <v/>
      </c>
    </row>
    <row r="320" spans="1:10" x14ac:dyDescent="0.2">
      <c r="A320" s="10" t="str">
        <f t="shared" si="16"/>
        <v/>
      </c>
      <c r="B320" s="9"/>
      <c r="C320" s="8"/>
      <c r="D320" s="10" t="str">
        <f ca="1">IFERROR(_xludf.XLOOKUP(C320,STUDENTS!$A$5:$A$204,STUDENTS!$C$5:$C$204,""),"")</f>
        <v/>
      </c>
      <c r="E320" s="10" t="str">
        <f ca="1">IFERROR(_xludf.XLOOKUP(C320,STUDENTS!$A$5:$A$204,STUDENTS!$L$5:$L$204,""),"")</f>
        <v/>
      </c>
      <c r="F320" s="8"/>
      <c r="G320" s="10" t="str">
        <f>SETTINGS!$B$8</f>
        <v>2026/2027</v>
      </c>
      <c r="H320" s="10">
        <f t="shared" si="17"/>
        <v>0</v>
      </c>
      <c r="I320" s="10">
        <f t="shared" si="18"/>
        <v>0</v>
      </c>
      <c r="J320" s="13" t="str">
        <f t="shared" si="19"/>
        <v/>
      </c>
    </row>
    <row r="321" spans="1:10" x14ac:dyDescent="0.2">
      <c r="A321" s="10" t="str">
        <f t="shared" si="16"/>
        <v/>
      </c>
      <c r="B321" s="9"/>
      <c r="C321" s="8"/>
      <c r="D321" s="10" t="str">
        <f ca="1">IFERROR(_xludf.XLOOKUP(C321,STUDENTS!$A$5:$A$204,STUDENTS!$C$5:$C$204,""),"")</f>
        <v/>
      </c>
      <c r="E321" s="10" t="str">
        <f ca="1">IFERROR(_xludf.XLOOKUP(C321,STUDENTS!$A$5:$A$204,STUDENTS!$L$5:$L$204,""),"")</f>
        <v/>
      </c>
      <c r="F321" s="8"/>
      <c r="G321" s="10" t="str">
        <f>SETTINGS!$B$8</f>
        <v>2026/2027</v>
      </c>
      <c r="H321" s="10">
        <f t="shared" si="17"/>
        <v>0</v>
      </c>
      <c r="I321" s="10">
        <f t="shared" si="18"/>
        <v>0</v>
      </c>
      <c r="J321" s="13" t="str">
        <f t="shared" si="19"/>
        <v/>
      </c>
    </row>
    <row r="322" spans="1:10" x14ac:dyDescent="0.2">
      <c r="A322" s="10" t="str">
        <f t="shared" si="16"/>
        <v/>
      </c>
      <c r="B322" s="9"/>
      <c r="C322" s="8"/>
      <c r="D322" s="10" t="str">
        <f ca="1">IFERROR(_xludf.XLOOKUP(C322,STUDENTS!$A$5:$A$204,STUDENTS!$C$5:$C$204,""),"")</f>
        <v/>
      </c>
      <c r="E322" s="10" t="str">
        <f ca="1">IFERROR(_xludf.XLOOKUP(C322,STUDENTS!$A$5:$A$204,STUDENTS!$L$5:$L$204,""),"")</f>
        <v/>
      </c>
      <c r="F322" s="8"/>
      <c r="G322" s="10" t="str">
        <f>SETTINGS!$B$8</f>
        <v>2026/2027</v>
      </c>
      <c r="H322" s="10">
        <f t="shared" si="17"/>
        <v>0</v>
      </c>
      <c r="I322" s="10">
        <f t="shared" si="18"/>
        <v>0</v>
      </c>
      <c r="J322" s="13" t="str">
        <f t="shared" si="19"/>
        <v/>
      </c>
    </row>
    <row r="323" spans="1:10" x14ac:dyDescent="0.2">
      <c r="A323" s="10" t="str">
        <f t="shared" si="16"/>
        <v/>
      </c>
      <c r="B323" s="9"/>
      <c r="C323" s="8"/>
      <c r="D323" s="10" t="str">
        <f ca="1">IFERROR(_xludf.XLOOKUP(C323,STUDENTS!$A$5:$A$204,STUDENTS!$C$5:$C$204,""),"")</f>
        <v/>
      </c>
      <c r="E323" s="10" t="str">
        <f ca="1">IFERROR(_xludf.XLOOKUP(C323,STUDENTS!$A$5:$A$204,STUDENTS!$L$5:$L$204,""),"")</f>
        <v/>
      </c>
      <c r="F323" s="8"/>
      <c r="G323" s="10" t="str">
        <f>SETTINGS!$B$8</f>
        <v>2026/2027</v>
      </c>
      <c r="H323" s="10">
        <f t="shared" si="17"/>
        <v>0</v>
      </c>
      <c r="I323" s="10">
        <f t="shared" si="18"/>
        <v>0</v>
      </c>
      <c r="J323" s="13" t="str">
        <f t="shared" si="19"/>
        <v/>
      </c>
    </row>
    <row r="324" spans="1:10" x14ac:dyDescent="0.2">
      <c r="A324" s="10" t="str">
        <f t="shared" si="16"/>
        <v/>
      </c>
      <c r="B324" s="9"/>
      <c r="C324" s="8"/>
      <c r="D324" s="10" t="str">
        <f ca="1">IFERROR(_xludf.XLOOKUP(C324,STUDENTS!$A$5:$A$204,STUDENTS!$C$5:$C$204,""),"")</f>
        <v/>
      </c>
      <c r="E324" s="10" t="str">
        <f ca="1">IFERROR(_xludf.XLOOKUP(C324,STUDENTS!$A$5:$A$204,STUDENTS!$L$5:$L$204,""),"")</f>
        <v/>
      </c>
      <c r="F324" s="8"/>
      <c r="G324" s="10" t="str">
        <f>SETTINGS!$B$8</f>
        <v>2026/2027</v>
      </c>
      <c r="H324" s="10">
        <f t="shared" si="17"/>
        <v>0</v>
      </c>
      <c r="I324" s="10">
        <f t="shared" si="18"/>
        <v>0</v>
      </c>
      <c r="J324" s="13" t="str">
        <f t="shared" si="19"/>
        <v/>
      </c>
    </row>
    <row r="325" spans="1:10" x14ac:dyDescent="0.2">
      <c r="A325" s="10" t="str">
        <f t="shared" ref="A325:A388" si="20">IF(C325="","","AT-"&amp;TEXT(ROW()-4,"00000"))</f>
        <v/>
      </c>
      <c r="B325" s="9"/>
      <c r="C325" s="8"/>
      <c r="D325" s="10" t="str">
        <f ca="1">IFERROR(_xludf.XLOOKUP(C325,STUDENTS!$A$5:$A$204,STUDENTS!$C$5:$C$204,""),"")</f>
        <v/>
      </c>
      <c r="E325" s="10" t="str">
        <f ca="1">IFERROR(_xludf.XLOOKUP(C325,STUDENTS!$A$5:$A$204,STUDENTS!$L$5:$L$204,""),"")</f>
        <v/>
      </c>
      <c r="F325" s="8"/>
      <c r="G325" s="10" t="str">
        <f>SETTINGS!$B$8</f>
        <v>2026/2027</v>
      </c>
      <c r="H325" s="10">
        <f t="shared" ref="H325:H388" si="21">IF(F325="Present",1,0)</f>
        <v>0</v>
      </c>
      <c r="I325" s="10">
        <f t="shared" ref="I325:I388" si="22">IF(F325="Absent",1,0)</f>
        <v>0</v>
      </c>
      <c r="J325" s="13" t="str">
        <f t="shared" ref="J325:J388" si="23">IF(OR(H325="",I325=""),"",IF(H325+I325=0,"",H325/(H325+I325)))</f>
        <v/>
      </c>
    </row>
    <row r="326" spans="1:10" x14ac:dyDescent="0.2">
      <c r="A326" s="10" t="str">
        <f t="shared" si="20"/>
        <v/>
      </c>
      <c r="B326" s="9"/>
      <c r="C326" s="8"/>
      <c r="D326" s="10" t="str">
        <f ca="1">IFERROR(_xludf.XLOOKUP(C326,STUDENTS!$A$5:$A$204,STUDENTS!$C$5:$C$204,""),"")</f>
        <v/>
      </c>
      <c r="E326" s="10" t="str">
        <f ca="1">IFERROR(_xludf.XLOOKUP(C326,STUDENTS!$A$5:$A$204,STUDENTS!$L$5:$L$204,""),"")</f>
        <v/>
      </c>
      <c r="F326" s="8"/>
      <c r="G326" s="10" t="str">
        <f>SETTINGS!$B$8</f>
        <v>2026/2027</v>
      </c>
      <c r="H326" s="10">
        <f t="shared" si="21"/>
        <v>0</v>
      </c>
      <c r="I326" s="10">
        <f t="shared" si="22"/>
        <v>0</v>
      </c>
      <c r="J326" s="13" t="str">
        <f t="shared" si="23"/>
        <v/>
      </c>
    </row>
    <row r="327" spans="1:10" x14ac:dyDescent="0.2">
      <c r="A327" s="10" t="str">
        <f t="shared" si="20"/>
        <v/>
      </c>
      <c r="B327" s="9"/>
      <c r="C327" s="8"/>
      <c r="D327" s="10" t="str">
        <f ca="1">IFERROR(_xludf.XLOOKUP(C327,STUDENTS!$A$5:$A$204,STUDENTS!$C$5:$C$204,""),"")</f>
        <v/>
      </c>
      <c r="E327" s="10" t="str">
        <f ca="1">IFERROR(_xludf.XLOOKUP(C327,STUDENTS!$A$5:$A$204,STUDENTS!$L$5:$L$204,""),"")</f>
        <v/>
      </c>
      <c r="F327" s="8"/>
      <c r="G327" s="10" t="str">
        <f>SETTINGS!$B$8</f>
        <v>2026/2027</v>
      </c>
      <c r="H327" s="10">
        <f t="shared" si="21"/>
        <v>0</v>
      </c>
      <c r="I327" s="10">
        <f t="shared" si="22"/>
        <v>0</v>
      </c>
      <c r="J327" s="13" t="str">
        <f t="shared" si="23"/>
        <v/>
      </c>
    </row>
    <row r="328" spans="1:10" x14ac:dyDescent="0.2">
      <c r="A328" s="10" t="str">
        <f t="shared" si="20"/>
        <v/>
      </c>
      <c r="B328" s="9"/>
      <c r="C328" s="8"/>
      <c r="D328" s="10" t="str">
        <f ca="1">IFERROR(_xludf.XLOOKUP(C328,STUDENTS!$A$5:$A$204,STUDENTS!$C$5:$C$204,""),"")</f>
        <v/>
      </c>
      <c r="E328" s="10" t="str">
        <f ca="1">IFERROR(_xludf.XLOOKUP(C328,STUDENTS!$A$5:$A$204,STUDENTS!$L$5:$L$204,""),"")</f>
        <v/>
      </c>
      <c r="F328" s="8"/>
      <c r="G328" s="10" t="str">
        <f>SETTINGS!$B$8</f>
        <v>2026/2027</v>
      </c>
      <c r="H328" s="10">
        <f t="shared" si="21"/>
        <v>0</v>
      </c>
      <c r="I328" s="10">
        <f t="shared" si="22"/>
        <v>0</v>
      </c>
      <c r="J328" s="13" t="str">
        <f t="shared" si="23"/>
        <v/>
      </c>
    </row>
    <row r="329" spans="1:10" x14ac:dyDescent="0.2">
      <c r="A329" s="10" t="str">
        <f t="shared" si="20"/>
        <v/>
      </c>
      <c r="B329" s="9"/>
      <c r="C329" s="8"/>
      <c r="D329" s="10" t="str">
        <f ca="1">IFERROR(_xludf.XLOOKUP(C329,STUDENTS!$A$5:$A$204,STUDENTS!$C$5:$C$204,""),"")</f>
        <v/>
      </c>
      <c r="E329" s="10" t="str">
        <f ca="1">IFERROR(_xludf.XLOOKUP(C329,STUDENTS!$A$5:$A$204,STUDENTS!$L$5:$L$204,""),"")</f>
        <v/>
      </c>
      <c r="F329" s="8"/>
      <c r="G329" s="10" t="str">
        <f>SETTINGS!$B$8</f>
        <v>2026/2027</v>
      </c>
      <c r="H329" s="10">
        <f t="shared" si="21"/>
        <v>0</v>
      </c>
      <c r="I329" s="10">
        <f t="shared" si="22"/>
        <v>0</v>
      </c>
      <c r="J329" s="13" t="str">
        <f t="shared" si="23"/>
        <v/>
      </c>
    </row>
    <row r="330" spans="1:10" x14ac:dyDescent="0.2">
      <c r="A330" s="10" t="str">
        <f t="shared" si="20"/>
        <v/>
      </c>
      <c r="B330" s="9"/>
      <c r="C330" s="8"/>
      <c r="D330" s="10" t="str">
        <f ca="1">IFERROR(_xludf.XLOOKUP(C330,STUDENTS!$A$5:$A$204,STUDENTS!$C$5:$C$204,""),"")</f>
        <v/>
      </c>
      <c r="E330" s="10" t="str">
        <f ca="1">IFERROR(_xludf.XLOOKUP(C330,STUDENTS!$A$5:$A$204,STUDENTS!$L$5:$L$204,""),"")</f>
        <v/>
      </c>
      <c r="F330" s="8"/>
      <c r="G330" s="10" t="str">
        <f>SETTINGS!$B$8</f>
        <v>2026/2027</v>
      </c>
      <c r="H330" s="10">
        <f t="shared" si="21"/>
        <v>0</v>
      </c>
      <c r="I330" s="10">
        <f t="shared" si="22"/>
        <v>0</v>
      </c>
      <c r="J330" s="13" t="str">
        <f t="shared" si="23"/>
        <v/>
      </c>
    </row>
    <row r="331" spans="1:10" x14ac:dyDescent="0.2">
      <c r="A331" s="10" t="str">
        <f t="shared" si="20"/>
        <v/>
      </c>
      <c r="B331" s="9"/>
      <c r="C331" s="8"/>
      <c r="D331" s="10" t="str">
        <f ca="1">IFERROR(_xludf.XLOOKUP(C331,STUDENTS!$A$5:$A$204,STUDENTS!$C$5:$C$204,""),"")</f>
        <v/>
      </c>
      <c r="E331" s="10" t="str">
        <f ca="1">IFERROR(_xludf.XLOOKUP(C331,STUDENTS!$A$5:$A$204,STUDENTS!$L$5:$L$204,""),"")</f>
        <v/>
      </c>
      <c r="F331" s="8"/>
      <c r="G331" s="10" t="str">
        <f>SETTINGS!$B$8</f>
        <v>2026/2027</v>
      </c>
      <c r="H331" s="10">
        <f t="shared" si="21"/>
        <v>0</v>
      </c>
      <c r="I331" s="10">
        <f t="shared" si="22"/>
        <v>0</v>
      </c>
      <c r="J331" s="13" t="str">
        <f t="shared" si="23"/>
        <v/>
      </c>
    </row>
    <row r="332" spans="1:10" x14ac:dyDescent="0.2">
      <c r="A332" s="10" t="str">
        <f t="shared" si="20"/>
        <v/>
      </c>
      <c r="B332" s="9"/>
      <c r="C332" s="8"/>
      <c r="D332" s="10" t="str">
        <f ca="1">IFERROR(_xludf.XLOOKUP(C332,STUDENTS!$A$5:$A$204,STUDENTS!$C$5:$C$204,""),"")</f>
        <v/>
      </c>
      <c r="E332" s="10" t="str">
        <f ca="1">IFERROR(_xludf.XLOOKUP(C332,STUDENTS!$A$5:$A$204,STUDENTS!$L$5:$L$204,""),"")</f>
        <v/>
      </c>
      <c r="F332" s="8"/>
      <c r="G332" s="10" t="str">
        <f>SETTINGS!$B$8</f>
        <v>2026/2027</v>
      </c>
      <c r="H332" s="10">
        <f t="shared" si="21"/>
        <v>0</v>
      </c>
      <c r="I332" s="10">
        <f t="shared" si="22"/>
        <v>0</v>
      </c>
      <c r="J332" s="13" t="str">
        <f t="shared" si="23"/>
        <v/>
      </c>
    </row>
    <row r="333" spans="1:10" x14ac:dyDescent="0.2">
      <c r="A333" s="10" t="str">
        <f t="shared" si="20"/>
        <v/>
      </c>
      <c r="B333" s="9"/>
      <c r="C333" s="8"/>
      <c r="D333" s="10" t="str">
        <f ca="1">IFERROR(_xludf.XLOOKUP(C333,STUDENTS!$A$5:$A$204,STUDENTS!$C$5:$C$204,""),"")</f>
        <v/>
      </c>
      <c r="E333" s="10" t="str">
        <f ca="1">IFERROR(_xludf.XLOOKUP(C333,STUDENTS!$A$5:$A$204,STUDENTS!$L$5:$L$204,""),"")</f>
        <v/>
      </c>
      <c r="F333" s="8"/>
      <c r="G333" s="10" t="str">
        <f>SETTINGS!$B$8</f>
        <v>2026/2027</v>
      </c>
      <c r="H333" s="10">
        <f t="shared" si="21"/>
        <v>0</v>
      </c>
      <c r="I333" s="10">
        <f t="shared" si="22"/>
        <v>0</v>
      </c>
      <c r="J333" s="13" t="str">
        <f t="shared" si="23"/>
        <v/>
      </c>
    </row>
    <row r="334" spans="1:10" x14ac:dyDescent="0.2">
      <c r="A334" s="10" t="str">
        <f t="shared" si="20"/>
        <v/>
      </c>
      <c r="B334" s="9"/>
      <c r="C334" s="8"/>
      <c r="D334" s="10" t="str">
        <f ca="1">IFERROR(_xludf.XLOOKUP(C334,STUDENTS!$A$5:$A$204,STUDENTS!$C$5:$C$204,""),"")</f>
        <v/>
      </c>
      <c r="E334" s="10" t="str">
        <f ca="1">IFERROR(_xludf.XLOOKUP(C334,STUDENTS!$A$5:$A$204,STUDENTS!$L$5:$L$204,""),"")</f>
        <v/>
      </c>
      <c r="F334" s="8"/>
      <c r="G334" s="10" t="str">
        <f>SETTINGS!$B$8</f>
        <v>2026/2027</v>
      </c>
      <c r="H334" s="10">
        <f t="shared" si="21"/>
        <v>0</v>
      </c>
      <c r="I334" s="10">
        <f t="shared" si="22"/>
        <v>0</v>
      </c>
      <c r="J334" s="13" t="str">
        <f t="shared" si="23"/>
        <v/>
      </c>
    </row>
    <row r="335" spans="1:10" x14ac:dyDescent="0.2">
      <c r="A335" s="10" t="str">
        <f t="shared" si="20"/>
        <v/>
      </c>
      <c r="B335" s="9"/>
      <c r="C335" s="8"/>
      <c r="D335" s="10" t="str">
        <f ca="1">IFERROR(_xludf.XLOOKUP(C335,STUDENTS!$A$5:$A$204,STUDENTS!$C$5:$C$204,""),"")</f>
        <v/>
      </c>
      <c r="E335" s="10" t="str">
        <f ca="1">IFERROR(_xludf.XLOOKUP(C335,STUDENTS!$A$5:$A$204,STUDENTS!$L$5:$L$204,""),"")</f>
        <v/>
      </c>
      <c r="F335" s="8"/>
      <c r="G335" s="10" t="str">
        <f>SETTINGS!$B$8</f>
        <v>2026/2027</v>
      </c>
      <c r="H335" s="10">
        <f t="shared" si="21"/>
        <v>0</v>
      </c>
      <c r="I335" s="10">
        <f t="shared" si="22"/>
        <v>0</v>
      </c>
      <c r="J335" s="13" t="str">
        <f t="shared" si="23"/>
        <v/>
      </c>
    </row>
    <row r="336" spans="1:10" x14ac:dyDescent="0.2">
      <c r="A336" s="10" t="str">
        <f t="shared" si="20"/>
        <v/>
      </c>
      <c r="B336" s="9"/>
      <c r="C336" s="8"/>
      <c r="D336" s="10" t="str">
        <f ca="1">IFERROR(_xludf.XLOOKUP(C336,STUDENTS!$A$5:$A$204,STUDENTS!$C$5:$C$204,""),"")</f>
        <v/>
      </c>
      <c r="E336" s="10" t="str">
        <f ca="1">IFERROR(_xludf.XLOOKUP(C336,STUDENTS!$A$5:$A$204,STUDENTS!$L$5:$L$204,""),"")</f>
        <v/>
      </c>
      <c r="F336" s="8"/>
      <c r="G336" s="10" t="str">
        <f>SETTINGS!$B$8</f>
        <v>2026/2027</v>
      </c>
      <c r="H336" s="10">
        <f t="shared" si="21"/>
        <v>0</v>
      </c>
      <c r="I336" s="10">
        <f t="shared" si="22"/>
        <v>0</v>
      </c>
      <c r="J336" s="13" t="str">
        <f t="shared" si="23"/>
        <v/>
      </c>
    </row>
    <row r="337" spans="1:10" x14ac:dyDescent="0.2">
      <c r="A337" s="10" t="str">
        <f t="shared" si="20"/>
        <v/>
      </c>
      <c r="B337" s="9"/>
      <c r="C337" s="8"/>
      <c r="D337" s="10" t="str">
        <f ca="1">IFERROR(_xludf.XLOOKUP(C337,STUDENTS!$A$5:$A$204,STUDENTS!$C$5:$C$204,""),"")</f>
        <v/>
      </c>
      <c r="E337" s="10" t="str">
        <f ca="1">IFERROR(_xludf.XLOOKUP(C337,STUDENTS!$A$5:$A$204,STUDENTS!$L$5:$L$204,""),"")</f>
        <v/>
      </c>
      <c r="F337" s="8"/>
      <c r="G337" s="10" t="str">
        <f>SETTINGS!$B$8</f>
        <v>2026/2027</v>
      </c>
      <c r="H337" s="10">
        <f t="shared" si="21"/>
        <v>0</v>
      </c>
      <c r="I337" s="10">
        <f t="shared" si="22"/>
        <v>0</v>
      </c>
      <c r="J337" s="13" t="str">
        <f t="shared" si="23"/>
        <v/>
      </c>
    </row>
    <row r="338" spans="1:10" x14ac:dyDescent="0.2">
      <c r="A338" s="10" t="str">
        <f t="shared" si="20"/>
        <v/>
      </c>
      <c r="B338" s="9"/>
      <c r="C338" s="8"/>
      <c r="D338" s="10" t="str">
        <f ca="1">IFERROR(_xludf.XLOOKUP(C338,STUDENTS!$A$5:$A$204,STUDENTS!$C$5:$C$204,""),"")</f>
        <v/>
      </c>
      <c r="E338" s="10" t="str">
        <f ca="1">IFERROR(_xludf.XLOOKUP(C338,STUDENTS!$A$5:$A$204,STUDENTS!$L$5:$L$204,""),"")</f>
        <v/>
      </c>
      <c r="F338" s="8"/>
      <c r="G338" s="10" t="str">
        <f>SETTINGS!$B$8</f>
        <v>2026/2027</v>
      </c>
      <c r="H338" s="10">
        <f t="shared" si="21"/>
        <v>0</v>
      </c>
      <c r="I338" s="10">
        <f t="shared" si="22"/>
        <v>0</v>
      </c>
      <c r="J338" s="13" t="str">
        <f t="shared" si="23"/>
        <v/>
      </c>
    </row>
    <row r="339" spans="1:10" x14ac:dyDescent="0.2">
      <c r="A339" s="10" t="str">
        <f t="shared" si="20"/>
        <v/>
      </c>
      <c r="B339" s="9"/>
      <c r="C339" s="8"/>
      <c r="D339" s="10" t="str">
        <f ca="1">IFERROR(_xludf.XLOOKUP(C339,STUDENTS!$A$5:$A$204,STUDENTS!$C$5:$C$204,""),"")</f>
        <v/>
      </c>
      <c r="E339" s="10" t="str">
        <f ca="1">IFERROR(_xludf.XLOOKUP(C339,STUDENTS!$A$5:$A$204,STUDENTS!$L$5:$L$204,""),"")</f>
        <v/>
      </c>
      <c r="F339" s="8"/>
      <c r="G339" s="10" t="str">
        <f>SETTINGS!$B$8</f>
        <v>2026/2027</v>
      </c>
      <c r="H339" s="10">
        <f t="shared" si="21"/>
        <v>0</v>
      </c>
      <c r="I339" s="10">
        <f t="shared" si="22"/>
        <v>0</v>
      </c>
      <c r="J339" s="13" t="str">
        <f t="shared" si="23"/>
        <v/>
      </c>
    </row>
    <row r="340" spans="1:10" x14ac:dyDescent="0.2">
      <c r="A340" s="10" t="str">
        <f t="shared" si="20"/>
        <v/>
      </c>
      <c r="B340" s="9"/>
      <c r="C340" s="8"/>
      <c r="D340" s="10" t="str">
        <f ca="1">IFERROR(_xludf.XLOOKUP(C340,STUDENTS!$A$5:$A$204,STUDENTS!$C$5:$C$204,""),"")</f>
        <v/>
      </c>
      <c r="E340" s="10" t="str">
        <f ca="1">IFERROR(_xludf.XLOOKUP(C340,STUDENTS!$A$5:$A$204,STUDENTS!$L$5:$L$204,""),"")</f>
        <v/>
      </c>
      <c r="F340" s="8"/>
      <c r="G340" s="10" t="str">
        <f>SETTINGS!$B$8</f>
        <v>2026/2027</v>
      </c>
      <c r="H340" s="10">
        <f t="shared" si="21"/>
        <v>0</v>
      </c>
      <c r="I340" s="10">
        <f t="shared" si="22"/>
        <v>0</v>
      </c>
      <c r="J340" s="13" t="str">
        <f t="shared" si="23"/>
        <v/>
      </c>
    </row>
    <row r="341" spans="1:10" x14ac:dyDescent="0.2">
      <c r="A341" s="10" t="str">
        <f t="shared" si="20"/>
        <v/>
      </c>
      <c r="B341" s="9"/>
      <c r="C341" s="8"/>
      <c r="D341" s="10" t="str">
        <f ca="1">IFERROR(_xludf.XLOOKUP(C341,STUDENTS!$A$5:$A$204,STUDENTS!$C$5:$C$204,""),"")</f>
        <v/>
      </c>
      <c r="E341" s="10" t="str">
        <f ca="1">IFERROR(_xludf.XLOOKUP(C341,STUDENTS!$A$5:$A$204,STUDENTS!$L$5:$L$204,""),"")</f>
        <v/>
      </c>
      <c r="F341" s="8"/>
      <c r="G341" s="10" t="str">
        <f>SETTINGS!$B$8</f>
        <v>2026/2027</v>
      </c>
      <c r="H341" s="10">
        <f t="shared" si="21"/>
        <v>0</v>
      </c>
      <c r="I341" s="10">
        <f t="shared" si="22"/>
        <v>0</v>
      </c>
      <c r="J341" s="13" t="str">
        <f t="shared" si="23"/>
        <v/>
      </c>
    </row>
    <row r="342" spans="1:10" x14ac:dyDescent="0.2">
      <c r="A342" s="10" t="str">
        <f t="shared" si="20"/>
        <v/>
      </c>
      <c r="B342" s="9"/>
      <c r="C342" s="8"/>
      <c r="D342" s="10" t="str">
        <f ca="1">IFERROR(_xludf.XLOOKUP(C342,STUDENTS!$A$5:$A$204,STUDENTS!$C$5:$C$204,""),"")</f>
        <v/>
      </c>
      <c r="E342" s="10" t="str">
        <f ca="1">IFERROR(_xludf.XLOOKUP(C342,STUDENTS!$A$5:$A$204,STUDENTS!$L$5:$L$204,""),"")</f>
        <v/>
      </c>
      <c r="F342" s="8"/>
      <c r="G342" s="10" t="str">
        <f>SETTINGS!$B$8</f>
        <v>2026/2027</v>
      </c>
      <c r="H342" s="10">
        <f t="shared" si="21"/>
        <v>0</v>
      </c>
      <c r="I342" s="10">
        <f t="shared" si="22"/>
        <v>0</v>
      </c>
      <c r="J342" s="13" t="str">
        <f t="shared" si="23"/>
        <v/>
      </c>
    </row>
    <row r="343" spans="1:10" x14ac:dyDescent="0.2">
      <c r="A343" s="10" t="str">
        <f t="shared" si="20"/>
        <v/>
      </c>
      <c r="B343" s="9"/>
      <c r="C343" s="8"/>
      <c r="D343" s="10" t="str">
        <f ca="1">IFERROR(_xludf.XLOOKUP(C343,STUDENTS!$A$5:$A$204,STUDENTS!$C$5:$C$204,""),"")</f>
        <v/>
      </c>
      <c r="E343" s="10" t="str">
        <f ca="1">IFERROR(_xludf.XLOOKUP(C343,STUDENTS!$A$5:$A$204,STUDENTS!$L$5:$L$204,""),"")</f>
        <v/>
      </c>
      <c r="F343" s="8"/>
      <c r="G343" s="10" t="str">
        <f>SETTINGS!$B$8</f>
        <v>2026/2027</v>
      </c>
      <c r="H343" s="10">
        <f t="shared" si="21"/>
        <v>0</v>
      </c>
      <c r="I343" s="10">
        <f t="shared" si="22"/>
        <v>0</v>
      </c>
      <c r="J343" s="13" t="str">
        <f t="shared" si="23"/>
        <v/>
      </c>
    </row>
    <row r="344" spans="1:10" x14ac:dyDescent="0.2">
      <c r="A344" s="10" t="str">
        <f t="shared" si="20"/>
        <v/>
      </c>
      <c r="B344" s="9"/>
      <c r="C344" s="8"/>
      <c r="D344" s="10" t="str">
        <f ca="1">IFERROR(_xludf.XLOOKUP(C344,STUDENTS!$A$5:$A$204,STUDENTS!$C$5:$C$204,""),"")</f>
        <v/>
      </c>
      <c r="E344" s="10" t="str">
        <f ca="1">IFERROR(_xludf.XLOOKUP(C344,STUDENTS!$A$5:$A$204,STUDENTS!$L$5:$L$204,""),"")</f>
        <v/>
      </c>
      <c r="F344" s="8"/>
      <c r="G344" s="10" t="str">
        <f>SETTINGS!$B$8</f>
        <v>2026/2027</v>
      </c>
      <c r="H344" s="10">
        <f t="shared" si="21"/>
        <v>0</v>
      </c>
      <c r="I344" s="10">
        <f t="shared" si="22"/>
        <v>0</v>
      </c>
      <c r="J344" s="13" t="str">
        <f t="shared" si="23"/>
        <v/>
      </c>
    </row>
    <row r="345" spans="1:10" x14ac:dyDescent="0.2">
      <c r="A345" s="10" t="str">
        <f t="shared" si="20"/>
        <v/>
      </c>
      <c r="B345" s="9"/>
      <c r="C345" s="8"/>
      <c r="D345" s="10" t="str">
        <f ca="1">IFERROR(_xludf.XLOOKUP(C345,STUDENTS!$A$5:$A$204,STUDENTS!$C$5:$C$204,""),"")</f>
        <v/>
      </c>
      <c r="E345" s="10" t="str">
        <f ca="1">IFERROR(_xludf.XLOOKUP(C345,STUDENTS!$A$5:$A$204,STUDENTS!$L$5:$L$204,""),"")</f>
        <v/>
      </c>
      <c r="F345" s="8"/>
      <c r="G345" s="10" t="str">
        <f>SETTINGS!$B$8</f>
        <v>2026/2027</v>
      </c>
      <c r="H345" s="10">
        <f t="shared" si="21"/>
        <v>0</v>
      </c>
      <c r="I345" s="10">
        <f t="shared" si="22"/>
        <v>0</v>
      </c>
      <c r="J345" s="13" t="str">
        <f t="shared" si="23"/>
        <v/>
      </c>
    </row>
    <row r="346" spans="1:10" x14ac:dyDescent="0.2">
      <c r="A346" s="10" t="str">
        <f t="shared" si="20"/>
        <v/>
      </c>
      <c r="B346" s="9"/>
      <c r="C346" s="8"/>
      <c r="D346" s="10" t="str">
        <f ca="1">IFERROR(_xludf.XLOOKUP(C346,STUDENTS!$A$5:$A$204,STUDENTS!$C$5:$C$204,""),"")</f>
        <v/>
      </c>
      <c r="E346" s="10" t="str">
        <f ca="1">IFERROR(_xludf.XLOOKUP(C346,STUDENTS!$A$5:$A$204,STUDENTS!$L$5:$L$204,""),"")</f>
        <v/>
      </c>
      <c r="F346" s="8"/>
      <c r="G346" s="10" t="str">
        <f>SETTINGS!$B$8</f>
        <v>2026/2027</v>
      </c>
      <c r="H346" s="10">
        <f t="shared" si="21"/>
        <v>0</v>
      </c>
      <c r="I346" s="10">
        <f t="shared" si="22"/>
        <v>0</v>
      </c>
      <c r="J346" s="13" t="str">
        <f t="shared" si="23"/>
        <v/>
      </c>
    </row>
    <row r="347" spans="1:10" x14ac:dyDescent="0.2">
      <c r="A347" s="10" t="str">
        <f t="shared" si="20"/>
        <v/>
      </c>
      <c r="B347" s="9"/>
      <c r="C347" s="8"/>
      <c r="D347" s="10" t="str">
        <f ca="1">IFERROR(_xludf.XLOOKUP(C347,STUDENTS!$A$5:$A$204,STUDENTS!$C$5:$C$204,""),"")</f>
        <v/>
      </c>
      <c r="E347" s="10" t="str">
        <f ca="1">IFERROR(_xludf.XLOOKUP(C347,STUDENTS!$A$5:$A$204,STUDENTS!$L$5:$L$204,""),"")</f>
        <v/>
      </c>
      <c r="F347" s="8"/>
      <c r="G347" s="10" t="str">
        <f>SETTINGS!$B$8</f>
        <v>2026/2027</v>
      </c>
      <c r="H347" s="10">
        <f t="shared" si="21"/>
        <v>0</v>
      </c>
      <c r="I347" s="10">
        <f t="shared" si="22"/>
        <v>0</v>
      </c>
      <c r="J347" s="13" t="str">
        <f t="shared" si="23"/>
        <v/>
      </c>
    </row>
    <row r="348" spans="1:10" x14ac:dyDescent="0.2">
      <c r="A348" s="10" t="str">
        <f t="shared" si="20"/>
        <v/>
      </c>
      <c r="B348" s="9"/>
      <c r="C348" s="8"/>
      <c r="D348" s="10" t="str">
        <f ca="1">IFERROR(_xludf.XLOOKUP(C348,STUDENTS!$A$5:$A$204,STUDENTS!$C$5:$C$204,""),"")</f>
        <v/>
      </c>
      <c r="E348" s="10" t="str">
        <f ca="1">IFERROR(_xludf.XLOOKUP(C348,STUDENTS!$A$5:$A$204,STUDENTS!$L$5:$L$204,""),"")</f>
        <v/>
      </c>
      <c r="F348" s="8"/>
      <c r="G348" s="10" t="str">
        <f>SETTINGS!$B$8</f>
        <v>2026/2027</v>
      </c>
      <c r="H348" s="10">
        <f t="shared" si="21"/>
        <v>0</v>
      </c>
      <c r="I348" s="10">
        <f t="shared" si="22"/>
        <v>0</v>
      </c>
      <c r="J348" s="13" t="str">
        <f t="shared" si="23"/>
        <v/>
      </c>
    </row>
    <row r="349" spans="1:10" x14ac:dyDescent="0.2">
      <c r="A349" s="10" t="str">
        <f t="shared" si="20"/>
        <v/>
      </c>
      <c r="B349" s="9"/>
      <c r="C349" s="8"/>
      <c r="D349" s="10" t="str">
        <f ca="1">IFERROR(_xludf.XLOOKUP(C349,STUDENTS!$A$5:$A$204,STUDENTS!$C$5:$C$204,""),"")</f>
        <v/>
      </c>
      <c r="E349" s="10" t="str">
        <f ca="1">IFERROR(_xludf.XLOOKUP(C349,STUDENTS!$A$5:$A$204,STUDENTS!$L$5:$L$204,""),"")</f>
        <v/>
      </c>
      <c r="F349" s="8"/>
      <c r="G349" s="10" t="str">
        <f>SETTINGS!$B$8</f>
        <v>2026/2027</v>
      </c>
      <c r="H349" s="10">
        <f t="shared" si="21"/>
        <v>0</v>
      </c>
      <c r="I349" s="10">
        <f t="shared" si="22"/>
        <v>0</v>
      </c>
      <c r="J349" s="13" t="str">
        <f t="shared" si="23"/>
        <v/>
      </c>
    </row>
    <row r="350" spans="1:10" x14ac:dyDescent="0.2">
      <c r="A350" s="10" t="str">
        <f t="shared" si="20"/>
        <v/>
      </c>
      <c r="B350" s="9"/>
      <c r="C350" s="8"/>
      <c r="D350" s="10" t="str">
        <f ca="1">IFERROR(_xludf.XLOOKUP(C350,STUDENTS!$A$5:$A$204,STUDENTS!$C$5:$C$204,""),"")</f>
        <v/>
      </c>
      <c r="E350" s="10" t="str">
        <f ca="1">IFERROR(_xludf.XLOOKUP(C350,STUDENTS!$A$5:$A$204,STUDENTS!$L$5:$L$204,""),"")</f>
        <v/>
      </c>
      <c r="F350" s="8"/>
      <c r="G350" s="10" t="str">
        <f>SETTINGS!$B$8</f>
        <v>2026/2027</v>
      </c>
      <c r="H350" s="10">
        <f t="shared" si="21"/>
        <v>0</v>
      </c>
      <c r="I350" s="10">
        <f t="shared" si="22"/>
        <v>0</v>
      </c>
      <c r="J350" s="13" t="str">
        <f t="shared" si="23"/>
        <v/>
      </c>
    </row>
    <row r="351" spans="1:10" x14ac:dyDescent="0.2">
      <c r="A351" s="10" t="str">
        <f t="shared" si="20"/>
        <v/>
      </c>
      <c r="B351" s="9"/>
      <c r="C351" s="8"/>
      <c r="D351" s="10" t="str">
        <f ca="1">IFERROR(_xludf.XLOOKUP(C351,STUDENTS!$A$5:$A$204,STUDENTS!$C$5:$C$204,""),"")</f>
        <v/>
      </c>
      <c r="E351" s="10" t="str">
        <f ca="1">IFERROR(_xludf.XLOOKUP(C351,STUDENTS!$A$5:$A$204,STUDENTS!$L$5:$L$204,""),"")</f>
        <v/>
      </c>
      <c r="F351" s="8"/>
      <c r="G351" s="10" t="str">
        <f>SETTINGS!$B$8</f>
        <v>2026/2027</v>
      </c>
      <c r="H351" s="10">
        <f t="shared" si="21"/>
        <v>0</v>
      </c>
      <c r="I351" s="10">
        <f t="shared" si="22"/>
        <v>0</v>
      </c>
      <c r="J351" s="13" t="str">
        <f t="shared" si="23"/>
        <v/>
      </c>
    </row>
    <row r="352" spans="1:10" x14ac:dyDescent="0.2">
      <c r="A352" s="10" t="str">
        <f t="shared" si="20"/>
        <v/>
      </c>
      <c r="B352" s="9"/>
      <c r="C352" s="8"/>
      <c r="D352" s="10" t="str">
        <f ca="1">IFERROR(_xludf.XLOOKUP(C352,STUDENTS!$A$5:$A$204,STUDENTS!$C$5:$C$204,""),"")</f>
        <v/>
      </c>
      <c r="E352" s="10" t="str">
        <f ca="1">IFERROR(_xludf.XLOOKUP(C352,STUDENTS!$A$5:$A$204,STUDENTS!$L$5:$L$204,""),"")</f>
        <v/>
      </c>
      <c r="F352" s="8"/>
      <c r="G352" s="10" t="str">
        <f>SETTINGS!$B$8</f>
        <v>2026/2027</v>
      </c>
      <c r="H352" s="10">
        <f t="shared" si="21"/>
        <v>0</v>
      </c>
      <c r="I352" s="10">
        <f t="shared" si="22"/>
        <v>0</v>
      </c>
      <c r="J352" s="13" t="str">
        <f t="shared" si="23"/>
        <v/>
      </c>
    </row>
    <row r="353" spans="1:10" x14ac:dyDescent="0.2">
      <c r="A353" s="10" t="str">
        <f t="shared" si="20"/>
        <v/>
      </c>
      <c r="B353" s="9"/>
      <c r="C353" s="8"/>
      <c r="D353" s="10" t="str">
        <f ca="1">IFERROR(_xludf.XLOOKUP(C353,STUDENTS!$A$5:$A$204,STUDENTS!$C$5:$C$204,""),"")</f>
        <v/>
      </c>
      <c r="E353" s="10" t="str">
        <f ca="1">IFERROR(_xludf.XLOOKUP(C353,STUDENTS!$A$5:$A$204,STUDENTS!$L$5:$L$204,""),"")</f>
        <v/>
      </c>
      <c r="F353" s="8"/>
      <c r="G353" s="10" t="str">
        <f>SETTINGS!$B$8</f>
        <v>2026/2027</v>
      </c>
      <c r="H353" s="10">
        <f t="shared" si="21"/>
        <v>0</v>
      </c>
      <c r="I353" s="10">
        <f t="shared" si="22"/>
        <v>0</v>
      </c>
      <c r="J353" s="13" t="str">
        <f t="shared" si="23"/>
        <v/>
      </c>
    </row>
    <row r="354" spans="1:10" x14ac:dyDescent="0.2">
      <c r="A354" s="10" t="str">
        <f t="shared" si="20"/>
        <v/>
      </c>
      <c r="B354" s="9"/>
      <c r="C354" s="8"/>
      <c r="D354" s="10" t="str">
        <f ca="1">IFERROR(_xludf.XLOOKUP(C354,STUDENTS!$A$5:$A$204,STUDENTS!$C$5:$C$204,""),"")</f>
        <v/>
      </c>
      <c r="E354" s="10" t="str">
        <f ca="1">IFERROR(_xludf.XLOOKUP(C354,STUDENTS!$A$5:$A$204,STUDENTS!$L$5:$L$204,""),"")</f>
        <v/>
      </c>
      <c r="F354" s="8"/>
      <c r="G354" s="10" t="str">
        <f>SETTINGS!$B$8</f>
        <v>2026/2027</v>
      </c>
      <c r="H354" s="10">
        <f t="shared" si="21"/>
        <v>0</v>
      </c>
      <c r="I354" s="10">
        <f t="shared" si="22"/>
        <v>0</v>
      </c>
      <c r="J354" s="13" t="str">
        <f t="shared" si="23"/>
        <v/>
      </c>
    </row>
    <row r="355" spans="1:10" x14ac:dyDescent="0.2">
      <c r="A355" s="10" t="str">
        <f t="shared" si="20"/>
        <v/>
      </c>
      <c r="B355" s="9"/>
      <c r="C355" s="8"/>
      <c r="D355" s="10" t="str">
        <f ca="1">IFERROR(_xludf.XLOOKUP(C355,STUDENTS!$A$5:$A$204,STUDENTS!$C$5:$C$204,""),"")</f>
        <v/>
      </c>
      <c r="E355" s="10" t="str">
        <f ca="1">IFERROR(_xludf.XLOOKUP(C355,STUDENTS!$A$5:$A$204,STUDENTS!$L$5:$L$204,""),"")</f>
        <v/>
      </c>
      <c r="F355" s="8"/>
      <c r="G355" s="10" t="str">
        <f>SETTINGS!$B$8</f>
        <v>2026/2027</v>
      </c>
      <c r="H355" s="10">
        <f t="shared" si="21"/>
        <v>0</v>
      </c>
      <c r="I355" s="10">
        <f t="shared" si="22"/>
        <v>0</v>
      </c>
      <c r="J355" s="13" t="str">
        <f t="shared" si="23"/>
        <v/>
      </c>
    </row>
    <row r="356" spans="1:10" x14ac:dyDescent="0.2">
      <c r="A356" s="10" t="str">
        <f t="shared" si="20"/>
        <v/>
      </c>
      <c r="B356" s="9"/>
      <c r="C356" s="8"/>
      <c r="D356" s="10" t="str">
        <f ca="1">IFERROR(_xludf.XLOOKUP(C356,STUDENTS!$A$5:$A$204,STUDENTS!$C$5:$C$204,""),"")</f>
        <v/>
      </c>
      <c r="E356" s="10" t="str">
        <f ca="1">IFERROR(_xludf.XLOOKUP(C356,STUDENTS!$A$5:$A$204,STUDENTS!$L$5:$L$204,""),"")</f>
        <v/>
      </c>
      <c r="F356" s="8"/>
      <c r="G356" s="10" t="str">
        <f>SETTINGS!$B$8</f>
        <v>2026/2027</v>
      </c>
      <c r="H356" s="10">
        <f t="shared" si="21"/>
        <v>0</v>
      </c>
      <c r="I356" s="10">
        <f t="shared" si="22"/>
        <v>0</v>
      </c>
      <c r="J356" s="13" t="str">
        <f t="shared" si="23"/>
        <v/>
      </c>
    </row>
    <row r="357" spans="1:10" x14ac:dyDescent="0.2">
      <c r="A357" s="10" t="str">
        <f t="shared" si="20"/>
        <v/>
      </c>
      <c r="B357" s="9"/>
      <c r="C357" s="8"/>
      <c r="D357" s="10" t="str">
        <f ca="1">IFERROR(_xludf.XLOOKUP(C357,STUDENTS!$A$5:$A$204,STUDENTS!$C$5:$C$204,""),"")</f>
        <v/>
      </c>
      <c r="E357" s="10" t="str">
        <f ca="1">IFERROR(_xludf.XLOOKUP(C357,STUDENTS!$A$5:$A$204,STUDENTS!$L$5:$L$204,""),"")</f>
        <v/>
      </c>
      <c r="F357" s="8"/>
      <c r="G357" s="10" t="str">
        <f>SETTINGS!$B$8</f>
        <v>2026/2027</v>
      </c>
      <c r="H357" s="10">
        <f t="shared" si="21"/>
        <v>0</v>
      </c>
      <c r="I357" s="10">
        <f t="shared" si="22"/>
        <v>0</v>
      </c>
      <c r="J357" s="13" t="str">
        <f t="shared" si="23"/>
        <v/>
      </c>
    </row>
    <row r="358" spans="1:10" x14ac:dyDescent="0.2">
      <c r="A358" s="10" t="str">
        <f t="shared" si="20"/>
        <v/>
      </c>
      <c r="B358" s="9"/>
      <c r="C358" s="8"/>
      <c r="D358" s="10" t="str">
        <f ca="1">IFERROR(_xludf.XLOOKUP(C358,STUDENTS!$A$5:$A$204,STUDENTS!$C$5:$C$204,""),"")</f>
        <v/>
      </c>
      <c r="E358" s="10" t="str">
        <f ca="1">IFERROR(_xludf.XLOOKUP(C358,STUDENTS!$A$5:$A$204,STUDENTS!$L$5:$L$204,""),"")</f>
        <v/>
      </c>
      <c r="F358" s="8"/>
      <c r="G358" s="10" t="str">
        <f>SETTINGS!$B$8</f>
        <v>2026/2027</v>
      </c>
      <c r="H358" s="10">
        <f t="shared" si="21"/>
        <v>0</v>
      </c>
      <c r="I358" s="10">
        <f t="shared" si="22"/>
        <v>0</v>
      </c>
      <c r="J358" s="13" t="str">
        <f t="shared" si="23"/>
        <v/>
      </c>
    </row>
    <row r="359" spans="1:10" x14ac:dyDescent="0.2">
      <c r="A359" s="10" t="str">
        <f t="shared" si="20"/>
        <v/>
      </c>
      <c r="B359" s="9"/>
      <c r="C359" s="8"/>
      <c r="D359" s="10" t="str">
        <f ca="1">IFERROR(_xludf.XLOOKUP(C359,STUDENTS!$A$5:$A$204,STUDENTS!$C$5:$C$204,""),"")</f>
        <v/>
      </c>
      <c r="E359" s="10" t="str">
        <f ca="1">IFERROR(_xludf.XLOOKUP(C359,STUDENTS!$A$5:$A$204,STUDENTS!$L$5:$L$204,""),"")</f>
        <v/>
      </c>
      <c r="F359" s="8"/>
      <c r="G359" s="10" t="str">
        <f>SETTINGS!$B$8</f>
        <v>2026/2027</v>
      </c>
      <c r="H359" s="10">
        <f t="shared" si="21"/>
        <v>0</v>
      </c>
      <c r="I359" s="10">
        <f t="shared" si="22"/>
        <v>0</v>
      </c>
      <c r="J359" s="13" t="str">
        <f t="shared" si="23"/>
        <v/>
      </c>
    </row>
    <row r="360" spans="1:10" x14ac:dyDescent="0.2">
      <c r="A360" s="10" t="str">
        <f t="shared" si="20"/>
        <v/>
      </c>
      <c r="B360" s="9"/>
      <c r="C360" s="8"/>
      <c r="D360" s="10" t="str">
        <f ca="1">IFERROR(_xludf.XLOOKUP(C360,STUDENTS!$A$5:$A$204,STUDENTS!$C$5:$C$204,""),"")</f>
        <v/>
      </c>
      <c r="E360" s="10" t="str">
        <f ca="1">IFERROR(_xludf.XLOOKUP(C360,STUDENTS!$A$5:$A$204,STUDENTS!$L$5:$L$204,""),"")</f>
        <v/>
      </c>
      <c r="F360" s="8"/>
      <c r="G360" s="10" t="str">
        <f>SETTINGS!$B$8</f>
        <v>2026/2027</v>
      </c>
      <c r="H360" s="10">
        <f t="shared" si="21"/>
        <v>0</v>
      </c>
      <c r="I360" s="10">
        <f t="shared" si="22"/>
        <v>0</v>
      </c>
      <c r="J360" s="13" t="str">
        <f t="shared" si="23"/>
        <v/>
      </c>
    </row>
    <row r="361" spans="1:10" x14ac:dyDescent="0.2">
      <c r="A361" s="10" t="str">
        <f t="shared" si="20"/>
        <v/>
      </c>
      <c r="B361" s="9"/>
      <c r="C361" s="8"/>
      <c r="D361" s="10" t="str">
        <f ca="1">IFERROR(_xludf.XLOOKUP(C361,STUDENTS!$A$5:$A$204,STUDENTS!$C$5:$C$204,""),"")</f>
        <v/>
      </c>
      <c r="E361" s="10" t="str">
        <f ca="1">IFERROR(_xludf.XLOOKUP(C361,STUDENTS!$A$5:$A$204,STUDENTS!$L$5:$L$204,""),"")</f>
        <v/>
      </c>
      <c r="F361" s="8"/>
      <c r="G361" s="10" t="str">
        <f>SETTINGS!$B$8</f>
        <v>2026/2027</v>
      </c>
      <c r="H361" s="10">
        <f t="shared" si="21"/>
        <v>0</v>
      </c>
      <c r="I361" s="10">
        <f t="shared" si="22"/>
        <v>0</v>
      </c>
      <c r="J361" s="13" t="str">
        <f t="shared" si="23"/>
        <v/>
      </c>
    </row>
    <row r="362" spans="1:10" x14ac:dyDescent="0.2">
      <c r="A362" s="10" t="str">
        <f t="shared" si="20"/>
        <v/>
      </c>
      <c r="B362" s="9"/>
      <c r="C362" s="8"/>
      <c r="D362" s="10" t="str">
        <f ca="1">IFERROR(_xludf.XLOOKUP(C362,STUDENTS!$A$5:$A$204,STUDENTS!$C$5:$C$204,""),"")</f>
        <v/>
      </c>
      <c r="E362" s="10" t="str">
        <f ca="1">IFERROR(_xludf.XLOOKUP(C362,STUDENTS!$A$5:$A$204,STUDENTS!$L$5:$L$204,""),"")</f>
        <v/>
      </c>
      <c r="F362" s="8"/>
      <c r="G362" s="10" t="str">
        <f>SETTINGS!$B$8</f>
        <v>2026/2027</v>
      </c>
      <c r="H362" s="10">
        <f t="shared" si="21"/>
        <v>0</v>
      </c>
      <c r="I362" s="10">
        <f t="shared" si="22"/>
        <v>0</v>
      </c>
      <c r="J362" s="13" t="str">
        <f t="shared" si="23"/>
        <v/>
      </c>
    </row>
    <row r="363" spans="1:10" x14ac:dyDescent="0.2">
      <c r="A363" s="10" t="str">
        <f t="shared" si="20"/>
        <v/>
      </c>
      <c r="B363" s="9"/>
      <c r="C363" s="8"/>
      <c r="D363" s="10" t="str">
        <f ca="1">IFERROR(_xludf.XLOOKUP(C363,STUDENTS!$A$5:$A$204,STUDENTS!$C$5:$C$204,""),"")</f>
        <v/>
      </c>
      <c r="E363" s="10" t="str">
        <f ca="1">IFERROR(_xludf.XLOOKUP(C363,STUDENTS!$A$5:$A$204,STUDENTS!$L$5:$L$204,""),"")</f>
        <v/>
      </c>
      <c r="F363" s="8"/>
      <c r="G363" s="10" t="str">
        <f>SETTINGS!$B$8</f>
        <v>2026/2027</v>
      </c>
      <c r="H363" s="10">
        <f t="shared" si="21"/>
        <v>0</v>
      </c>
      <c r="I363" s="10">
        <f t="shared" si="22"/>
        <v>0</v>
      </c>
      <c r="J363" s="13" t="str">
        <f t="shared" si="23"/>
        <v/>
      </c>
    </row>
    <row r="364" spans="1:10" x14ac:dyDescent="0.2">
      <c r="A364" s="10" t="str">
        <f t="shared" si="20"/>
        <v/>
      </c>
      <c r="B364" s="9"/>
      <c r="C364" s="8"/>
      <c r="D364" s="10" t="str">
        <f ca="1">IFERROR(_xludf.XLOOKUP(C364,STUDENTS!$A$5:$A$204,STUDENTS!$C$5:$C$204,""),"")</f>
        <v/>
      </c>
      <c r="E364" s="10" t="str">
        <f ca="1">IFERROR(_xludf.XLOOKUP(C364,STUDENTS!$A$5:$A$204,STUDENTS!$L$5:$L$204,""),"")</f>
        <v/>
      </c>
      <c r="F364" s="8"/>
      <c r="G364" s="10" t="str">
        <f>SETTINGS!$B$8</f>
        <v>2026/2027</v>
      </c>
      <c r="H364" s="10">
        <f t="shared" si="21"/>
        <v>0</v>
      </c>
      <c r="I364" s="10">
        <f t="shared" si="22"/>
        <v>0</v>
      </c>
      <c r="J364" s="13" t="str">
        <f t="shared" si="23"/>
        <v/>
      </c>
    </row>
    <row r="365" spans="1:10" x14ac:dyDescent="0.2">
      <c r="A365" s="10" t="str">
        <f t="shared" si="20"/>
        <v/>
      </c>
      <c r="B365" s="9"/>
      <c r="C365" s="8"/>
      <c r="D365" s="10" t="str">
        <f ca="1">IFERROR(_xludf.XLOOKUP(C365,STUDENTS!$A$5:$A$204,STUDENTS!$C$5:$C$204,""),"")</f>
        <v/>
      </c>
      <c r="E365" s="10" t="str">
        <f ca="1">IFERROR(_xludf.XLOOKUP(C365,STUDENTS!$A$5:$A$204,STUDENTS!$L$5:$L$204,""),"")</f>
        <v/>
      </c>
      <c r="F365" s="8"/>
      <c r="G365" s="10" t="str">
        <f>SETTINGS!$B$8</f>
        <v>2026/2027</v>
      </c>
      <c r="H365" s="10">
        <f t="shared" si="21"/>
        <v>0</v>
      </c>
      <c r="I365" s="10">
        <f t="shared" si="22"/>
        <v>0</v>
      </c>
      <c r="J365" s="13" t="str">
        <f t="shared" si="23"/>
        <v/>
      </c>
    </row>
    <row r="366" spans="1:10" x14ac:dyDescent="0.2">
      <c r="A366" s="10" t="str">
        <f t="shared" si="20"/>
        <v/>
      </c>
      <c r="B366" s="9"/>
      <c r="C366" s="8"/>
      <c r="D366" s="10" t="str">
        <f ca="1">IFERROR(_xludf.XLOOKUP(C366,STUDENTS!$A$5:$A$204,STUDENTS!$C$5:$C$204,""),"")</f>
        <v/>
      </c>
      <c r="E366" s="10" t="str">
        <f ca="1">IFERROR(_xludf.XLOOKUP(C366,STUDENTS!$A$5:$A$204,STUDENTS!$L$5:$L$204,""),"")</f>
        <v/>
      </c>
      <c r="F366" s="8"/>
      <c r="G366" s="10" t="str">
        <f>SETTINGS!$B$8</f>
        <v>2026/2027</v>
      </c>
      <c r="H366" s="10">
        <f t="shared" si="21"/>
        <v>0</v>
      </c>
      <c r="I366" s="10">
        <f t="shared" si="22"/>
        <v>0</v>
      </c>
      <c r="J366" s="13" t="str">
        <f t="shared" si="23"/>
        <v/>
      </c>
    </row>
    <row r="367" spans="1:10" x14ac:dyDescent="0.2">
      <c r="A367" s="10" t="str">
        <f t="shared" si="20"/>
        <v/>
      </c>
      <c r="B367" s="9"/>
      <c r="C367" s="8"/>
      <c r="D367" s="10" t="str">
        <f ca="1">IFERROR(_xludf.XLOOKUP(C367,STUDENTS!$A$5:$A$204,STUDENTS!$C$5:$C$204,""),"")</f>
        <v/>
      </c>
      <c r="E367" s="10" t="str">
        <f ca="1">IFERROR(_xludf.XLOOKUP(C367,STUDENTS!$A$5:$A$204,STUDENTS!$L$5:$L$204,""),"")</f>
        <v/>
      </c>
      <c r="F367" s="8"/>
      <c r="G367" s="10" t="str">
        <f>SETTINGS!$B$8</f>
        <v>2026/2027</v>
      </c>
      <c r="H367" s="10">
        <f t="shared" si="21"/>
        <v>0</v>
      </c>
      <c r="I367" s="10">
        <f t="shared" si="22"/>
        <v>0</v>
      </c>
      <c r="J367" s="13" t="str">
        <f t="shared" si="23"/>
        <v/>
      </c>
    </row>
    <row r="368" spans="1:10" x14ac:dyDescent="0.2">
      <c r="A368" s="10" t="str">
        <f t="shared" si="20"/>
        <v/>
      </c>
      <c r="B368" s="9"/>
      <c r="C368" s="8"/>
      <c r="D368" s="10" t="str">
        <f ca="1">IFERROR(_xludf.XLOOKUP(C368,STUDENTS!$A$5:$A$204,STUDENTS!$C$5:$C$204,""),"")</f>
        <v/>
      </c>
      <c r="E368" s="10" t="str">
        <f ca="1">IFERROR(_xludf.XLOOKUP(C368,STUDENTS!$A$5:$A$204,STUDENTS!$L$5:$L$204,""),"")</f>
        <v/>
      </c>
      <c r="F368" s="8"/>
      <c r="G368" s="10" t="str">
        <f>SETTINGS!$B$8</f>
        <v>2026/2027</v>
      </c>
      <c r="H368" s="10">
        <f t="shared" si="21"/>
        <v>0</v>
      </c>
      <c r="I368" s="10">
        <f t="shared" si="22"/>
        <v>0</v>
      </c>
      <c r="J368" s="13" t="str">
        <f t="shared" si="23"/>
        <v/>
      </c>
    </row>
    <row r="369" spans="1:10" x14ac:dyDescent="0.2">
      <c r="A369" s="10" t="str">
        <f t="shared" si="20"/>
        <v/>
      </c>
      <c r="B369" s="9"/>
      <c r="C369" s="8"/>
      <c r="D369" s="10" t="str">
        <f ca="1">IFERROR(_xludf.XLOOKUP(C369,STUDENTS!$A$5:$A$204,STUDENTS!$C$5:$C$204,""),"")</f>
        <v/>
      </c>
      <c r="E369" s="10" t="str">
        <f ca="1">IFERROR(_xludf.XLOOKUP(C369,STUDENTS!$A$5:$A$204,STUDENTS!$L$5:$L$204,""),"")</f>
        <v/>
      </c>
      <c r="F369" s="8"/>
      <c r="G369" s="10" t="str">
        <f>SETTINGS!$B$8</f>
        <v>2026/2027</v>
      </c>
      <c r="H369" s="10">
        <f t="shared" si="21"/>
        <v>0</v>
      </c>
      <c r="I369" s="10">
        <f t="shared" si="22"/>
        <v>0</v>
      </c>
      <c r="J369" s="13" t="str">
        <f t="shared" si="23"/>
        <v/>
      </c>
    </row>
    <row r="370" spans="1:10" x14ac:dyDescent="0.2">
      <c r="A370" s="10" t="str">
        <f t="shared" si="20"/>
        <v/>
      </c>
      <c r="B370" s="9"/>
      <c r="C370" s="8"/>
      <c r="D370" s="10" t="str">
        <f ca="1">IFERROR(_xludf.XLOOKUP(C370,STUDENTS!$A$5:$A$204,STUDENTS!$C$5:$C$204,""),"")</f>
        <v/>
      </c>
      <c r="E370" s="10" t="str">
        <f ca="1">IFERROR(_xludf.XLOOKUP(C370,STUDENTS!$A$5:$A$204,STUDENTS!$L$5:$L$204,""),"")</f>
        <v/>
      </c>
      <c r="F370" s="8"/>
      <c r="G370" s="10" t="str">
        <f>SETTINGS!$B$8</f>
        <v>2026/2027</v>
      </c>
      <c r="H370" s="10">
        <f t="shared" si="21"/>
        <v>0</v>
      </c>
      <c r="I370" s="10">
        <f t="shared" si="22"/>
        <v>0</v>
      </c>
      <c r="J370" s="13" t="str">
        <f t="shared" si="23"/>
        <v/>
      </c>
    </row>
    <row r="371" spans="1:10" x14ac:dyDescent="0.2">
      <c r="A371" s="10" t="str">
        <f t="shared" si="20"/>
        <v/>
      </c>
      <c r="B371" s="9"/>
      <c r="C371" s="8"/>
      <c r="D371" s="10" t="str">
        <f ca="1">IFERROR(_xludf.XLOOKUP(C371,STUDENTS!$A$5:$A$204,STUDENTS!$C$5:$C$204,""),"")</f>
        <v/>
      </c>
      <c r="E371" s="10" t="str">
        <f ca="1">IFERROR(_xludf.XLOOKUP(C371,STUDENTS!$A$5:$A$204,STUDENTS!$L$5:$L$204,""),"")</f>
        <v/>
      </c>
      <c r="F371" s="8"/>
      <c r="G371" s="10" t="str">
        <f>SETTINGS!$B$8</f>
        <v>2026/2027</v>
      </c>
      <c r="H371" s="10">
        <f t="shared" si="21"/>
        <v>0</v>
      </c>
      <c r="I371" s="10">
        <f t="shared" si="22"/>
        <v>0</v>
      </c>
      <c r="J371" s="13" t="str">
        <f t="shared" si="23"/>
        <v/>
      </c>
    </row>
    <row r="372" spans="1:10" x14ac:dyDescent="0.2">
      <c r="A372" s="10" t="str">
        <f t="shared" si="20"/>
        <v/>
      </c>
      <c r="B372" s="9"/>
      <c r="C372" s="8"/>
      <c r="D372" s="10" t="str">
        <f ca="1">IFERROR(_xludf.XLOOKUP(C372,STUDENTS!$A$5:$A$204,STUDENTS!$C$5:$C$204,""),"")</f>
        <v/>
      </c>
      <c r="E372" s="10" t="str">
        <f ca="1">IFERROR(_xludf.XLOOKUP(C372,STUDENTS!$A$5:$A$204,STUDENTS!$L$5:$L$204,""),"")</f>
        <v/>
      </c>
      <c r="F372" s="8"/>
      <c r="G372" s="10" t="str">
        <f>SETTINGS!$B$8</f>
        <v>2026/2027</v>
      </c>
      <c r="H372" s="10">
        <f t="shared" si="21"/>
        <v>0</v>
      </c>
      <c r="I372" s="10">
        <f t="shared" si="22"/>
        <v>0</v>
      </c>
      <c r="J372" s="13" t="str">
        <f t="shared" si="23"/>
        <v/>
      </c>
    </row>
    <row r="373" spans="1:10" x14ac:dyDescent="0.2">
      <c r="A373" s="10" t="str">
        <f t="shared" si="20"/>
        <v/>
      </c>
      <c r="B373" s="9"/>
      <c r="C373" s="8"/>
      <c r="D373" s="10" t="str">
        <f ca="1">IFERROR(_xludf.XLOOKUP(C373,STUDENTS!$A$5:$A$204,STUDENTS!$C$5:$C$204,""),"")</f>
        <v/>
      </c>
      <c r="E373" s="10" t="str">
        <f ca="1">IFERROR(_xludf.XLOOKUP(C373,STUDENTS!$A$5:$A$204,STUDENTS!$L$5:$L$204,""),"")</f>
        <v/>
      </c>
      <c r="F373" s="8"/>
      <c r="G373" s="10" t="str">
        <f>SETTINGS!$B$8</f>
        <v>2026/2027</v>
      </c>
      <c r="H373" s="10">
        <f t="shared" si="21"/>
        <v>0</v>
      </c>
      <c r="I373" s="10">
        <f t="shared" si="22"/>
        <v>0</v>
      </c>
      <c r="J373" s="13" t="str">
        <f t="shared" si="23"/>
        <v/>
      </c>
    </row>
    <row r="374" spans="1:10" x14ac:dyDescent="0.2">
      <c r="A374" s="10" t="str">
        <f t="shared" si="20"/>
        <v/>
      </c>
      <c r="B374" s="9"/>
      <c r="C374" s="8"/>
      <c r="D374" s="10" t="str">
        <f ca="1">IFERROR(_xludf.XLOOKUP(C374,STUDENTS!$A$5:$A$204,STUDENTS!$C$5:$C$204,""),"")</f>
        <v/>
      </c>
      <c r="E374" s="10" t="str">
        <f ca="1">IFERROR(_xludf.XLOOKUP(C374,STUDENTS!$A$5:$A$204,STUDENTS!$L$5:$L$204,""),"")</f>
        <v/>
      </c>
      <c r="F374" s="8"/>
      <c r="G374" s="10" t="str">
        <f>SETTINGS!$B$8</f>
        <v>2026/2027</v>
      </c>
      <c r="H374" s="10">
        <f t="shared" si="21"/>
        <v>0</v>
      </c>
      <c r="I374" s="10">
        <f t="shared" si="22"/>
        <v>0</v>
      </c>
      <c r="J374" s="13" t="str">
        <f t="shared" si="23"/>
        <v/>
      </c>
    </row>
    <row r="375" spans="1:10" x14ac:dyDescent="0.2">
      <c r="A375" s="10" t="str">
        <f t="shared" si="20"/>
        <v/>
      </c>
      <c r="B375" s="9"/>
      <c r="C375" s="8"/>
      <c r="D375" s="10" t="str">
        <f ca="1">IFERROR(_xludf.XLOOKUP(C375,STUDENTS!$A$5:$A$204,STUDENTS!$C$5:$C$204,""),"")</f>
        <v/>
      </c>
      <c r="E375" s="10" t="str">
        <f ca="1">IFERROR(_xludf.XLOOKUP(C375,STUDENTS!$A$5:$A$204,STUDENTS!$L$5:$L$204,""),"")</f>
        <v/>
      </c>
      <c r="F375" s="8"/>
      <c r="G375" s="10" t="str">
        <f>SETTINGS!$B$8</f>
        <v>2026/2027</v>
      </c>
      <c r="H375" s="10">
        <f t="shared" si="21"/>
        <v>0</v>
      </c>
      <c r="I375" s="10">
        <f t="shared" si="22"/>
        <v>0</v>
      </c>
      <c r="J375" s="13" t="str">
        <f t="shared" si="23"/>
        <v/>
      </c>
    </row>
    <row r="376" spans="1:10" x14ac:dyDescent="0.2">
      <c r="A376" s="10" t="str">
        <f t="shared" si="20"/>
        <v/>
      </c>
      <c r="B376" s="9"/>
      <c r="C376" s="8"/>
      <c r="D376" s="10" t="str">
        <f ca="1">IFERROR(_xludf.XLOOKUP(C376,STUDENTS!$A$5:$A$204,STUDENTS!$C$5:$C$204,""),"")</f>
        <v/>
      </c>
      <c r="E376" s="10" t="str">
        <f ca="1">IFERROR(_xludf.XLOOKUP(C376,STUDENTS!$A$5:$A$204,STUDENTS!$L$5:$L$204,""),"")</f>
        <v/>
      </c>
      <c r="F376" s="8"/>
      <c r="G376" s="10" t="str">
        <f>SETTINGS!$B$8</f>
        <v>2026/2027</v>
      </c>
      <c r="H376" s="10">
        <f t="shared" si="21"/>
        <v>0</v>
      </c>
      <c r="I376" s="10">
        <f t="shared" si="22"/>
        <v>0</v>
      </c>
      <c r="J376" s="13" t="str">
        <f t="shared" si="23"/>
        <v/>
      </c>
    </row>
    <row r="377" spans="1:10" x14ac:dyDescent="0.2">
      <c r="A377" s="10" t="str">
        <f t="shared" si="20"/>
        <v/>
      </c>
      <c r="B377" s="9"/>
      <c r="C377" s="8"/>
      <c r="D377" s="10" t="str">
        <f ca="1">IFERROR(_xludf.XLOOKUP(C377,STUDENTS!$A$5:$A$204,STUDENTS!$C$5:$C$204,""),"")</f>
        <v/>
      </c>
      <c r="E377" s="10" t="str">
        <f ca="1">IFERROR(_xludf.XLOOKUP(C377,STUDENTS!$A$5:$A$204,STUDENTS!$L$5:$L$204,""),"")</f>
        <v/>
      </c>
      <c r="F377" s="8"/>
      <c r="G377" s="10" t="str">
        <f>SETTINGS!$B$8</f>
        <v>2026/2027</v>
      </c>
      <c r="H377" s="10">
        <f t="shared" si="21"/>
        <v>0</v>
      </c>
      <c r="I377" s="10">
        <f t="shared" si="22"/>
        <v>0</v>
      </c>
      <c r="J377" s="13" t="str">
        <f t="shared" si="23"/>
        <v/>
      </c>
    </row>
    <row r="378" spans="1:10" x14ac:dyDescent="0.2">
      <c r="A378" s="10" t="str">
        <f t="shared" si="20"/>
        <v/>
      </c>
      <c r="B378" s="9"/>
      <c r="C378" s="8"/>
      <c r="D378" s="10" t="str">
        <f ca="1">IFERROR(_xludf.XLOOKUP(C378,STUDENTS!$A$5:$A$204,STUDENTS!$C$5:$C$204,""),"")</f>
        <v/>
      </c>
      <c r="E378" s="10" t="str">
        <f ca="1">IFERROR(_xludf.XLOOKUP(C378,STUDENTS!$A$5:$A$204,STUDENTS!$L$5:$L$204,""),"")</f>
        <v/>
      </c>
      <c r="F378" s="8"/>
      <c r="G378" s="10" t="str">
        <f>SETTINGS!$B$8</f>
        <v>2026/2027</v>
      </c>
      <c r="H378" s="10">
        <f t="shared" si="21"/>
        <v>0</v>
      </c>
      <c r="I378" s="10">
        <f t="shared" si="22"/>
        <v>0</v>
      </c>
      <c r="J378" s="13" t="str">
        <f t="shared" si="23"/>
        <v/>
      </c>
    </row>
    <row r="379" spans="1:10" x14ac:dyDescent="0.2">
      <c r="A379" s="10" t="str">
        <f t="shared" si="20"/>
        <v/>
      </c>
      <c r="B379" s="9"/>
      <c r="C379" s="8"/>
      <c r="D379" s="10" t="str">
        <f ca="1">IFERROR(_xludf.XLOOKUP(C379,STUDENTS!$A$5:$A$204,STUDENTS!$C$5:$C$204,""),"")</f>
        <v/>
      </c>
      <c r="E379" s="10" t="str">
        <f ca="1">IFERROR(_xludf.XLOOKUP(C379,STUDENTS!$A$5:$A$204,STUDENTS!$L$5:$L$204,""),"")</f>
        <v/>
      </c>
      <c r="F379" s="8"/>
      <c r="G379" s="10" t="str">
        <f>SETTINGS!$B$8</f>
        <v>2026/2027</v>
      </c>
      <c r="H379" s="10">
        <f t="shared" si="21"/>
        <v>0</v>
      </c>
      <c r="I379" s="10">
        <f t="shared" si="22"/>
        <v>0</v>
      </c>
      <c r="J379" s="13" t="str">
        <f t="shared" si="23"/>
        <v/>
      </c>
    </row>
    <row r="380" spans="1:10" x14ac:dyDescent="0.2">
      <c r="A380" s="10" t="str">
        <f t="shared" si="20"/>
        <v/>
      </c>
      <c r="B380" s="9"/>
      <c r="C380" s="8"/>
      <c r="D380" s="10" t="str">
        <f ca="1">IFERROR(_xludf.XLOOKUP(C380,STUDENTS!$A$5:$A$204,STUDENTS!$C$5:$C$204,""),"")</f>
        <v/>
      </c>
      <c r="E380" s="10" t="str">
        <f ca="1">IFERROR(_xludf.XLOOKUP(C380,STUDENTS!$A$5:$A$204,STUDENTS!$L$5:$L$204,""),"")</f>
        <v/>
      </c>
      <c r="F380" s="8"/>
      <c r="G380" s="10" t="str">
        <f>SETTINGS!$B$8</f>
        <v>2026/2027</v>
      </c>
      <c r="H380" s="10">
        <f t="shared" si="21"/>
        <v>0</v>
      </c>
      <c r="I380" s="10">
        <f t="shared" si="22"/>
        <v>0</v>
      </c>
      <c r="J380" s="13" t="str">
        <f t="shared" si="23"/>
        <v/>
      </c>
    </row>
    <row r="381" spans="1:10" x14ac:dyDescent="0.2">
      <c r="A381" s="10" t="str">
        <f t="shared" si="20"/>
        <v/>
      </c>
      <c r="B381" s="9"/>
      <c r="C381" s="8"/>
      <c r="D381" s="10" t="str">
        <f ca="1">IFERROR(_xludf.XLOOKUP(C381,STUDENTS!$A$5:$A$204,STUDENTS!$C$5:$C$204,""),"")</f>
        <v/>
      </c>
      <c r="E381" s="10" t="str">
        <f ca="1">IFERROR(_xludf.XLOOKUP(C381,STUDENTS!$A$5:$A$204,STUDENTS!$L$5:$L$204,""),"")</f>
        <v/>
      </c>
      <c r="F381" s="8"/>
      <c r="G381" s="10" t="str">
        <f>SETTINGS!$B$8</f>
        <v>2026/2027</v>
      </c>
      <c r="H381" s="10">
        <f t="shared" si="21"/>
        <v>0</v>
      </c>
      <c r="I381" s="10">
        <f t="shared" si="22"/>
        <v>0</v>
      </c>
      <c r="J381" s="13" t="str">
        <f t="shared" si="23"/>
        <v/>
      </c>
    </row>
    <row r="382" spans="1:10" x14ac:dyDescent="0.2">
      <c r="A382" s="10" t="str">
        <f t="shared" si="20"/>
        <v/>
      </c>
      <c r="B382" s="9"/>
      <c r="C382" s="8"/>
      <c r="D382" s="10" t="str">
        <f ca="1">IFERROR(_xludf.XLOOKUP(C382,STUDENTS!$A$5:$A$204,STUDENTS!$C$5:$C$204,""),"")</f>
        <v/>
      </c>
      <c r="E382" s="10" t="str">
        <f ca="1">IFERROR(_xludf.XLOOKUP(C382,STUDENTS!$A$5:$A$204,STUDENTS!$L$5:$L$204,""),"")</f>
        <v/>
      </c>
      <c r="F382" s="8"/>
      <c r="G382" s="10" t="str">
        <f>SETTINGS!$B$8</f>
        <v>2026/2027</v>
      </c>
      <c r="H382" s="10">
        <f t="shared" si="21"/>
        <v>0</v>
      </c>
      <c r="I382" s="10">
        <f t="shared" si="22"/>
        <v>0</v>
      </c>
      <c r="J382" s="13" t="str">
        <f t="shared" si="23"/>
        <v/>
      </c>
    </row>
    <row r="383" spans="1:10" x14ac:dyDescent="0.2">
      <c r="A383" s="10" t="str">
        <f t="shared" si="20"/>
        <v/>
      </c>
      <c r="B383" s="9"/>
      <c r="C383" s="8"/>
      <c r="D383" s="10" t="str">
        <f ca="1">IFERROR(_xludf.XLOOKUP(C383,STUDENTS!$A$5:$A$204,STUDENTS!$C$5:$C$204,""),"")</f>
        <v/>
      </c>
      <c r="E383" s="10" t="str">
        <f ca="1">IFERROR(_xludf.XLOOKUP(C383,STUDENTS!$A$5:$A$204,STUDENTS!$L$5:$L$204,""),"")</f>
        <v/>
      </c>
      <c r="F383" s="8"/>
      <c r="G383" s="10" t="str">
        <f>SETTINGS!$B$8</f>
        <v>2026/2027</v>
      </c>
      <c r="H383" s="10">
        <f t="shared" si="21"/>
        <v>0</v>
      </c>
      <c r="I383" s="10">
        <f t="shared" si="22"/>
        <v>0</v>
      </c>
      <c r="J383" s="13" t="str">
        <f t="shared" si="23"/>
        <v/>
      </c>
    </row>
    <row r="384" spans="1:10" x14ac:dyDescent="0.2">
      <c r="A384" s="10" t="str">
        <f t="shared" si="20"/>
        <v/>
      </c>
      <c r="B384" s="9"/>
      <c r="C384" s="8"/>
      <c r="D384" s="10" t="str">
        <f ca="1">IFERROR(_xludf.XLOOKUP(C384,STUDENTS!$A$5:$A$204,STUDENTS!$C$5:$C$204,""),"")</f>
        <v/>
      </c>
      <c r="E384" s="10" t="str">
        <f ca="1">IFERROR(_xludf.XLOOKUP(C384,STUDENTS!$A$5:$A$204,STUDENTS!$L$5:$L$204,""),"")</f>
        <v/>
      </c>
      <c r="F384" s="8"/>
      <c r="G384" s="10" t="str">
        <f>SETTINGS!$B$8</f>
        <v>2026/2027</v>
      </c>
      <c r="H384" s="10">
        <f t="shared" si="21"/>
        <v>0</v>
      </c>
      <c r="I384" s="10">
        <f t="shared" si="22"/>
        <v>0</v>
      </c>
      <c r="J384" s="13" t="str">
        <f t="shared" si="23"/>
        <v/>
      </c>
    </row>
    <row r="385" spans="1:10" x14ac:dyDescent="0.2">
      <c r="A385" s="10" t="str">
        <f t="shared" si="20"/>
        <v/>
      </c>
      <c r="B385" s="9"/>
      <c r="C385" s="8"/>
      <c r="D385" s="10" t="str">
        <f ca="1">IFERROR(_xludf.XLOOKUP(C385,STUDENTS!$A$5:$A$204,STUDENTS!$C$5:$C$204,""),"")</f>
        <v/>
      </c>
      <c r="E385" s="10" t="str">
        <f ca="1">IFERROR(_xludf.XLOOKUP(C385,STUDENTS!$A$5:$A$204,STUDENTS!$L$5:$L$204,""),"")</f>
        <v/>
      </c>
      <c r="F385" s="8"/>
      <c r="G385" s="10" t="str">
        <f>SETTINGS!$B$8</f>
        <v>2026/2027</v>
      </c>
      <c r="H385" s="10">
        <f t="shared" si="21"/>
        <v>0</v>
      </c>
      <c r="I385" s="10">
        <f t="shared" si="22"/>
        <v>0</v>
      </c>
      <c r="J385" s="13" t="str">
        <f t="shared" si="23"/>
        <v/>
      </c>
    </row>
    <row r="386" spans="1:10" x14ac:dyDescent="0.2">
      <c r="A386" s="10" t="str">
        <f t="shared" si="20"/>
        <v/>
      </c>
      <c r="B386" s="9"/>
      <c r="C386" s="8"/>
      <c r="D386" s="10" t="str">
        <f ca="1">IFERROR(_xludf.XLOOKUP(C386,STUDENTS!$A$5:$A$204,STUDENTS!$C$5:$C$204,""),"")</f>
        <v/>
      </c>
      <c r="E386" s="10" t="str">
        <f ca="1">IFERROR(_xludf.XLOOKUP(C386,STUDENTS!$A$5:$A$204,STUDENTS!$L$5:$L$204,""),"")</f>
        <v/>
      </c>
      <c r="F386" s="8"/>
      <c r="G386" s="10" t="str">
        <f>SETTINGS!$B$8</f>
        <v>2026/2027</v>
      </c>
      <c r="H386" s="10">
        <f t="shared" si="21"/>
        <v>0</v>
      </c>
      <c r="I386" s="10">
        <f t="shared" si="22"/>
        <v>0</v>
      </c>
      <c r="J386" s="13" t="str">
        <f t="shared" si="23"/>
        <v/>
      </c>
    </row>
    <row r="387" spans="1:10" x14ac:dyDescent="0.2">
      <c r="A387" s="10" t="str">
        <f t="shared" si="20"/>
        <v/>
      </c>
      <c r="B387" s="9"/>
      <c r="C387" s="8"/>
      <c r="D387" s="10" t="str">
        <f ca="1">IFERROR(_xludf.XLOOKUP(C387,STUDENTS!$A$5:$A$204,STUDENTS!$C$5:$C$204,""),"")</f>
        <v/>
      </c>
      <c r="E387" s="10" t="str">
        <f ca="1">IFERROR(_xludf.XLOOKUP(C387,STUDENTS!$A$5:$A$204,STUDENTS!$L$5:$L$204,""),"")</f>
        <v/>
      </c>
      <c r="F387" s="8"/>
      <c r="G387" s="10" t="str">
        <f>SETTINGS!$B$8</f>
        <v>2026/2027</v>
      </c>
      <c r="H387" s="10">
        <f t="shared" si="21"/>
        <v>0</v>
      </c>
      <c r="I387" s="10">
        <f t="shared" si="22"/>
        <v>0</v>
      </c>
      <c r="J387" s="13" t="str">
        <f t="shared" si="23"/>
        <v/>
      </c>
    </row>
    <row r="388" spans="1:10" x14ac:dyDescent="0.2">
      <c r="A388" s="10" t="str">
        <f t="shared" si="20"/>
        <v/>
      </c>
      <c r="B388" s="9"/>
      <c r="C388" s="8"/>
      <c r="D388" s="10" t="str">
        <f ca="1">IFERROR(_xludf.XLOOKUP(C388,STUDENTS!$A$5:$A$204,STUDENTS!$C$5:$C$204,""),"")</f>
        <v/>
      </c>
      <c r="E388" s="10" t="str">
        <f ca="1">IFERROR(_xludf.XLOOKUP(C388,STUDENTS!$A$5:$A$204,STUDENTS!$L$5:$L$204,""),"")</f>
        <v/>
      </c>
      <c r="F388" s="8"/>
      <c r="G388" s="10" t="str">
        <f>SETTINGS!$B$8</f>
        <v>2026/2027</v>
      </c>
      <c r="H388" s="10">
        <f t="shared" si="21"/>
        <v>0</v>
      </c>
      <c r="I388" s="10">
        <f t="shared" si="22"/>
        <v>0</v>
      </c>
      <c r="J388" s="13" t="str">
        <f t="shared" si="23"/>
        <v/>
      </c>
    </row>
    <row r="389" spans="1:10" x14ac:dyDescent="0.2">
      <c r="A389" s="10" t="str">
        <f t="shared" ref="A389:A452" si="24">IF(C389="","","AT-"&amp;TEXT(ROW()-4,"00000"))</f>
        <v/>
      </c>
      <c r="B389" s="9"/>
      <c r="C389" s="8"/>
      <c r="D389" s="10" t="str">
        <f ca="1">IFERROR(_xludf.XLOOKUP(C389,STUDENTS!$A$5:$A$204,STUDENTS!$C$5:$C$204,""),"")</f>
        <v/>
      </c>
      <c r="E389" s="10" t="str">
        <f ca="1">IFERROR(_xludf.XLOOKUP(C389,STUDENTS!$A$5:$A$204,STUDENTS!$L$5:$L$204,""),"")</f>
        <v/>
      </c>
      <c r="F389" s="8"/>
      <c r="G389" s="10" t="str">
        <f>SETTINGS!$B$8</f>
        <v>2026/2027</v>
      </c>
      <c r="H389" s="10">
        <f t="shared" ref="H389:H452" si="25">IF(F389="Present",1,0)</f>
        <v>0</v>
      </c>
      <c r="I389" s="10">
        <f t="shared" ref="I389:I452" si="26">IF(F389="Absent",1,0)</f>
        <v>0</v>
      </c>
      <c r="J389" s="13" t="str">
        <f t="shared" ref="J389:J452" si="27">IF(OR(H389="",I389=""),"",IF(H389+I389=0,"",H389/(H389+I389)))</f>
        <v/>
      </c>
    </row>
    <row r="390" spans="1:10" x14ac:dyDescent="0.2">
      <c r="A390" s="10" t="str">
        <f t="shared" si="24"/>
        <v/>
      </c>
      <c r="B390" s="9"/>
      <c r="C390" s="8"/>
      <c r="D390" s="10" t="str">
        <f ca="1">IFERROR(_xludf.XLOOKUP(C390,STUDENTS!$A$5:$A$204,STUDENTS!$C$5:$C$204,""),"")</f>
        <v/>
      </c>
      <c r="E390" s="10" t="str">
        <f ca="1">IFERROR(_xludf.XLOOKUP(C390,STUDENTS!$A$5:$A$204,STUDENTS!$L$5:$L$204,""),"")</f>
        <v/>
      </c>
      <c r="F390" s="8"/>
      <c r="G390" s="10" t="str">
        <f>SETTINGS!$B$8</f>
        <v>2026/2027</v>
      </c>
      <c r="H390" s="10">
        <f t="shared" si="25"/>
        <v>0</v>
      </c>
      <c r="I390" s="10">
        <f t="shared" si="26"/>
        <v>0</v>
      </c>
      <c r="J390" s="13" t="str">
        <f t="shared" si="27"/>
        <v/>
      </c>
    </row>
    <row r="391" spans="1:10" x14ac:dyDescent="0.2">
      <c r="A391" s="10" t="str">
        <f t="shared" si="24"/>
        <v/>
      </c>
      <c r="B391" s="9"/>
      <c r="C391" s="8"/>
      <c r="D391" s="10" t="str">
        <f ca="1">IFERROR(_xludf.XLOOKUP(C391,STUDENTS!$A$5:$A$204,STUDENTS!$C$5:$C$204,""),"")</f>
        <v/>
      </c>
      <c r="E391" s="10" t="str">
        <f ca="1">IFERROR(_xludf.XLOOKUP(C391,STUDENTS!$A$5:$A$204,STUDENTS!$L$5:$L$204,""),"")</f>
        <v/>
      </c>
      <c r="F391" s="8"/>
      <c r="G391" s="10" t="str">
        <f>SETTINGS!$B$8</f>
        <v>2026/2027</v>
      </c>
      <c r="H391" s="10">
        <f t="shared" si="25"/>
        <v>0</v>
      </c>
      <c r="I391" s="10">
        <f t="shared" si="26"/>
        <v>0</v>
      </c>
      <c r="J391" s="13" t="str">
        <f t="shared" si="27"/>
        <v/>
      </c>
    </row>
    <row r="392" spans="1:10" x14ac:dyDescent="0.2">
      <c r="A392" s="10" t="str">
        <f t="shared" si="24"/>
        <v/>
      </c>
      <c r="B392" s="9"/>
      <c r="C392" s="8"/>
      <c r="D392" s="10" t="str">
        <f ca="1">IFERROR(_xludf.XLOOKUP(C392,STUDENTS!$A$5:$A$204,STUDENTS!$C$5:$C$204,""),"")</f>
        <v/>
      </c>
      <c r="E392" s="10" t="str">
        <f ca="1">IFERROR(_xludf.XLOOKUP(C392,STUDENTS!$A$5:$A$204,STUDENTS!$L$5:$L$204,""),"")</f>
        <v/>
      </c>
      <c r="F392" s="8"/>
      <c r="G392" s="10" t="str">
        <f>SETTINGS!$B$8</f>
        <v>2026/2027</v>
      </c>
      <c r="H392" s="10">
        <f t="shared" si="25"/>
        <v>0</v>
      </c>
      <c r="I392" s="10">
        <f t="shared" si="26"/>
        <v>0</v>
      </c>
      <c r="J392" s="13" t="str">
        <f t="shared" si="27"/>
        <v/>
      </c>
    </row>
    <row r="393" spans="1:10" x14ac:dyDescent="0.2">
      <c r="A393" s="10" t="str">
        <f t="shared" si="24"/>
        <v/>
      </c>
      <c r="B393" s="9"/>
      <c r="C393" s="8"/>
      <c r="D393" s="10" t="str">
        <f ca="1">IFERROR(_xludf.XLOOKUP(C393,STUDENTS!$A$5:$A$204,STUDENTS!$C$5:$C$204,""),"")</f>
        <v/>
      </c>
      <c r="E393" s="10" t="str">
        <f ca="1">IFERROR(_xludf.XLOOKUP(C393,STUDENTS!$A$5:$A$204,STUDENTS!$L$5:$L$204,""),"")</f>
        <v/>
      </c>
      <c r="F393" s="8"/>
      <c r="G393" s="10" t="str">
        <f>SETTINGS!$B$8</f>
        <v>2026/2027</v>
      </c>
      <c r="H393" s="10">
        <f t="shared" si="25"/>
        <v>0</v>
      </c>
      <c r="I393" s="10">
        <f t="shared" si="26"/>
        <v>0</v>
      </c>
      <c r="J393" s="13" t="str">
        <f t="shared" si="27"/>
        <v/>
      </c>
    </row>
    <row r="394" spans="1:10" x14ac:dyDescent="0.2">
      <c r="A394" s="10" t="str">
        <f t="shared" si="24"/>
        <v/>
      </c>
      <c r="B394" s="9"/>
      <c r="C394" s="8"/>
      <c r="D394" s="10" t="str">
        <f ca="1">IFERROR(_xludf.XLOOKUP(C394,STUDENTS!$A$5:$A$204,STUDENTS!$C$5:$C$204,""),"")</f>
        <v/>
      </c>
      <c r="E394" s="10" t="str">
        <f ca="1">IFERROR(_xludf.XLOOKUP(C394,STUDENTS!$A$5:$A$204,STUDENTS!$L$5:$L$204,""),"")</f>
        <v/>
      </c>
      <c r="F394" s="8"/>
      <c r="G394" s="10" t="str">
        <f>SETTINGS!$B$8</f>
        <v>2026/2027</v>
      </c>
      <c r="H394" s="10">
        <f t="shared" si="25"/>
        <v>0</v>
      </c>
      <c r="I394" s="10">
        <f t="shared" si="26"/>
        <v>0</v>
      </c>
      <c r="J394" s="13" t="str">
        <f t="shared" si="27"/>
        <v/>
      </c>
    </row>
    <row r="395" spans="1:10" x14ac:dyDescent="0.2">
      <c r="A395" s="10" t="str">
        <f t="shared" si="24"/>
        <v/>
      </c>
      <c r="B395" s="9"/>
      <c r="C395" s="8"/>
      <c r="D395" s="10" t="str">
        <f ca="1">IFERROR(_xludf.XLOOKUP(C395,STUDENTS!$A$5:$A$204,STUDENTS!$C$5:$C$204,""),"")</f>
        <v/>
      </c>
      <c r="E395" s="10" t="str">
        <f ca="1">IFERROR(_xludf.XLOOKUP(C395,STUDENTS!$A$5:$A$204,STUDENTS!$L$5:$L$204,""),"")</f>
        <v/>
      </c>
      <c r="F395" s="8"/>
      <c r="G395" s="10" t="str">
        <f>SETTINGS!$B$8</f>
        <v>2026/2027</v>
      </c>
      <c r="H395" s="10">
        <f t="shared" si="25"/>
        <v>0</v>
      </c>
      <c r="I395" s="10">
        <f t="shared" si="26"/>
        <v>0</v>
      </c>
      <c r="J395" s="13" t="str">
        <f t="shared" si="27"/>
        <v/>
      </c>
    </row>
    <row r="396" spans="1:10" x14ac:dyDescent="0.2">
      <c r="A396" s="10" t="str">
        <f t="shared" si="24"/>
        <v/>
      </c>
      <c r="B396" s="9"/>
      <c r="C396" s="8"/>
      <c r="D396" s="10" t="str">
        <f ca="1">IFERROR(_xludf.XLOOKUP(C396,STUDENTS!$A$5:$A$204,STUDENTS!$C$5:$C$204,""),"")</f>
        <v/>
      </c>
      <c r="E396" s="10" t="str">
        <f ca="1">IFERROR(_xludf.XLOOKUP(C396,STUDENTS!$A$5:$A$204,STUDENTS!$L$5:$L$204,""),"")</f>
        <v/>
      </c>
      <c r="F396" s="8"/>
      <c r="G396" s="10" t="str">
        <f>SETTINGS!$B$8</f>
        <v>2026/2027</v>
      </c>
      <c r="H396" s="10">
        <f t="shared" si="25"/>
        <v>0</v>
      </c>
      <c r="I396" s="10">
        <f t="shared" si="26"/>
        <v>0</v>
      </c>
      <c r="J396" s="13" t="str">
        <f t="shared" si="27"/>
        <v/>
      </c>
    </row>
    <row r="397" spans="1:10" x14ac:dyDescent="0.2">
      <c r="A397" s="10" t="str">
        <f t="shared" si="24"/>
        <v/>
      </c>
      <c r="B397" s="9"/>
      <c r="C397" s="8"/>
      <c r="D397" s="10" t="str">
        <f ca="1">IFERROR(_xludf.XLOOKUP(C397,STUDENTS!$A$5:$A$204,STUDENTS!$C$5:$C$204,""),"")</f>
        <v/>
      </c>
      <c r="E397" s="10" t="str">
        <f ca="1">IFERROR(_xludf.XLOOKUP(C397,STUDENTS!$A$5:$A$204,STUDENTS!$L$5:$L$204,""),"")</f>
        <v/>
      </c>
      <c r="F397" s="8"/>
      <c r="G397" s="10" t="str">
        <f>SETTINGS!$B$8</f>
        <v>2026/2027</v>
      </c>
      <c r="H397" s="10">
        <f t="shared" si="25"/>
        <v>0</v>
      </c>
      <c r="I397" s="10">
        <f t="shared" si="26"/>
        <v>0</v>
      </c>
      <c r="J397" s="13" t="str">
        <f t="shared" si="27"/>
        <v/>
      </c>
    </row>
    <row r="398" spans="1:10" x14ac:dyDescent="0.2">
      <c r="A398" s="10" t="str">
        <f t="shared" si="24"/>
        <v/>
      </c>
      <c r="B398" s="9"/>
      <c r="C398" s="8"/>
      <c r="D398" s="10" t="str">
        <f ca="1">IFERROR(_xludf.XLOOKUP(C398,STUDENTS!$A$5:$A$204,STUDENTS!$C$5:$C$204,""),"")</f>
        <v/>
      </c>
      <c r="E398" s="10" t="str">
        <f ca="1">IFERROR(_xludf.XLOOKUP(C398,STUDENTS!$A$5:$A$204,STUDENTS!$L$5:$L$204,""),"")</f>
        <v/>
      </c>
      <c r="F398" s="8"/>
      <c r="G398" s="10" t="str">
        <f>SETTINGS!$B$8</f>
        <v>2026/2027</v>
      </c>
      <c r="H398" s="10">
        <f t="shared" si="25"/>
        <v>0</v>
      </c>
      <c r="I398" s="10">
        <f t="shared" si="26"/>
        <v>0</v>
      </c>
      <c r="J398" s="13" t="str">
        <f t="shared" si="27"/>
        <v/>
      </c>
    </row>
    <row r="399" spans="1:10" x14ac:dyDescent="0.2">
      <c r="A399" s="10" t="str">
        <f t="shared" si="24"/>
        <v/>
      </c>
      <c r="B399" s="9"/>
      <c r="C399" s="8"/>
      <c r="D399" s="10" t="str">
        <f ca="1">IFERROR(_xludf.XLOOKUP(C399,STUDENTS!$A$5:$A$204,STUDENTS!$C$5:$C$204,""),"")</f>
        <v/>
      </c>
      <c r="E399" s="10" t="str">
        <f ca="1">IFERROR(_xludf.XLOOKUP(C399,STUDENTS!$A$5:$A$204,STUDENTS!$L$5:$L$204,""),"")</f>
        <v/>
      </c>
      <c r="F399" s="8"/>
      <c r="G399" s="10" t="str">
        <f>SETTINGS!$B$8</f>
        <v>2026/2027</v>
      </c>
      <c r="H399" s="10">
        <f t="shared" si="25"/>
        <v>0</v>
      </c>
      <c r="I399" s="10">
        <f t="shared" si="26"/>
        <v>0</v>
      </c>
      <c r="J399" s="13" t="str">
        <f t="shared" si="27"/>
        <v/>
      </c>
    </row>
    <row r="400" spans="1:10" x14ac:dyDescent="0.2">
      <c r="A400" s="10" t="str">
        <f t="shared" si="24"/>
        <v/>
      </c>
      <c r="B400" s="9"/>
      <c r="C400" s="8"/>
      <c r="D400" s="10" t="str">
        <f ca="1">IFERROR(_xludf.XLOOKUP(C400,STUDENTS!$A$5:$A$204,STUDENTS!$C$5:$C$204,""),"")</f>
        <v/>
      </c>
      <c r="E400" s="10" t="str">
        <f ca="1">IFERROR(_xludf.XLOOKUP(C400,STUDENTS!$A$5:$A$204,STUDENTS!$L$5:$L$204,""),"")</f>
        <v/>
      </c>
      <c r="F400" s="8"/>
      <c r="G400" s="10" t="str">
        <f>SETTINGS!$B$8</f>
        <v>2026/2027</v>
      </c>
      <c r="H400" s="10">
        <f t="shared" si="25"/>
        <v>0</v>
      </c>
      <c r="I400" s="10">
        <f t="shared" si="26"/>
        <v>0</v>
      </c>
      <c r="J400" s="13" t="str">
        <f t="shared" si="27"/>
        <v/>
      </c>
    </row>
    <row r="401" spans="1:10" x14ac:dyDescent="0.2">
      <c r="A401" s="10" t="str">
        <f t="shared" si="24"/>
        <v/>
      </c>
      <c r="B401" s="9"/>
      <c r="C401" s="8"/>
      <c r="D401" s="10" t="str">
        <f ca="1">IFERROR(_xludf.XLOOKUP(C401,STUDENTS!$A$5:$A$204,STUDENTS!$C$5:$C$204,""),"")</f>
        <v/>
      </c>
      <c r="E401" s="10" t="str">
        <f ca="1">IFERROR(_xludf.XLOOKUP(C401,STUDENTS!$A$5:$A$204,STUDENTS!$L$5:$L$204,""),"")</f>
        <v/>
      </c>
      <c r="F401" s="8"/>
      <c r="G401" s="10" t="str">
        <f>SETTINGS!$B$8</f>
        <v>2026/2027</v>
      </c>
      <c r="H401" s="10">
        <f t="shared" si="25"/>
        <v>0</v>
      </c>
      <c r="I401" s="10">
        <f t="shared" si="26"/>
        <v>0</v>
      </c>
      <c r="J401" s="13" t="str">
        <f t="shared" si="27"/>
        <v/>
      </c>
    </row>
    <row r="402" spans="1:10" x14ac:dyDescent="0.2">
      <c r="A402" s="10" t="str">
        <f t="shared" si="24"/>
        <v/>
      </c>
      <c r="B402" s="9"/>
      <c r="C402" s="8"/>
      <c r="D402" s="10" t="str">
        <f ca="1">IFERROR(_xludf.XLOOKUP(C402,STUDENTS!$A$5:$A$204,STUDENTS!$C$5:$C$204,""),"")</f>
        <v/>
      </c>
      <c r="E402" s="10" t="str">
        <f ca="1">IFERROR(_xludf.XLOOKUP(C402,STUDENTS!$A$5:$A$204,STUDENTS!$L$5:$L$204,""),"")</f>
        <v/>
      </c>
      <c r="F402" s="8"/>
      <c r="G402" s="10" t="str">
        <f>SETTINGS!$B$8</f>
        <v>2026/2027</v>
      </c>
      <c r="H402" s="10">
        <f t="shared" si="25"/>
        <v>0</v>
      </c>
      <c r="I402" s="10">
        <f t="shared" si="26"/>
        <v>0</v>
      </c>
      <c r="J402" s="13" t="str">
        <f t="shared" si="27"/>
        <v/>
      </c>
    </row>
    <row r="403" spans="1:10" x14ac:dyDescent="0.2">
      <c r="A403" s="10" t="str">
        <f t="shared" si="24"/>
        <v/>
      </c>
      <c r="B403" s="9"/>
      <c r="C403" s="8"/>
      <c r="D403" s="10" t="str">
        <f ca="1">IFERROR(_xludf.XLOOKUP(C403,STUDENTS!$A$5:$A$204,STUDENTS!$C$5:$C$204,""),"")</f>
        <v/>
      </c>
      <c r="E403" s="10" t="str">
        <f ca="1">IFERROR(_xludf.XLOOKUP(C403,STUDENTS!$A$5:$A$204,STUDENTS!$L$5:$L$204,""),"")</f>
        <v/>
      </c>
      <c r="F403" s="8"/>
      <c r="G403" s="10" t="str">
        <f>SETTINGS!$B$8</f>
        <v>2026/2027</v>
      </c>
      <c r="H403" s="10">
        <f t="shared" si="25"/>
        <v>0</v>
      </c>
      <c r="I403" s="10">
        <f t="shared" si="26"/>
        <v>0</v>
      </c>
      <c r="J403" s="13" t="str">
        <f t="shared" si="27"/>
        <v/>
      </c>
    </row>
    <row r="404" spans="1:10" x14ac:dyDescent="0.2">
      <c r="A404" s="10" t="str">
        <f t="shared" si="24"/>
        <v/>
      </c>
      <c r="B404" s="9"/>
      <c r="C404" s="8"/>
      <c r="D404" s="10" t="str">
        <f ca="1">IFERROR(_xludf.XLOOKUP(C404,STUDENTS!$A$5:$A$204,STUDENTS!$C$5:$C$204,""),"")</f>
        <v/>
      </c>
      <c r="E404" s="10" t="str">
        <f ca="1">IFERROR(_xludf.XLOOKUP(C404,STUDENTS!$A$5:$A$204,STUDENTS!$L$5:$L$204,""),"")</f>
        <v/>
      </c>
      <c r="F404" s="8"/>
      <c r="G404" s="10" t="str">
        <f>SETTINGS!$B$8</f>
        <v>2026/2027</v>
      </c>
      <c r="H404" s="10">
        <f t="shared" si="25"/>
        <v>0</v>
      </c>
      <c r="I404" s="10">
        <f t="shared" si="26"/>
        <v>0</v>
      </c>
      <c r="J404" s="13" t="str">
        <f t="shared" si="27"/>
        <v/>
      </c>
    </row>
    <row r="405" spans="1:10" x14ac:dyDescent="0.2">
      <c r="A405" s="10" t="str">
        <f t="shared" si="24"/>
        <v/>
      </c>
      <c r="B405" s="9"/>
      <c r="C405" s="8"/>
      <c r="D405" s="10" t="str">
        <f ca="1">IFERROR(_xludf.XLOOKUP(C405,STUDENTS!$A$5:$A$204,STUDENTS!$C$5:$C$204,""),"")</f>
        <v/>
      </c>
      <c r="E405" s="10" t="str">
        <f ca="1">IFERROR(_xludf.XLOOKUP(C405,STUDENTS!$A$5:$A$204,STUDENTS!$L$5:$L$204,""),"")</f>
        <v/>
      </c>
      <c r="F405" s="8"/>
      <c r="G405" s="10" t="str">
        <f>SETTINGS!$B$8</f>
        <v>2026/2027</v>
      </c>
      <c r="H405" s="10">
        <f t="shared" si="25"/>
        <v>0</v>
      </c>
      <c r="I405" s="10">
        <f t="shared" si="26"/>
        <v>0</v>
      </c>
      <c r="J405" s="13" t="str">
        <f t="shared" si="27"/>
        <v/>
      </c>
    </row>
    <row r="406" spans="1:10" x14ac:dyDescent="0.2">
      <c r="A406" s="10" t="str">
        <f t="shared" si="24"/>
        <v/>
      </c>
      <c r="B406" s="9"/>
      <c r="C406" s="8"/>
      <c r="D406" s="10" t="str">
        <f ca="1">IFERROR(_xludf.XLOOKUP(C406,STUDENTS!$A$5:$A$204,STUDENTS!$C$5:$C$204,""),"")</f>
        <v/>
      </c>
      <c r="E406" s="10" t="str">
        <f ca="1">IFERROR(_xludf.XLOOKUP(C406,STUDENTS!$A$5:$A$204,STUDENTS!$L$5:$L$204,""),"")</f>
        <v/>
      </c>
      <c r="F406" s="8"/>
      <c r="G406" s="10" t="str">
        <f>SETTINGS!$B$8</f>
        <v>2026/2027</v>
      </c>
      <c r="H406" s="10">
        <f t="shared" si="25"/>
        <v>0</v>
      </c>
      <c r="I406" s="10">
        <f t="shared" si="26"/>
        <v>0</v>
      </c>
      <c r="J406" s="13" t="str">
        <f t="shared" si="27"/>
        <v/>
      </c>
    </row>
    <row r="407" spans="1:10" x14ac:dyDescent="0.2">
      <c r="A407" s="10" t="str">
        <f t="shared" si="24"/>
        <v/>
      </c>
      <c r="B407" s="9"/>
      <c r="C407" s="8"/>
      <c r="D407" s="10" t="str">
        <f ca="1">IFERROR(_xludf.XLOOKUP(C407,STUDENTS!$A$5:$A$204,STUDENTS!$C$5:$C$204,""),"")</f>
        <v/>
      </c>
      <c r="E407" s="10" t="str">
        <f ca="1">IFERROR(_xludf.XLOOKUP(C407,STUDENTS!$A$5:$A$204,STUDENTS!$L$5:$L$204,""),"")</f>
        <v/>
      </c>
      <c r="F407" s="8"/>
      <c r="G407" s="10" t="str">
        <f>SETTINGS!$B$8</f>
        <v>2026/2027</v>
      </c>
      <c r="H407" s="10">
        <f t="shared" si="25"/>
        <v>0</v>
      </c>
      <c r="I407" s="10">
        <f t="shared" si="26"/>
        <v>0</v>
      </c>
      <c r="J407" s="13" t="str">
        <f t="shared" si="27"/>
        <v/>
      </c>
    </row>
    <row r="408" spans="1:10" x14ac:dyDescent="0.2">
      <c r="A408" s="10" t="str">
        <f t="shared" si="24"/>
        <v/>
      </c>
      <c r="B408" s="9"/>
      <c r="C408" s="8"/>
      <c r="D408" s="10" t="str">
        <f ca="1">IFERROR(_xludf.XLOOKUP(C408,STUDENTS!$A$5:$A$204,STUDENTS!$C$5:$C$204,""),"")</f>
        <v/>
      </c>
      <c r="E408" s="10" t="str">
        <f ca="1">IFERROR(_xludf.XLOOKUP(C408,STUDENTS!$A$5:$A$204,STUDENTS!$L$5:$L$204,""),"")</f>
        <v/>
      </c>
      <c r="F408" s="8"/>
      <c r="G408" s="10" t="str">
        <f>SETTINGS!$B$8</f>
        <v>2026/2027</v>
      </c>
      <c r="H408" s="10">
        <f t="shared" si="25"/>
        <v>0</v>
      </c>
      <c r="I408" s="10">
        <f t="shared" si="26"/>
        <v>0</v>
      </c>
      <c r="J408" s="13" t="str">
        <f t="shared" si="27"/>
        <v/>
      </c>
    </row>
    <row r="409" spans="1:10" x14ac:dyDescent="0.2">
      <c r="A409" s="10" t="str">
        <f t="shared" si="24"/>
        <v/>
      </c>
      <c r="B409" s="9"/>
      <c r="C409" s="8"/>
      <c r="D409" s="10" t="str">
        <f ca="1">IFERROR(_xludf.XLOOKUP(C409,STUDENTS!$A$5:$A$204,STUDENTS!$C$5:$C$204,""),"")</f>
        <v/>
      </c>
      <c r="E409" s="10" t="str">
        <f ca="1">IFERROR(_xludf.XLOOKUP(C409,STUDENTS!$A$5:$A$204,STUDENTS!$L$5:$L$204,""),"")</f>
        <v/>
      </c>
      <c r="F409" s="8"/>
      <c r="G409" s="10" t="str">
        <f>SETTINGS!$B$8</f>
        <v>2026/2027</v>
      </c>
      <c r="H409" s="10">
        <f t="shared" si="25"/>
        <v>0</v>
      </c>
      <c r="I409" s="10">
        <f t="shared" si="26"/>
        <v>0</v>
      </c>
      <c r="J409" s="13" t="str">
        <f t="shared" si="27"/>
        <v/>
      </c>
    </row>
    <row r="410" spans="1:10" x14ac:dyDescent="0.2">
      <c r="A410" s="10" t="str">
        <f t="shared" si="24"/>
        <v/>
      </c>
      <c r="B410" s="9"/>
      <c r="C410" s="8"/>
      <c r="D410" s="10" t="str">
        <f ca="1">IFERROR(_xludf.XLOOKUP(C410,STUDENTS!$A$5:$A$204,STUDENTS!$C$5:$C$204,""),"")</f>
        <v/>
      </c>
      <c r="E410" s="10" t="str">
        <f ca="1">IFERROR(_xludf.XLOOKUP(C410,STUDENTS!$A$5:$A$204,STUDENTS!$L$5:$L$204,""),"")</f>
        <v/>
      </c>
      <c r="F410" s="8"/>
      <c r="G410" s="10" t="str">
        <f>SETTINGS!$B$8</f>
        <v>2026/2027</v>
      </c>
      <c r="H410" s="10">
        <f t="shared" si="25"/>
        <v>0</v>
      </c>
      <c r="I410" s="10">
        <f t="shared" si="26"/>
        <v>0</v>
      </c>
      <c r="J410" s="13" t="str">
        <f t="shared" si="27"/>
        <v/>
      </c>
    </row>
    <row r="411" spans="1:10" x14ac:dyDescent="0.2">
      <c r="A411" s="10" t="str">
        <f t="shared" si="24"/>
        <v/>
      </c>
      <c r="B411" s="9"/>
      <c r="C411" s="8"/>
      <c r="D411" s="10" t="str">
        <f ca="1">IFERROR(_xludf.XLOOKUP(C411,STUDENTS!$A$5:$A$204,STUDENTS!$C$5:$C$204,""),"")</f>
        <v/>
      </c>
      <c r="E411" s="10" t="str">
        <f ca="1">IFERROR(_xludf.XLOOKUP(C411,STUDENTS!$A$5:$A$204,STUDENTS!$L$5:$L$204,""),"")</f>
        <v/>
      </c>
      <c r="F411" s="8"/>
      <c r="G411" s="10" t="str">
        <f>SETTINGS!$B$8</f>
        <v>2026/2027</v>
      </c>
      <c r="H411" s="10">
        <f t="shared" si="25"/>
        <v>0</v>
      </c>
      <c r="I411" s="10">
        <f t="shared" si="26"/>
        <v>0</v>
      </c>
      <c r="J411" s="13" t="str">
        <f t="shared" si="27"/>
        <v/>
      </c>
    </row>
    <row r="412" spans="1:10" x14ac:dyDescent="0.2">
      <c r="A412" s="10" t="str">
        <f t="shared" si="24"/>
        <v/>
      </c>
      <c r="B412" s="9"/>
      <c r="C412" s="8"/>
      <c r="D412" s="10" t="str">
        <f ca="1">IFERROR(_xludf.XLOOKUP(C412,STUDENTS!$A$5:$A$204,STUDENTS!$C$5:$C$204,""),"")</f>
        <v/>
      </c>
      <c r="E412" s="10" t="str">
        <f ca="1">IFERROR(_xludf.XLOOKUP(C412,STUDENTS!$A$5:$A$204,STUDENTS!$L$5:$L$204,""),"")</f>
        <v/>
      </c>
      <c r="F412" s="8"/>
      <c r="G412" s="10" t="str">
        <f>SETTINGS!$B$8</f>
        <v>2026/2027</v>
      </c>
      <c r="H412" s="10">
        <f t="shared" si="25"/>
        <v>0</v>
      </c>
      <c r="I412" s="10">
        <f t="shared" si="26"/>
        <v>0</v>
      </c>
      <c r="J412" s="13" t="str">
        <f t="shared" si="27"/>
        <v/>
      </c>
    </row>
    <row r="413" spans="1:10" x14ac:dyDescent="0.2">
      <c r="A413" s="10" t="str">
        <f t="shared" si="24"/>
        <v/>
      </c>
      <c r="B413" s="9"/>
      <c r="C413" s="8"/>
      <c r="D413" s="10" t="str">
        <f ca="1">IFERROR(_xludf.XLOOKUP(C413,STUDENTS!$A$5:$A$204,STUDENTS!$C$5:$C$204,""),"")</f>
        <v/>
      </c>
      <c r="E413" s="10" t="str">
        <f ca="1">IFERROR(_xludf.XLOOKUP(C413,STUDENTS!$A$5:$A$204,STUDENTS!$L$5:$L$204,""),"")</f>
        <v/>
      </c>
      <c r="F413" s="8"/>
      <c r="G413" s="10" t="str">
        <f>SETTINGS!$B$8</f>
        <v>2026/2027</v>
      </c>
      <c r="H413" s="10">
        <f t="shared" si="25"/>
        <v>0</v>
      </c>
      <c r="I413" s="10">
        <f t="shared" si="26"/>
        <v>0</v>
      </c>
      <c r="J413" s="13" t="str">
        <f t="shared" si="27"/>
        <v/>
      </c>
    </row>
    <row r="414" spans="1:10" x14ac:dyDescent="0.2">
      <c r="A414" s="10" t="str">
        <f t="shared" si="24"/>
        <v/>
      </c>
      <c r="B414" s="9"/>
      <c r="C414" s="8"/>
      <c r="D414" s="10" t="str">
        <f ca="1">IFERROR(_xludf.XLOOKUP(C414,STUDENTS!$A$5:$A$204,STUDENTS!$C$5:$C$204,""),"")</f>
        <v/>
      </c>
      <c r="E414" s="10" t="str">
        <f ca="1">IFERROR(_xludf.XLOOKUP(C414,STUDENTS!$A$5:$A$204,STUDENTS!$L$5:$L$204,""),"")</f>
        <v/>
      </c>
      <c r="F414" s="8"/>
      <c r="G414" s="10" t="str">
        <f>SETTINGS!$B$8</f>
        <v>2026/2027</v>
      </c>
      <c r="H414" s="10">
        <f t="shared" si="25"/>
        <v>0</v>
      </c>
      <c r="I414" s="10">
        <f t="shared" si="26"/>
        <v>0</v>
      </c>
      <c r="J414" s="13" t="str">
        <f t="shared" si="27"/>
        <v/>
      </c>
    </row>
    <row r="415" spans="1:10" x14ac:dyDescent="0.2">
      <c r="A415" s="10" t="str">
        <f t="shared" si="24"/>
        <v/>
      </c>
      <c r="B415" s="9"/>
      <c r="C415" s="8"/>
      <c r="D415" s="10" t="str">
        <f ca="1">IFERROR(_xludf.XLOOKUP(C415,STUDENTS!$A$5:$A$204,STUDENTS!$C$5:$C$204,""),"")</f>
        <v/>
      </c>
      <c r="E415" s="10" t="str">
        <f ca="1">IFERROR(_xludf.XLOOKUP(C415,STUDENTS!$A$5:$A$204,STUDENTS!$L$5:$L$204,""),"")</f>
        <v/>
      </c>
      <c r="F415" s="8"/>
      <c r="G415" s="10" t="str">
        <f>SETTINGS!$B$8</f>
        <v>2026/2027</v>
      </c>
      <c r="H415" s="10">
        <f t="shared" si="25"/>
        <v>0</v>
      </c>
      <c r="I415" s="10">
        <f t="shared" si="26"/>
        <v>0</v>
      </c>
      <c r="J415" s="13" t="str">
        <f t="shared" si="27"/>
        <v/>
      </c>
    </row>
    <row r="416" spans="1:10" x14ac:dyDescent="0.2">
      <c r="A416" s="10" t="str">
        <f t="shared" si="24"/>
        <v/>
      </c>
      <c r="B416" s="9"/>
      <c r="C416" s="8"/>
      <c r="D416" s="10" t="str">
        <f ca="1">IFERROR(_xludf.XLOOKUP(C416,STUDENTS!$A$5:$A$204,STUDENTS!$C$5:$C$204,""),"")</f>
        <v/>
      </c>
      <c r="E416" s="10" t="str">
        <f ca="1">IFERROR(_xludf.XLOOKUP(C416,STUDENTS!$A$5:$A$204,STUDENTS!$L$5:$L$204,""),"")</f>
        <v/>
      </c>
      <c r="F416" s="8"/>
      <c r="G416" s="10" t="str">
        <f>SETTINGS!$B$8</f>
        <v>2026/2027</v>
      </c>
      <c r="H416" s="10">
        <f t="shared" si="25"/>
        <v>0</v>
      </c>
      <c r="I416" s="10">
        <f t="shared" si="26"/>
        <v>0</v>
      </c>
      <c r="J416" s="13" t="str">
        <f t="shared" si="27"/>
        <v/>
      </c>
    </row>
    <row r="417" spans="1:10" x14ac:dyDescent="0.2">
      <c r="A417" s="10" t="str">
        <f t="shared" si="24"/>
        <v/>
      </c>
      <c r="B417" s="9"/>
      <c r="C417" s="8"/>
      <c r="D417" s="10" t="str">
        <f ca="1">IFERROR(_xludf.XLOOKUP(C417,STUDENTS!$A$5:$A$204,STUDENTS!$C$5:$C$204,""),"")</f>
        <v/>
      </c>
      <c r="E417" s="10" t="str">
        <f ca="1">IFERROR(_xludf.XLOOKUP(C417,STUDENTS!$A$5:$A$204,STUDENTS!$L$5:$L$204,""),"")</f>
        <v/>
      </c>
      <c r="F417" s="8"/>
      <c r="G417" s="10" t="str">
        <f>SETTINGS!$B$8</f>
        <v>2026/2027</v>
      </c>
      <c r="H417" s="10">
        <f t="shared" si="25"/>
        <v>0</v>
      </c>
      <c r="I417" s="10">
        <f t="shared" si="26"/>
        <v>0</v>
      </c>
      <c r="J417" s="13" t="str">
        <f t="shared" si="27"/>
        <v/>
      </c>
    </row>
    <row r="418" spans="1:10" x14ac:dyDescent="0.2">
      <c r="A418" s="10" t="str">
        <f t="shared" si="24"/>
        <v/>
      </c>
      <c r="B418" s="9"/>
      <c r="C418" s="8"/>
      <c r="D418" s="10" t="str">
        <f ca="1">IFERROR(_xludf.XLOOKUP(C418,STUDENTS!$A$5:$A$204,STUDENTS!$C$5:$C$204,""),"")</f>
        <v/>
      </c>
      <c r="E418" s="10" t="str">
        <f ca="1">IFERROR(_xludf.XLOOKUP(C418,STUDENTS!$A$5:$A$204,STUDENTS!$L$5:$L$204,""),"")</f>
        <v/>
      </c>
      <c r="F418" s="8"/>
      <c r="G418" s="10" t="str">
        <f>SETTINGS!$B$8</f>
        <v>2026/2027</v>
      </c>
      <c r="H418" s="10">
        <f t="shared" si="25"/>
        <v>0</v>
      </c>
      <c r="I418" s="10">
        <f t="shared" si="26"/>
        <v>0</v>
      </c>
      <c r="J418" s="13" t="str">
        <f t="shared" si="27"/>
        <v/>
      </c>
    </row>
    <row r="419" spans="1:10" x14ac:dyDescent="0.2">
      <c r="A419" s="10" t="str">
        <f t="shared" si="24"/>
        <v/>
      </c>
      <c r="B419" s="9"/>
      <c r="C419" s="8"/>
      <c r="D419" s="10" t="str">
        <f ca="1">IFERROR(_xludf.XLOOKUP(C419,STUDENTS!$A$5:$A$204,STUDENTS!$C$5:$C$204,""),"")</f>
        <v/>
      </c>
      <c r="E419" s="10" t="str">
        <f ca="1">IFERROR(_xludf.XLOOKUP(C419,STUDENTS!$A$5:$A$204,STUDENTS!$L$5:$L$204,""),"")</f>
        <v/>
      </c>
      <c r="F419" s="8"/>
      <c r="G419" s="10" t="str">
        <f>SETTINGS!$B$8</f>
        <v>2026/2027</v>
      </c>
      <c r="H419" s="10">
        <f t="shared" si="25"/>
        <v>0</v>
      </c>
      <c r="I419" s="10">
        <f t="shared" si="26"/>
        <v>0</v>
      </c>
      <c r="J419" s="13" t="str">
        <f t="shared" si="27"/>
        <v/>
      </c>
    </row>
    <row r="420" spans="1:10" x14ac:dyDescent="0.2">
      <c r="A420" s="10" t="str">
        <f t="shared" si="24"/>
        <v/>
      </c>
      <c r="B420" s="9"/>
      <c r="C420" s="8"/>
      <c r="D420" s="10" t="str">
        <f ca="1">IFERROR(_xludf.XLOOKUP(C420,STUDENTS!$A$5:$A$204,STUDENTS!$C$5:$C$204,""),"")</f>
        <v/>
      </c>
      <c r="E420" s="10" t="str">
        <f ca="1">IFERROR(_xludf.XLOOKUP(C420,STUDENTS!$A$5:$A$204,STUDENTS!$L$5:$L$204,""),"")</f>
        <v/>
      </c>
      <c r="F420" s="8"/>
      <c r="G420" s="10" t="str">
        <f>SETTINGS!$B$8</f>
        <v>2026/2027</v>
      </c>
      <c r="H420" s="10">
        <f t="shared" si="25"/>
        <v>0</v>
      </c>
      <c r="I420" s="10">
        <f t="shared" si="26"/>
        <v>0</v>
      </c>
      <c r="J420" s="13" t="str">
        <f t="shared" si="27"/>
        <v/>
      </c>
    </row>
    <row r="421" spans="1:10" x14ac:dyDescent="0.2">
      <c r="A421" s="10" t="str">
        <f t="shared" si="24"/>
        <v/>
      </c>
      <c r="B421" s="9"/>
      <c r="C421" s="8"/>
      <c r="D421" s="10" t="str">
        <f ca="1">IFERROR(_xludf.XLOOKUP(C421,STUDENTS!$A$5:$A$204,STUDENTS!$C$5:$C$204,""),"")</f>
        <v/>
      </c>
      <c r="E421" s="10" t="str">
        <f ca="1">IFERROR(_xludf.XLOOKUP(C421,STUDENTS!$A$5:$A$204,STUDENTS!$L$5:$L$204,""),"")</f>
        <v/>
      </c>
      <c r="F421" s="8"/>
      <c r="G421" s="10" t="str">
        <f>SETTINGS!$B$8</f>
        <v>2026/2027</v>
      </c>
      <c r="H421" s="10">
        <f t="shared" si="25"/>
        <v>0</v>
      </c>
      <c r="I421" s="10">
        <f t="shared" si="26"/>
        <v>0</v>
      </c>
      <c r="J421" s="13" t="str">
        <f t="shared" si="27"/>
        <v/>
      </c>
    </row>
    <row r="422" spans="1:10" x14ac:dyDescent="0.2">
      <c r="A422" s="10" t="str">
        <f t="shared" si="24"/>
        <v/>
      </c>
      <c r="B422" s="9"/>
      <c r="C422" s="8"/>
      <c r="D422" s="10" t="str">
        <f ca="1">IFERROR(_xludf.XLOOKUP(C422,STUDENTS!$A$5:$A$204,STUDENTS!$C$5:$C$204,""),"")</f>
        <v/>
      </c>
      <c r="E422" s="10" t="str">
        <f ca="1">IFERROR(_xludf.XLOOKUP(C422,STUDENTS!$A$5:$A$204,STUDENTS!$L$5:$L$204,""),"")</f>
        <v/>
      </c>
      <c r="F422" s="8"/>
      <c r="G422" s="10" t="str">
        <f>SETTINGS!$B$8</f>
        <v>2026/2027</v>
      </c>
      <c r="H422" s="10">
        <f t="shared" si="25"/>
        <v>0</v>
      </c>
      <c r="I422" s="10">
        <f t="shared" si="26"/>
        <v>0</v>
      </c>
      <c r="J422" s="13" t="str">
        <f t="shared" si="27"/>
        <v/>
      </c>
    </row>
    <row r="423" spans="1:10" x14ac:dyDescent="0.2">
      <c r="A423" s="10" t="str">
        <f t="shared" si="24"/>
        <v/>
      </c>
      <c r="B423" s="9"/>
      <c r="C423" s="8"/>
      <c r="D423" s="10" t="str">
        <f ca="1">IFERROR(_xludf.XLOOKUP(C423,STUDENTS!$A$5:$A$204,STUDENTS!$C$5:$C$204,""),"")</f>
        <v/>
      </c>
      <c r="E423" s="10" t="str">
        <f ca="1">IFERROR(_xludf.XLOOKUP(C423,STUDENTS!$A$5:$A$204,STUDENTS!$L$5:$L$204,""),"")</f>
        <v/>
      </c>
      <c r="F423" s="8"/>
      <c r="G423" s="10" t="str">
        <f>SETTINGS!$B$8</f>
        <v>2026/2027</v>
      </c>
      <c r="H423" s="10">
        <f t="shared" si="25"/>
        <v>0</v>
      </c>
      <c r="I423" s="10">
        <f t="shared" si="26"/>
        <v>0</v>
      </c>
      <c r="J423" s="13" t="str">
        <f t="shared" si="27"/>
        <v/>
      </c>
    </row>
    <row r="424" spans="1:10" x14ac:dyDescent="0.2">
      <c r="A424" s="10" t="str">
        <f t="shared" si="24"/>
        <v/>
      </c>
      <c r="B424" s="9"/>
      <c r="C424" s="8"/>
      <c r="D424" s="10" t="str">
        <f ca="1">IFERROR(_xludf.XLOOKUP(C424,STUDENTS!$A$5:$A$204,STUDENTS!$C$5:$C$204,""),"")</f>
        <v/>
      </c>
      <c r="E424" s="10" t="str">
        <f ca="1">IFERROR(_xludf.XLOOKUP(C424,STUDENTS!$A$5:$A$204,STUDENTS!$L$5:$L$204,""),"")</f>
        <v/>
      </c>
      <c r="F424" s="8"/>
      <c r="G424" s="10" t="str">
        <f>SETTINGS!$B$8</f>
        <v>2026/2027</v>
      </c>
      <c r="H424" s="10">
        <f t="shared" si="25"/>
        <v>0</v>
      </c>
      <c r="I424" s="10">
        <f t="shared" si="26"/>
        <v>0</v>
      </c>
      <c r="J424" s="13" t="str">
        <f t="shared" si="27"/>
        <v/>
      </c>
    </row>
    <row r="425" spans="1:10" x14ac:dyDescent="0.2">
      <c r="A425" s="10" t="str">
        <f t="shared" si="24"/>
        <v/>
      </c>
      <c r="B425" s="9"/>
      <c r="C425" s="8"/>
      <c r="D425" s="10" t="str">
        <f ca="1">IFERROR(_xludf.XLOOKUP(C425,STUDENTS!$A$5:$A$204,STUDENTS!$C$5:$C$204,""),"")</f>
        <v/>
      </c>
      <c r="E425" s="10" t="str">
        <f ca="1">IFERROR(_xludf.XLOOKUP(C425,STUDENTS!$A$5:$A$204,STUDENTS!$L$5:$L$204,""),"")</f>
        <v/>
      </c>
      <c r="F425" s="8"/>
      <c r="G425" s="10" t="str">
        <f>SETTINGS!$B$8</f>
        <v>2026/2027</v>
      </c>
      <c r="H425" s="10">
        <f t="shared" si="25"/>
        <v>0</v>
      </c>
      <c r="I425" s="10">
        <f t="shared" si="26"/>
        <v>0</v>
      </c>
      <c r="J425" s="13" t="str">
        <f t="shared" si="27"/>
        <v/>
      </c>
    </row>
    <row r="426" spans="1:10" x14ac:dyDescent="0.2">
      <c r="A426" s="10" t="str">
        <f t="shared" si="24"/>
        <v/>
      </c>
      <c r="B426" s="9"/>
      <c r="C426" s="8"/>
      <c r="D426" s="10" t="str">
        <f ca="1">IFERROR(_xludf.XLOOKUP(C426,STUDENTS!$A$5:$A$204,STUDENTS!$C$5:$C$204,""),"")</f>
        <v/>
      </c>
      <c r="E426" s="10" t="str">
        <f ca="1">IFERROR(_xludf.XLOOKUP(C426,STUDENTS!$A$5:$A$204,STUDENTS!$L$5:$L$204,""),"")</f>
        <v/>
      </c>
      <c r="F426" s="8"/>
      <c r="G426" s="10" t="str">
        <f>SETTINGS!$B$8</f>
        <v>2026/2027</v>
      </c>
      <c r="H426" s="10">
        <f t="shared" si="25"/>
        <v>0</v>
      </c>
      <c r="I426" s="10">
        <f t="shared" si="26"/>
        <v>0</v>
      </c>
      <c r="J426" s="13" t="str">
        <f t="shared" si="27"/>
        <v/>
      </c>
    </row>
    <row r="427" spans="1:10" x14ac:dyDescent="0.2">
      <c r="A427" s="10" t="str">
        <f t="shared" si="24"/>
        <v/>
      </c>
      <c r="B427" s="9"/>
      <c r="C427" s="8"/>
      <c r="D427" s="10" t="str">
        <f ca="1">IFERROR(_xludf.XLOOKUP(C427,STUDENTS!$A$5:$A$204,STUDENTS!$C$5:$C$204,""),"")</f>
        <v/>
      </c>
      <c r="E427" s="10" t="str">
        <f ca="1">IFERROR(_xludf.XLOOKUP(C427,STUDENTS!$A$5:$A$204,STUDENTS!$L$5:$L$204,""),"")</f>
        <v/>
      </c>
      <c r="F427" s="8"/>
      <c r="G427" s="10" t="str">
        <f>SETTINGS!$B$8</f>
        <v>2026/2027</v>
      </c>
      <c r="H427" s="10">
        <f t="shared" si="25"/>
        <v>0</v>
      </c>
      <c r="I427" s="10">
        <f t="shared" si="26"/>
        <v>0</v>
      </c>
      <c r="J427" s="13" t="str">
        <f t="shared" si="27"/>
        <v/>
      </c>
    </row>
    <row r="428" spans="1:10" x14ac:dyDescent="0.2">
      <c r="A428" s="10" t="str">
        <f t="shared" si="24"/>
        <v/>
      </c>
      <c r="B428" s="9"/>
      <c r="C428" s="8"/>
      <c r="D428" s="10" t="str">
        <f ca="1">IFERROR(_xludf.XLOOKUP(C428,STUDENTS!$A$5:$A$204,STUDENTS!$C$5:$C$204,""),"")</f>
        <v/>
      </c>
      <c r="E428" s="10" t="str">
        <f ca="1">IFERROR(_xludf.XLOOKUP(C428,STUDENTS!$A$5:$A$204,STUDENTS!$L$5:$L$204,""),"")</f>
        <v/>
      </c>
      <c r="F428" s="8"/>
      <c r="G428" s="10" t="str">
        <f>SETTINGS!$B$8</f>
        <v>2026/2027</v>
      </c>
      <c r="H428" s="10">
        <f t="shared" si="25"/>
        <v>0</v>
      </c>
      <c r="I428" s="10">
        <f t="shared" si="26"/>
        <v>0</v>
      </c>
      <c r="J428" s="13" t="str">
        <f t="shared" si="27"/>
        <v/>
      </c>
    </row>
    <row r="429" spans="1:10" x14ac:dyDescent="0.2">
      <c r="A429" s="10" t="str">
        <f t="shared" si="24"/>
        <v/>
      </c>
      <c r="B429" s="9"/>
      <c r="C429" s="8"/>
      <c r="D429" s="10" t="str">
        <f ca="1">IFERROR(_xludf.XLOOKUP(C429,STUDENTS!$A$5:$A$204,STUDENTS!$C$5:$C$204,""),"")</f>
        <v/>
      </c>
      <c r="E429" s="10" t="str">
        <f ca="1">IFERROR(_xludf.XLOOKUP(C429,STUDENTS!$A$5:$A$204,STUDENTS!$L$5:$L$204,""),"")</f>
        <v/>
      </c>
      <c r="F429" s="8"/>
      <c r="G429" s="10" t="str">
        <f>SETTINGS!$B$8</f>
        <v>2026/2027</v>
      </c>
      <c r="H429" s="10">
        <f t="shared" si="25"/>
        <v>0</v>
      </c>
      <c r="I429" s="10">
        <f t="shared" si="26"/>
        <v>0</v>
      </c>
      <c r="J429" s="13" t="str">
        <f t="shared" si="27"/>
        <v/>
      </c>
    </row>
    <row r="430" spans="1:10" x14ac:dyDescent="0.2">
      <c r="A430" s="10" t="str">
        <f t="shared" si="24"/>
        <v/>
      </c>
      <c r="B430" s="9"/>
      <c r="C430" s="8"/>
      <c r="D430" s="10" t="str">
        <f ca="1">IFERROR(_xludf.XLOOKUP(C430,STUDENTS!$A$5:$A$204,STUDENTS!$C$5:$C$204,""),"")</f>
        <v/>
      </c>
      <c r="E430" s="10" t="str">
        <f ca="1">IFERROR(_xludf.XLOOKUP(C430,STUDENTS!$A$5:$A$204,STUDENTS!$L$5:$L$204,""),"")</f>
        <v/>
      </c>
      <c r="F430" s="8"/>
      <c r="G430" s="10" t="str">
        <f>SETTINGS!$B$8</f>
        <v>2026/2027</v>
      </c>
      <c r="H430" s="10">
        <f t="shared" si="25"/>
        <v>0</v>
      </c>
      <c r="I430" s="10">
        <f t="shared" si="26"/>
        <v>0</v>
      </c>
      <c r="J430" s="13" t="str">
        <f t="shared" si="27"/>
        <v/>
      </c>
    </row>
    <row r="431" spans="1:10" x14ac:dyDescent="0.2">
      <c r="A431" s="10" t="str">
        <f t="shared" si="24"/>
        <v/>
      </c>
      <c r="B431" s="9"/>
      <c r="C431" s="8"/>
      <c r="D431" s="10" t="str">
        <f ca="1">IFERROR(_xludf.XLOOKUP(C431,STUDENTS!$A$5:$A$204,STUDENTS!$C$5:$C$204,""),"")</f>
        <v/>
      </c>
      <c r="E431" s="10" t="str">
        <f ca="1">IFERROR(_xludf.XLOOKUP(C431,STUDENTS!$A$5:$A$204,STUDENTS!$L$5:$L$204,""),"")</f>
        <v/>
      </c>
      <c r="F431" s="8"/>
      <c r="G431" s="10" t="str">
        <f>SETTINGS!$B$8</f>
        <v>2026/2027</v>
      </c>
      <c r="H431" s="10">
        <f t="shared" si="25"/>
        <v>0</v>
      </c>
      <c r="I431" s="10">
        <f t="shared" si="26"/>
        <v>0</v>
      </c>
      <c r="J431" s="13" t="str">
        <f t="shared" si="27"/>
        <v/>
      </c>
    </row>
    <row r="432" spans="1:10" x14ac:dyDescent="0.2">
      <c r="A432" s="10" t="str">
        <f t="shared" si="24"/>
        <v/>
      </c>
      <c r="B432" s="9"/>
      <c r="C432" s="8"/>
      <c r="D432" s="10" t="str">
        <f ca="1">IFERROR(_xludf.XLOOKUP(C432,STUDENTS!$A$5:$A$204,STUDENTS!$C$5:$C$204,""),"")</f>
        <v/>
      </c>
      <c r="E432" s="10" t="str">
        <f ca="1">IFERROR(_xludf.XLOOKUP(C432,STUDENTS!$A$5:$A$204,STUDENTS!$L$5:$L$204,""),"")</f>
        <v/>
      </c>
      <c r="F432" s="8"/>
      <c r="G432" s="10" t="str">
        <f>SETTINGS!$B$8</f>
        <v>2026/2027</v>
      </c>
      <c r="H432" s="10">
        <f t="shared" si="25"/>
        <v>0</v>
      </c>
      <c r="I432" s="10">
        <f t="shared" si="26"/>
        <v>0</v>
      </c>
      <c r="J432" s="13" t="str">
        <f t="shared" si="27"/>
        <v/>
      </c>
    </row>
    <row r="433" spans="1:10" x14ac:dyDescent="0.2">
      <c r="A433" s="10" t="str">
        <f t="shared" si="24"/>
        <v/>
      </c>
      <c r="B433" s="9"/>
      <c r="C433" s="8"/>
      <c r="D433" s="10" t="str">
        <f ca="1">IFERROR(_xludf.XLOOKUP(C433,STUDENTS!$A$5:$A$204,STUDENTS!$C$5:$C$204,""),"")</f>
        <v/>
      </c>
      <c r="E433" s="10" t="str">
        <f ca="1">IFERROR(_xludf.XLOOKUP(C433,STUDENTS!$A$5:$A$204,STUDENTS!$L$5:$L$204,""),"")</f>
        <v/>
      </c>
      <c r="F433" s="8"/>
      <c r="G433" s="10" t="str">
        <f>SETTINGS!$B$8</f>
        <v>2026/2027</v>
      </c>
      <c r="H433" s="10">
        <f t="shared" si="25"/>
        <v>0</v>
      </c>
      <c r="I433" s="10">
        <f t="shared" si="26"/>
        <v>0</v>
      </c>
      <c r="J433" s="13" t="str">
        <f t="shared" si="27"/>
        <v/>
      </c>
    </row>
    <row r="434" spans="1:10" x14ac:dyDescent="0.2">
      <c r="A434" s="10" t="str">
        <f t="shared" si="24"/>
        <v/>
      </c>
      <c r="B434" s="9"/>
      <c r="C434" s="8"/>
      <c r="D434" s="10" t="str">
        <f ca="1">IFERROR(_xludf.XLOOKUP(C434,STUDENTS!$A$5:$A$204,STUDENTS!$C$5:$C$204,""),"")</f>
        <v/>
      </c>
      <c r="E434" s="10" t="str">
        <f ca="1">IFERROR(_xludf.XLOOKUP(C434,STUDENTS!$A$5:$A$204,STUDENTS!$L$5:$L$204,""),"")</f>
        <v/>
      </c>
      <c r="F434" s="8"/>
      <c r="G434" s="10" t="str">
        <f>SETTINGS!$B$8</f>
        <v>2026/2027</v>
      </c>
      <c r="H434" s="10">
        <f t="shared" si="25"/>
        <v>0</v>
      </c>
      <c r="I434" s="10">
        <f t="shared" si="26"/>
        <v>0</v>
      </c>
      <c r="J434" s="13" t="str">
        <f t="shared" si="27"/>
        <v/>
      </c>
    </row>
    <row r="435" spans="1:10" x14ac:dyDescent="0.2">
      <c r="A435" s="10" t="str">
        <f t="shared" si="24"/>
        <v/>
      </c>
      <c r="B435" s="9"/>
      <c r="C435" s="8"/>
      <c r="D435" s="10" t="str">
        <f ca="1">IFERROR(_xludf.XLOOKUP(C435,STUDENTS!$A$5:$A$204,STUDENTS!$C$5:$C$204,""),"")</f>
        <v/>
      </c>
      <c r="E435" s="10" t="str">
        <f ca="1">IFERROR(_xludf.XLOOKUP(C435,STUDENTS!$A$5:$A$204,STUDENTS!$L$5:$L$204,""),"")</f>
        <v/>
      </c>
      <c r="F435" s="8"/>
      <c r="G435" s="10" t="str">
        <f>SETTINGS!$B$8</f>
        <v>2026/2027</v>
      </c>
      <c r="H435" s="10">
        <f t="shared" si="25"/>
        <v>0</v>
      </c>
      <c r="I435" s="10">
        <f t="shared" si="26"/>
        <v>0</v>
      </c>
      <c r="J435" s="13" t="str">
        <f t="shared" si="27"/>
        <v/>
      </c>
    </row>
    <row r="436" spans="1:10" x14ac:dyDescent="0.2">
      <c r="A436" s="10" t="str">
        <f t="shared" si="24"/>
        <v/>
      </c>
      <c r="B436" s="9"/>
      <c r="C436" s="8"/>
      <c r="D436" s="10" t="str">
        <f ca="1">IFERROR(_xludf.XLOOKUP(C436,STUDENTS!$A$5:$A$204,STUDENTS!$C$5:$C$204,""),"")</f>
        <v/>
      </c>
      <c r="E436" s="10" t="str">
        <f ca="1">IFERROR(_xludf.XLOOKUP(C436,STUDENTS!$A$5:$A$204,STUDENTS!$L$5:$L$204,""),"")</f>
        <v/>
      </c>
      <c r="F436" s="8"/>
      <c r="G436" s="10" t="str">
        <f>SETTINGS!$B$8</f>
        <v>2026/2027</v>
      </c>
      <c r="H436" s="10">
        <f t="shared" si="25"/>
        <v>0</v>
      </c>
      <c r="I436" s="10">
        <f t="shared" si="26"/>
        <v>0</v>
      </c>
      <c r="J436" s="13" t="str">
        <f t="shared" si="27"/>
        <v/>
      </c>
    </row>
    <row r="437" spans="1:10" x14ac:dyDescent="0.2">
      <c r="A437" s="10" t="str">
        <f t="shared" si="24"/>
        <v/>
      </c>
      <c r="B437" s="9"/>
      <c r="C437" s="8"/>
      <c r="D437" s="10" t="str">
        <f ca="1">IFERROR(_xludf.XLOOKUP(C437,STUDENTS!$A$5:$A$204,STUDENTS!$C$5:$C$204,""),"")</f>
        <v/>
      </c>
      <c r="E437" s="10" t="str">
        <f ca="1">IFERROR(_xludf.XLOOKUP(C437,STUDENTS!$A$5:$A$204,STUDENTS!$L$5:$L$204,""),"")</f>
        <v/>
      </c>
      <c r="F437" s="8"/>
      <c r="G437" s="10" t="str">
        <f>SETTINGS!$B$8</f>
        <v>2026/2027</v>
      </c>
      <c r="H437" s="10">
        <f t="shared" si="25"/>
        <v>0</v>
      </c>
      <c r="I437" s="10">
        <f t="shared" si="26"/>
        <v>0</v>
      </c>
      <c r="J437" s="13" t="str">
        <f t="shared" si="27"/>
        <v/>
      </c>
    </row>
    <row r="438" spans="1:10" x14ac:dyDescent="0.2">
      <c r="A438" s="10" t="str">
        <f t="shared" si="24"/>
        <v/>
      </c>
      <c r="B438" s="9"/>
      <c r="C438" s="8"/>
      <c r="D438" s="10" t="str">
        <f ca="1">IFERROR(_xludf.XLOOKUP(C438,STUDENTS!$A$5:$A$204,STUDENTS!$C$5:$C$204,""),"")</f>
        <v/>
      </c>
      <c r="E438" s="10" t="str">
        <f ca="1">IFERROR(_xludf.XLOOKUP(C438,STUDENTS!$A$5:$A$204,STUDENTS!$L$5:$L$204,""),"")</f>
        <v/>
      </c>
      <c r="F438" s="8"/>
      <c r="G438" s="10" t="str">
        <f>SETTINGS!$B$8</f>
        <v>2026/2027</v>
      </c>
      <c r="H438" s="10">
        <f t="shared" si="25"/>
        <v>0</v>
      </c>
      <c r="I438" s="10">
        <f t="shared" si="26"/>
        <v>0</v>
      </c>
      <c r="J438" s="13" t="str">
        <f t="shared" si="27"/>
        <v/>
      </c>
    </row>
    <row r="439" spans="1:10" x14ac:dyDescent="0.2">
      <c r="A439" s="10" t="str">
        <f t="shared" si="24"/>
        <v/>
      </c>
      <c r="B439" s="9"/>
      <c r="C439" s="8"/>
      <c r="D439" s="10" t="str">
        <f ca="1">IFERROR(_xludf.XLOOKUP(C439,STUDENTS!$A$5:$A$204,STUDENTS!$C$5:$C$204,""),"")</f>
        <v/>
      </c>
      <c r="E439" s="10" t="str">
        <f ca="1">IFERROR(_xludf.XLOOKUP(C439,STUDENTS!$A$5:$A$204,STUDENTS!$L$5:$L$204,""),"")</f>
        <v/>
      </c>
      <c r="F439" s="8"/>
      <c r="G439" s="10" t="str">
        <f>SETTINGS!$B$8</f>
        <v>2026/2027</v>
      </c>
      <c r="H439" s="10">
        <f t="shared" si="25"/>
        <v>0</v>
      </c>
      <c r="I439" s="10">
        <f t="shared" si="26"/>
        <v>0</v>
      </c>
      <c r="J439" s="13" t="str">
        <f t="shared" si="27"/>
        <v/>
      </c>
    </row>
    <row r="440" spans="1:10" x14ac:dyDescent="0.2">
      <c r="A440" s="10" t="str">
        <f t="shared" si="24"/>
        <v/>
      </c>
      <c r="B440" s="9"/>
      <c r="C440" s="8"/>
      <c r="D440" s="10" t="str">
        <f ca="1">IFERROR(_xludf.XLOOKUP(C440,STUDENTS!$A$5:$A$204,STUDENTS!$C$5:$C$204,""),"")</f>
        <v/>
      </c>
      <c r="E440" s="10" t="str">
        <f ca="1">IFERROR(_xludf.XLOOKUP(C440,STUDENTS!$A$5:$A$204,STUDENTS!$L$5:$L$204,""),"")</f>
        <v/>
      </c>
      <c r="F440" s="8"/>
      <c r="G440" s="10" t="str">
        <f>SETTINGS!$B$8</f>
        <v>2026/2027</v>
      </c>
      <c r="H440" s="10">
        <f t="shared" si="25"/>
        <v>0</v>
      </c>
      <c r="I440" s="10">
        <f t="shared" si="26"/>
        <v>0</v>
      </c>
      <c r="J440" s="13" t="str">
        <f t="shared" si="27"/>
        <v/>
      </c>
    </row>
    <row r="441" spans="1:10" x14ac:dyDescent="0.2">
      <c r="A441" s="10" t="str">
        <f t="shared" si="24"/>
        <v/>
      </c>
      <c r="B441" s="9"/>
      <c r="C441" s="8"/>
      <c r="D441" s="10" t="str">
        <f ca="1">IFERROR(_xludf.XLOOKUP(C441,STUDENTS!$A$5:$A$204,STUDENTS!$C$5:$C$204,""),"")</f>
        <v/>
      </c>
      <c r="E441" s="10" t="str">
        <f ca="1">IFERROR(_xludf.XLOOKUP(C441,STUDENTS!$A$5:$A$204,STUDENTS!$L$5:$L$204,""),"")</f>
        <v/>
      </c>
      <c r="F441" s="8"/>
      <c r="G441" s="10" t="str">
        <f>SETTINGS!$B$8</f>
        <v>2026/2027</v>
      </c>
      <c r="H441" s="10">
        <f t="shared" si="25"/>
        <v>0</v>
      </c>
      <c r="I441" s="10">
        <f t="shared" si="26"/>
        <v>0</v>
      </c>
      <c r="J441" s="13" t="str">
        <f t="shared" si="27"/>
        <v/>
      </c>
    </row>
    <row r="442" spans="1:10" x14ac:dyDescent="0.2">
      <c r="A442" s="10" t="str">
        <f t="shared" si="24"/>
        <v/>
      </c>
      <c r="B442" s="9"/>
      <c r="C442" s="8"/>
      <c r="D442" s="10" t="str">
        <f ca="1">IFERROR(_xludf.XLOOKUP(C442,STUDENTS!$A$5:$A$204,STUDENTS!$C$5:$C$204,""),"")</f>
        <v/>
      </c>
      <c r="E442" s="10" t="str">
        <f ca="1">IFERROR(_xludf.XLOOKUP(C442,STUDENTS!$A$5:$A$204,STUDENTS!$L$5:$L$204,""),"")</f>
        <v/>
      </c>
      <c r="F442" s="8"/>
      <c r="G442" s="10" t="str">
        <f>SETTINGS!$B$8</f>
        <v>2026/2027</v>
      </c>
      <c r="H442" s="10">
        <f t="shared" si="25"/>
        <v>0</v>
      </c>
      <c r="I442" s="10">
        <f t="shared" si="26"/>
        <v>0</v>
      </c>
      <c r="J442" s="13" t="str">
        <f t="shared" si="27"/>
        <v/>
      </c>
    </row>
    <row r="443" spans="1:10" x14ac:dyDescent="0.2">
      <c r="A443" s="10" t="str">
        <f t="shared" si="24"/>
        <v/>
      </c>
      <c r="B443" s="9"/>
      <c r="C443" s="8"/>
      <c r="D443" s="10" t="str">
        <f ca="1">IFERROR(_xludf.XLOOKUP(C443,STUDENTS!$A$5:$A$204,STUDENTS!$C$5:$C$204,""),"")</f>
        <v/>
      </c>
      <c r="E443" s="10" t="str">
        <f ca="1">IFERROR(_xludf.XLOOKUP(C443,STUDENTS!$A$5:$A$204,STUDENTS!$L$5:$L$204,""),"")</f>
        <v/>
      </c>
      <c r="F443" s="8"/>
      <c r="G443" s="10" t="str">
        <f>SETTINGS!$B$8</f>
        <v>2026/2027</v>
      </c>
      <c r="H443" s="10">
        <f t="shared" si="25"/>
        <v>0</v>
      </c>
      <c r="I443" s="10">
        <f t="shared" si="26"/>
        <v>0</v>
      </c>
      <c r="J443" s="13" t="str">
        <f t="shared" si="27"/>
        <v/>
      </c>
    </row>
    <row r="444" spans="1:10" x14ac:dyDescent="0.2">
      <c r="A444" s="10" t="str">
        <f t="shared" si="24"/>
        <v/>
      </c>
      <c r="B444" s="9"/>
      <c r="C444" s="8"/>
      <c r="D444" s="10" t="str">
        <f ca="1">IFERROR(_xludf.XLOOKUP(C444,STUDENTS!$A$5:$A$204,STUDENTS!$C$5:$C$204,""),"")</f>
        <v/>
      </c>
      <c r="E444" s="10" t="str">
        <f ca="1">IFERROR(_xludf.XLOOKUP(C444,STUDENTS!$A$5:$A$204,STUDENTS!$L$5:$L$204,""),"")</f>
        <v/>
      </c>
      <c r="F444" s="8"/>
      <c r="G444" s="10" t="str">
        <f>SETTINGS!$B$8</f>
        <v>2026/2027</v>
      </c>
      <c r="H444" s="10">
        <f t="shared" si="25"/>
        <v>0</v>
      </c>
      <c r="I444" s="10">
        <f t="shared" si="26"/>
        <v>0</v>
      </c>
      <c r="J444" s="13" t="str">
        <f t="shared" si="27"/>
        <v/>
      </c>
    </row>
    <row r="445" spans="1:10" x14ac:dyDescent="0.2">
      <c r="A445" s="10" t="str">
        <f t="shared" si="24"/>
        <v/>
      </c>
      <c r="B445" s="9"/>
      <c r="C445" s="8"/>
      <c r="D445" s="10" t="str">
        <f ca="1">IFERROR(_xludf.XLOOKUP(C445,STUDENTS!$A$5:$A$204,STUDENTS!$C$5:$C$204,""),"")</f>
        <v/>
      </c>
      <c r="E445" s="10" t="str">
        <f ca="1">IFERROR(_xludf.XLOOKUP(C445,STUDENTS!$A$5:$A$204,STUDENTS!$L$5:$L$204,""),"")</f>
        <v/>
      </c>
      <c r="F445" s="8"/>
      <c r="G445" s="10" t="str">
        <f>SETTINGS!$B$8</f>
        <v>2026/2027</v>
      </c>
      <c r="H445" s="10">
        <f t="shared" si="25"/>
        <v>0</v>
      </c>
      <c r="I445" s="10">
        <f t="shared" si="26"/>
        <v>0</v>
      </c>
      <c r="J445" s="13" t="str">
        <f t="shared" si="27"/>
        <v/>
      </c>
    </row>
    <row r="446" spans="1:10" x14ac:dyDescent="0.2">
      <c r="A446" s="10" t="str">
        <f t="shared" si="24"/>
        <v/>
      </c>
      <c r="B446" s="9"/>
      <c r="C446" s="8"/>
      <c r="D446" s="10" t="str">
        <f ca="1">IFERROR(_xludf.XLOOKUP(C446,STUDENTS!$A$5:$A$204,STUDENTS!$C$5:$C$204,""),"")</f>
        <v/>
      </c>
      <c r="E446" s="10" t="str">
        <f ca="1">IFERROR(_xludf.XLOOKUP(C446,STUDENTS!$A$5:$A$204,STUDENTS!$L$5:$L$204,""),"")</f>
        <v/>
      </c>
      <c r="F446" s="8"/>
      <c r="G446" s="10" t="str">
        <f>SETTINGS!$B$8</f>
        <v>2026/2027</v>
      </c>
      <c r="H446" s="10">
        <f t="shared" si="25"/>
        <v>0</v>
      </c>
      <c r="I446" s="10">
        <f t="shared" si="26"/>
        <v>0</v>
      </c>
      <c r="J446" s="13" t="str">
        <f t="shared" si="27"/>
        <v/>
      </c>
    </row>
    <row r="447" spans="1:10" x14ac:dyDescent="0.2">
      <c r="A447" s="10" t="str">
        <f t="shared" si="24"/>
        <v/>
      </c>
      <c r="B447" s="9"/>
      <c r="C447" s="8"/>
      <c r="D447" s="10" t="str">
        <f ca="1">IFERROR(_xludf.XLOOKUP(C447,STUDENTS!$A$5:$A$204,STUDENTS!$C$5:$C$204,""),"")</f>
        <v/>
      </c>
      <c r="E447" s="10" t="str">
        <f ca="1">IFERROR(_xludf.XLOOKUP(C447,STUDENTS!$A$5:$A$204,STUDENTS!$L$5:$L$204,""),"")</f>
        <v/>
      </c>
      <c r="F447" s="8"/>
      <c r="G447" s="10" t="str">
        <f>SETTINGS!$B$8</f>
        <v>2026/2027</v>
      </c>
      <c r="H447" s="10">
        <f t="shared" si="25"/>
        <v>0</v>
      </c>
      <c r="I447" s="10">
        <f t="shared" si="26"/>
        <v>0</v>
      </c>
      <c r="J447" s="13" t="str">
        <f t="shared" si="27"/>
        <v/>
      </c>
    </row>
    <row r="448" spans="1:10" x14ac:dyDescent="0.2">
      <c r="A448" s="10" t="str">
        <f t="shared" si="24"/>
        <v/>
      </c>
      <c r="B448" s="9"/>
      <c r="C448" s="8"/>
      <c r="D448" s="10" t="str">
        <f ca="1">IFERROR(_xludf.XLOOKUP(C448,STUDENTS!$A$5:$A$204,STUDENTS!$C$5:$C$204,""),"")</f>
        <v/>
      </c>
      <c r="E448" s="10" t="str">
        <f ca="1">IFERROR(_xludf.XLOOKUP(C448,STUDENTS!$A$5:$A$204,STUDENTS!$L$5:$L$204,""),"")</f>
        <v/>
      </c>
      <c r="F448" s="8"/>
      <c r="G448" s="10" t="str">
        <f>SETTINGS!$B$8</f>
        <v>2026/2027</v>
      </c>
      <c r="H448" s="10">
        <f t="shared" si="25"/>
        <v>0</v>
      </c>
      <c r="I448" s="10">
        <f t="shared" si="26"/>
        <v>0</v>
      </c>
      <c r="J448" s="13" t="str">
        <f t="shared" si="27"/>
        <v/>
      </c>
    </row>
    <row r="449" spans="1:10" x14ac:dyDescent="0.2">
      <c r="A449" s="10" t="str">
        <f t="shared" si="24"/>
        <v/>
      </c>
      <c r="B449" s="9"/>
      <c r="C449" s="8"/>
      <c r="D449" s="10" t="str">
        <f ca="1">IFERROR(_xludf.XLOOKUP(C449,STUDENTS!$A$5:$A$204,STUDENTS!$C$5:$C$204,""),"")</f>
        <v/>
      </c>
      <c r="E449" s="10" t="str">
        <f ca="1">IFERROR(_xludf.XLOOKUP(C449,STUDENTS!$A$5:$A$204,STUDENTS!$L$5:$L$204,""),"")</f>
        <v/>
      </c>
      <c r="F449" s="8"/>
      <c r="G449" s="10" t="str">
        <f>SETTINGS!$B$8</f>
        <v>2026/2027</v>
      </c>
      <c r="H449" s="10">
        <f t="shared" si="25"/>
        <v>0</v>
      </c>
      <c r="I449" s="10">
        <f t="shared" si="26"/>
        <v>0</v>
      </c>
      <c r="J449" s="13" t="str">
        <f t="shared" si="27"/>
        <v/>
      </c>
    </row>
    <row r="450" spans="1:10" x14ac:dyDescent="0.2">
      <c r="A450" s="10" t="str">
        <f t="shared" si="24"/>
        <v/>
      </c>
      <c r="B450" s="9"/>
      <c r="C450" s="8"/>
      <c r="D450" s="10" t="str">
        <f ca="1">IFERROR(_xludf.XLOOKUP(C450,STUDENTS!$A$5:$A$204,STUDENTS!$C$5:$C$204,""),"")</f>
        <v/>
      </c>
      <c r="E450" s="10" t="str">
        <f ca="1">IFERROR(_xludf.XLOOKUP(C450,STUDENTS!$A$5:$A$204,STUDENTS!$L$5:$L$204,""),"")</f>
        <v/>
      </c>
      <c r="F450" s="8"/>
      <c r="G450" s="10" t="str">
        <f>SETTINGS!$B$8</f>
        <v>2026/2027</v>
      </c>
      <c r="H450" s="10">
        <f t="shared" si="25"/>
        <v>0</v>
      </c>
      <c r="I450" s="10">
        <f t="shared" si="26"/>
        <v>0</v>
      </c>
      <c r="J450" s="13" t="str">
        <f t="shared" si="27"/>
        <v/>
      </c>
    </row>
    <row r="451" spans="1:10" x14ac:dyDescent="0.2">
      <c r="A451" s="10" t="str">
        <f t="shared" si="24"/>
        <v/>
      </c>
      <c r="B451" s="9"/>
      <c r="C451" s="8"/>
      <c r="D451" s="10" t="str">
        <f ca="1">IFERROR(_xludf.XLOOKUP(C451,STUDENTS!$A$5:$A$204,STUDENTS!$C$5:$C$204,""),"")</f>
        <v/>
      </c>
      <c r="E451" s="10" t="str">
        <f ca="1">IFERROR(_xludf.XLOOKUP(C451,STUDENTS!$A$5:$A$204,STUDENTS!$L$5:$L$204,""),"")</f>
        <v/>
      </c>
      <c r="F451" s="8"/>
      <c r="G451" s="10" t="str">
        <f>SETTINGS!$B$8</f>
        <v>2026/2027</v>
      </c>
      <c r="H451" s="10">
        <f t="shared" si="25"/>
        <v>0</v>
      </c>
      <c r="I451" s="10">
        <f t="shared" si="26"/>
        <v>0</v>
      </c>
      <c r="J451" s="13" t="str">
        <f t="shared" si="27"/>
        <v/>
      </c>
    </row>
    <row r="452" spans="1:10" x14ac:dyDescent="0.2">
      <c r="A452" s="10" t="str">
        <f t="shared" si="24"/>
        <v/>
      </c>
      <c r="B452" s="9"/>
      <c r="C452" s="8"/>
      <c r="D452" s="10" t="str">
        <f ca="1">IFERROR(_xludf.XLOOKUP(C452,STUDENTS!$A$5:$A$204,STUDENTS!$C$5:$C$204,""),"")</f>
        <v/>
      </c>
      <c r="E452" s="10" t="str">
        <f ca="1">IFERROR(_xludf.XLOOKUP(C452,STUDENTS!$A$5:$A$204,STUDENTS!$L$5:$L$204,""),"")</f>
        <v/>
      </c>
      <c r="F452" s="8"/>
      <c r="G452" s="10" t="str">
        <f>SETTINGS!$B$8</f>
        <v>2026/2027</v>
      </c>
      <c r="H452" s="10">
        <f t="shared" si="25"/>
        <v>0</v>
      </c>
      <c r="I452" s="10">
        <f t="shared" si="26"/>
        <v>0</v>
      </c>
      <c r="J452" s="13" t="str">
        <f t="shared" si="27"/>
        <v/>
      </c>
    </row>
    <row r="453" spans="1:10" x14ac:dyDescent="0.2">
      <c r="A453" s="10" t="str">
        <f t="shared" ref="A453:A516" si="28">IF(C453="","","AT-"&amp;TEXT(ROW()-4,"00000"))</f>
        <v/>
      </c>
      <c r="B453" s="9"/>
      <c r="C453" s="8"/>
      <c r="D453" s="10" t="str">
        <f ca="1">IFERROR(_xludf.XLOOKUP(C453,STUDENTS!$A$5:$A$204,STUDENTS!$C$5:$C$204,""),"")</f>
        <v/>
      </c>
      <c r="E453" s="10" t="str">
        <f ca="1">IFERROR(_xludf.XLOOKUP(C453,STUDENTS!$A$5:$A$204,STUDENTS!$L$5:$L$204,""),"")</f>
        <v/>
      </c>
      <c r="F453" s="8"/>
      <c r="G453" s="10" t="str">
        <f>SETTINGS!$B$8</f>
        <v>2026/2027</v>
      </c>
      <c r="H453" s="10">
        <f t="shared" ref="H453:H516" si="29">IF(F453="Present",1,0)</f>
        <v>0</v>
      </c>
      <c r="I453" s="10">
        <f t="shared" ref="I453:I516" si="30">IF(F453="Absent",1,0)</f>
        <v>0</v>
      </c>
      <c r="J453" s="13" t="str">
        <f t="shared" ref="J453:J516" si="31">IF(OR(H453="",I453=""),"",IF(H453+I453=0,"",H453/(H453+I453)))</f>
        <v/>
      </c>
    </row>
    <row r="454" spans="1:10" x14ac:dyDescent="0.2">
      <c r="A454" s="10" t="str">
        <f t="shared" si="28"/>
        <v/>
      </c>
      <c r="B454" s="9"/>
      <c r="C454" s="8"/>
      <c r="D454" s="10" t="str">
        <f ca="1">IFERROR(_xludf.XLOOKUP(C454,STUDENTS!$A$5:$A$204,STUDENTS!$C$5:$C$204,""),"")</f>
        <v/>
      </c>
      <c r="E454" s="10" t="str">
        <f ca="1">IFERROR(_xludf.XLOOKUP(C454,STUDENTS!$A$5:$A$204,STUDENTS!$L$5:$L$204,""),"")</f>
        <v/>
      </c>
      <c r="F454" s="8"/>
      <c r="G454" s="10" t="str">
        <f>SETTINGS!$B$8</f>
        <v>2026/2027</v>
      </c>
      <c r="H454" s="10">
        <f t="shared" si="29"/>
        <v>0</v>
      </c>
      <c r="I454" s="10">
        <f t="shared" si="30"/>
        <v>0</v>
      </c>
      <c r="J454" s="13" t="str">
        <f t="shared" si="31"/>
        <v/>
      </c>
    </row>
    <row r="455" spans="1:10" x14ac:dyDescent="0.2">
      <c r="A455" s="10" t="str">
        <f t="shared" si="28"/>
        <v/>
      </c>
      <c r="B455" s="9"/>
      <c r="C455" s="8"/>
      <c r="D455" s="10" t="str">
        <f ca="1">IFERROR(_xludf.XLOOKUP(C455,STUDENTS!$A$5:$A$204,STUDENTS!$C$5:$C$204,""),"")</f>
        <v/>
      </c>
      <c r="E455" s="10" t="str">
        <f ca="1">IFERROR(_xludf.XLOOKUP(C455,STUDENTS!$A$5:$A$204,STUDENTS!$L$5:$L$204,""),"")</f>
        <v/>
      </c>
      <c r="F455" s="8"/>
      <c r="G455" s="10" t="str">
        <f>SETTINGS!$B$8</f>
        <v>2026/2027</v>
      </c>
      <c r="H455" s="10">
        <f t="shared" si="29"/>
        <v>0</v>
      </c>
      <c r="I455" s="10">
        <f t="shared" si="30"/>
        <v>0</v>
      </c>
      <c r="J455" s="13" t="str">
        <f t="shared" si="31"/>
        <v/>
      </c>
    </row>
    <row r="456" spans="1:10" x14ac:dyDescent="0.2">
      <c r="A456" s="10" t="str">
        <f t="shared" si="28"/>
        <v/>
      </c>
      <c r="B456" s="9"/>
      <c r="C456" s="8"/>
      <c r="D456" s="10" t="str">
        <f ca="1">IFERROR(_xludf.XLOOKUP(C456,STUDENTS!$A$5:$A$204,STUDENTS!$C$5:$C$204,""),"")</f>
        <v/>
      </c>
      <c r="E456" s="10" t="str">
        <f ca="1">IFERROR(_xludf.XLOOKUP(C456,STUDENTS!$A$5:$A$204,STUDENTS!$L$5:$L$204,""),"")</f>
        <v/>
      </c>
      <c r="F456" s="8"/>
      <c r="G456" s="10" t="str">
        <f>SETTINGS!$B$8</f>
        <v>2026/2027</v>
      </c>
      <c r="H456" s="10">
        <f t="shared" si="29"/>
        <v>0</v>
      </c>
      <c r="I456" s="10">
        <f t="shared" si="30"/>
        <v>0</v>
      </c>
      <c r="J456" s="13" t="str">
        <f t="shared" si="31"/>
        <v/>
      </c>
    </row>
    <row r="457" spans="1:10" x14ac:dyDescent="0.2">
      <c r="A457" s="10" t="str">
        <f t="shared" si="28"/>
        <v/>
      </c>
      <c r="B457" s="9"/>
      <c r="C457" s="8"/>
      <c r="D457" s="10" t="str">
        <f ca="1">IFERROR(_xludf.XLOOKUP(C457,STUDENTS!$A$5:$A$204,STUDENTS!$C$5:$C$204,""),"")</f>
        <v/>
      </c>
      <c r="E457" s="10" t="str">
        <f ca="1">IFERROR(_xludf.XLOOKUP(C457,STUDENTS!$A$5:$A$204,STUDENTS!$L$5:$L$204,""),"")</f>
        <v/>
      </c>
      <c r="F457" s="8"/>
      <c r="G457" s="10" t="str">
        <f>SETTINGS!$B$8</f>
        <v>2026/2027</v>
      </c>
      <c r="H457" s="10">
        <f t="shared" si="29"/>
        <v>0</v>
      </c>
      <c r="I457" s="10">
        <f t="shared" si="30"/>
        <v>0</v>
      </c>
      <c r="J457" s="13" t="str">
        <f t="shared" si="31"/>
        <v/>
      </c>
    </row>
    <row r="458" spans="1:10" x14ac:dyDescent="0.2">
      <c r="A458" s="10" t="str">
        <f t="shared" si="28"/>
        <v/>
      </c>
      <c r="B458" s="9"/>
      <c r="C458" s="8"/>
      <c r="D458" s="10" t="str">
        <f ca="1">IFERROR(_xludf.XLOOKUP(C458,STUDENTS!$A$5:$A$204,STUDENTS!$C$5:$C$204,""),"")</f>
        <v/>
      </c>
      <c r="E458" s="10" t="str">
        <f ca="1">IFERROR(_xludf.XLOOKUP(C458,STUDENTS!$A$5:$A$204,STUDENTS!$L$5:$L$204,""),"")</f>
        <v/>
      </c>
      <c r="F458" s="8"/>
      <c r="G458" s="10" t="str">
        <f>SETTINGS!$B$8</f>
        <v>2026/2027</v>
      </c>
      <c r="H458" s="10">
        <f t="shared" si="29"/>
        <v>0</v>
      </c>
      <c r="I458" s="10">
        <f t="shared" si="30"/>
        <v>0</v>
      </c>
      <c r="J458" s="13" t="str">
        <f t="shared" si="31"/>
        <v/>
      </c>
    </row>
    <row r="459" spans="1:10" x14ac:dyDescent="0.2">
      <c r="A459" s="10" t="str">
        <f t="shared" si="28"/>
        <v/>
      </c>
      <c r="B459" s="9"/>
      <c r="C459" s="8"/>
      <c r="D459" s="10" t="str">
        <f ca="1">IFERROR(_xludf.XLOOKUP(C459,STUDENTS!$A$5:$A$204,STUDENTS!$C$5:$C$204,""),"")</f>
        <v/>
      </c>
      <c r="E459" s="10" t="str">
        <f ca="1">IFERROR(_xludf.XLOOKUP(C459,STUDENTS!$A$5:$A$204,STUDENTS!$L$5:$L$204,""),"")</f>
        <v/>
      </c>
      <c r="F459" s="8"/>
      <c r="G459" s="10" t="str">
        <f>SETTINGS!$B$8</f>
        <v>2026/2027</v>
      </c>
      <c r="H459" s="10">
        <f t="shared" si="29"/>
        <v>0</v>
      </c>
      <c r="I459" s="10">
        <f t="shared" si="30"/>
        <v>0</v>
      </c>
      <c r="J459" s="13" t="str">
        <f t="shared" si="31"/>
        <v/>
      </c>
    </row>
    <row r="460" spans="1:10" x14ac:dyDescent="0.2">
      <c r="A460" s="10" t="str">
        <f t="shared" si="28"/>
        <v/>
      </c>
      <c r="B460" s="9"/>
      <c r="C460" s="8"/>
      <c r="D460" s="10" t="str">
        <f ca="1">IFERROR(_xludf.XLOOKUP(C460,STUDENTS!$A$5:$A$204,STUDENTS!$C$5:$C$204,""),"")</f>
        <v/>
      </c>
      <c r="E460" s="10" t="str">
        <f ca="1">IFERROR(_xludf.XLOOKUP(C460,STUDENTS!$A$5:$A$204,STUDENTS!$L$5:$L$204,""),"")</f>
        <v/>
      </c>
      <c r="F460" s="8"/>
      <c r="G460" s="10" t="str">
        <f>SETTINGS!$B$8</f>
        <v>2026/2027</v>
      </c>
      <c r="H460" s="10">
        <f t="shared" si="29"/>
        <v>0</v>
      </c>
      <c r="I460" s="10">
        <f t="shared" si="30"/>
        <v>0</v>
      </c>
      <c r="J460" s="13" t="str">
        <f t="shared" si="31"/>
        <v/>
      </c>
    </row>
    <row r="461" spans="1:10" x14ac:dyDescent="0.2">
      <c r="A461" s="10" t="str">
        <f t="shared" si="28"/>
        <v/>
      </c>
      <c r="B461" s="9"/>
      <c r="C461" s="8"/>
      <c r="D461" s="10" t="str">
        <f ca="1">IFERROR(_xludf.XLOOKUP(C461,STUDENTS!$A$5:$A$204,STUDENTS!$C$5:$C$204,""),"")</f>
        <v/>
      </c>
      <c r="E461" s="10" t="str">
        <f ca="1">IFERROR(_xludf.XLOOKUP(C461,STUDENTS!$A$5:$A$204,STUDENTS!$L$5:$L$204,""),"")</f>
        <v/>
      </c>
      <c r="F461" s="8"/>
      <c r="G461" s="10" t="str">
        <f>SETTINGS!$B$8</f>
        <v>2026/2027</v>
      </c>
      <c r="H461" s="10">
        <f t="shared" si="29"/>
        <v>0</v>
      </c>
      <c r="I461" s="10">
        <f t="shared" si="30"/>
        <v>0</v>
      </c>
      <c r="J461" s="13" t="str">
        <f t="shared" si="31"/>
        <v/>
      </c>
    </row>
    <row r="462" spans="1:10" x14ac:dyDescent="0.2">
      <c r="A462" s="10" t="str">
        <f t="shared" si="28"/>
        <v/>
      </c>
      <c r="B462" s="9"/>
      <c r="C462" s="8"/>
      <c r="D462" s="10" t="str">
        <f ca="1">IFERROR(_xludf.XLOOKUP(C462,STUDENTS!$A$5:$A$204,STUDENTS!$C$5:$C$204,""),"")</f>
        <v/>
      </c>
      <c r="E462" s="10" t="str">
        <f ca="1">IFERROR(_xludf.XLOOKUP(C462,STUDENTS!$A$5:$A$204,STUDENTS!$L$5:$L$204,""),"")</f>
        <v/>
      </c>
      <c r="F462" s="8"/>
      <c r="G462" s="10" t="str">
        <f>SETTINGS!$B$8</f>
        <v>2026/2027</v>
      </c>
      <c r="H462" s="10">
        <f t="shared" si="29"/>
        <v>0</v>
      </c>
      <c r="I462" s="10">
        <f t="shared" si="30"/>
        <v>0</v>
      </c>
      <c r="J462" s="13" t="str">
        <f t="shared" si="31"/>
        <v/>
      </c>
    </row>
    <row r="463" spans="1:10" x14ac:dyDescent="0.2">
      <c r="A463" s="10" t="str">
        <f t="shared" si="28"/>
        <v/>
      </c>
      <c r="B463" s="9"/>
      <c r="C463" s="8"/>
      <c r="D463" s="10" t="str">
        <f ca="1">IFERROR(_xludf.XLOOKUP(C463,STUDENTS!$A$5:$A$204,STUDENTS!$C$5:$C$204,""),"")</f>
        <v/>
      </c>
      <c r="E463" s="10" t="str">
        <f ca="1">IFERROR(_xludf.XLOOKUP(C463,STUDENTS!$A$5:$A$204,STUDENTS!$L$5:$L$204,""),"")</f>
        <v/>
      </c>
      <c r="F463" s="8"/>
      <c r="G463" s="10" t="str">
        <f>SETTINGS!$B$8</f>
        <v>2026/2027</v>
      </c>
      <c r="H463" s="10">
        <f t="shared" si="29"/>
        <v>0</v>
      </c>
      <c r="I463" s="10">
        <f t="shared" si="30"/>
        <v>0</v>
      </c>
      <c r="J463" s="13" t="str">
        <f t="shared" si="31"/>
        <v/>
      </c>
    </row>
    <row r="464" spans="1:10" x14ac:dyDescent="0.2">
      <c r="A464" s="10" t="str">
        <f t="shared" si="28"/>
        <v/>
      </c>
      <c r="B464" s="9"/>
      <c r="C464" s="8"/>
      <c r="D464" s="10" t="str">
        <f ca="1">IFERROR(_xludf.XLOOKUP(C464,STUDENTS!$A$5:$A$204,STUDENTS!$C$5:$C$204,""),"")</f>
        <v/>
      </c>
      <c r="E464" s="10" t="str">
        <f ca="1">IFERROR(_xludf.XLOOKUP(C464,STUDENTS!$A$5:$A$204,STUDENTS!$L$5:$L$204,""),"")</f>
        <v/>
      </c>
      <c r="F464" s="8"/>
      <c r="G464" s="10" t="str">
        <f>SETTINGS!$B$8</f>
        <v>2026/2027</v>
      </c>
      <c r="H464" s="10">
        <f t="shared" si="29"/>
        <v>0</v>
      </c>
      <c r="I464" s="10">
        <f t="shared" si="30"/>
        <v>0</v>
      </c>
      <c r="J464" s="13" t="str">
        <f t="shared" si="31"/>
        <v/>
      </c>
    </row>
    <row r="465" spans="1:10" x14ac:dyDescent="0.2">
      <c r="A465" s="10" t="str">
        <f t="shared" si="28"/>
        <v/>
      </c>
      <c r="B465" s="9"/>
      <c r="C465" s="8"/>
      <c r="D465" s="10" t="str">
        <f ca="1">IFERROR(_xludf.XLOOKUP(C465,STUDENTS!$A$5:$A$204,STUDENTS!$C$5:$C$204,""),"")</f>
        <v/>
      </c>
      <c r="E465" s="10" t="str">
        <f ca="1">IFERROR(_xludf.XLOOKUP(C465,STUDENTS!$A$5:$A$204,STUDENTS!$L$5:$L$204,""),"")</f>
        <v/>
      </c>
      <c r="F465" s="8"/>
      <c r="G465" s="10" t="str">
        <f>SETTINGS!$B$8</f>
        <v>2026/2027</v>
      </c>
      <c r="H465" s="10">
        <f t="shared" si="29"/>
        <v>0</v>
      </c>
      <c r="I465" s="10">
        <f t="shared" si="30"/>
        <v>0</v>
      </c>
      <c r="J465" s="13" t="str">
        <f t="shared" si="31"/>
        <v/>
      </c>
    </row>
    <row r="466" spans="1:10" x14ac:dyDescent="0.2">
      <c r="A466" s="10" t="str">
        <f t="shared" si="28"/>
        <v/>
      </c>
      <c r="B466" s="9"/>
      <c r="C466" s="8"/>
      <c r="D466" s="10" t="str">
        <f ca="1">IFERROR(_xludf.XLOOKUP(C466,STUDENTS!$A$5:$A$204,STUDENTS!$C$5:$C$204,""),"")</f>
        <v/>
      </c>
      <c r="E466" s="10" t="str">
        <f ca="1">IFERROR(_xludf.XLOOKUP(C466,STUDENTS!$A$5:$A$204,STUDENTS!$L$5:$L$204,""),"")</f>
        <v/>
      </c>
      <c r="F466" s="8"/>
      <c r="G466" s="10" t="str">
        <f>SETTINGS!$B$8</f>
        <v>2026/2027</v>
      </c>
      <c r="H466" s="10">
        <f t="shared" si="29"/>
        <v>0</v>
      </c>
      <c r="I466" s="10">
        <f t="shared" si="30"/>
        <v>0</v>
      </c>
      <c r="J466" s="13" t="str">
        <f t="shared" si="31"/>
        <v/>
      </c>
    </row>
    <row r="467" spans="1:10" x14ac:dyDescent="0.2">
      <c r="A467" s="10" t="str">
        <f t="shared" si="28"/>
        <v/>
      </c>
      <c r="B467" s="9"/>
      <c r="C467" s="8"/>
      <c r="D467" s="10" t="str">
        <f ca="1">IFERROR(_xludf.XLOOKUP(C467,STUDENTS!$A$5:$A$204,STUDENTS!$C$5:$C$204,""),"")</f>
        <v/>
      </c>
      <c r="E467" s="10" t="str">
        <f ca="1">IFERROR(_xludf.XLOOKUP(C467,STUDENTS!$A$5:$A$204,STUDENTS!$L$5:$L$204,""),"")</f>
        <v/>
      </c>
      <c r="F467" s="8"/>
      <c r="G467" s="10" t="str">
        <f>SETTINGS!$B$8</f>
        <v>2026/2027</v>
      </c>
      <c r="H467" s="10">
        <f t="shared" si="29"/>
        <v>0</v>
      </c>
      <c r="I467" s="10">
        <f t="shared" si="30"/>
        <v>0</v>
      </c>
      <c r="J467" s="13" t="str">
        <f t="shared" si="31"/>
        <v/>
      </c>
    </row>
    <row r="468" spans="1:10" x14ac:dyDescent="0.2">
      <c r="A468" s="10" t="str">
        <f t="shared" si="28"/>
        <v/>
      </c>
      <c r="B468" s="9"/>
      <c r="C468" s="8"/>
      <c r="D468" s="10" t="str">
        <f ca="1">IFERROR(_xludf.XLOOKUP(C468,STUDENTS!$A$5:$A$204,STUDENTS!$C$5:$C$204,""),"")</f>
        <v/>
      </c>
      <c r="E468" s="10" t="str">
        <f ca="1">IFERROR(_xludf.XLOOKUP(C468,STUDENTS!$A$5:$A$204,STUDENTS!$L$5:$L$204,""),"")</f>
        <v/>
      </c>
      <c r="F468" s="8"/>
      <c r="G468" s="10" t="str">
        <f>SETTINGS!$B$8</f>
        <v>2026/2027</v>
      </c>
      <c r="H468" s="10">
        <f t="shared" si="29"/>
        <v>0</v>
      </c>
      <c r="I468" s="10">
        <f t="shared" si="30"/>
        <v>0</v>
      </c>
      <c r="J468" s="13" t="str">
        <f t="shared" si="31"/>
        <v/>
      </c>
    </row>
    <row r="469" spans="1:10" x14ac:dyDescent="0.2">
      <c r="A469" s="10" t="str">
        <f t="shared" si="28"/>
        <v/>
      </c>
      <c r="B469" s="9"/>
      <c r="C469" s="8"/>
      <c r="D469" s="10" t="str">
        <f ca="1">IFERROR(_xludf.XLOOKUP(C469,STUDENTS!$A$5:$A$204,STUDENTS!$C$5:$C$204,""),"")</f>
        <v/>
      </c>
      <c r="E469" s="10" t="str">
        <f ca="1">IFERROR(_xludf.XLOOKUP(C469,STUDENTS!$A$5:$A$204,STUDENTS!$L$5:$L$204,""),"")</f>
        <v/>
      </c>
      <c r="F469" s="8"/>
      <c r="G469" s="10" t="str">
        <f>SETTINGS!$B$8</f>
        <v>2026/2027</v>
      </c>
      <c r="H469" s="10">
        <f t="shared" si="29"/>
        <v>0</v>
      </c>
      <c r="I469" s="10">
        <f t="shared" si="30"/>
        <v>0</v>
      </c>
      <c r="J469" s="13" t="str">
        <f t="shared" si="31"/>
        <v/>
      </c>
    </row>
    <row r="470" spans="1:10" x14ac:dyDescent="0.2">
      <c r="A470" s="10" t="str">
        <f t="shared" si="28"/>
        <v/>
      </c>
      <c r="B470" s="9"/>
      <c r="C470" s="8"/>
      <c r="D470" s="10" t="str">
        <f ca="1">IFERROR(_xludf.XLOOKUP(C470,STUDENTS!$A$5:$A$204,STUDENTS!$C$5:$C$204,""),"")</f>
        <v/>
      </c>
      <c r="E470" s="10" t="str">
        <f ca="1">IFERROR(_xludf.XLOOKUP(C470,STUDENTS!$A$5:$A$204,STUDENTS!$L$5:$L$204,""),"")</f>
        <v/>
      </c>
      <c r="F470" s="8"/>
      <c r="G470" s="10" t="str">
        <f>SETTINGS!$B$8</f>
        <v>2026/2027</v>
      </c>
      <c r="H470" s="10">
        <f t="shared" si="29"/>
        <v>0</v>
      </c>
      <c r="I470" s="10">
        <f t="shared" si="30"/>
        <v>0</v>
      </c>
      <c r="J470" s="13" t="str">
        <f t="shared" si="31"/>
        <v/>
      </c>
    </row>
    <row r="471" spans="1:10" x14ac:dyDescent="0.2">
      <c r="A471" s="10" t="str">
        <f t="shared" si="28"/>
        <v/>
      </c>
      <c r="B471" s="9"/>
      <c r="C471" s="8"/>
      <c r="D471" s="10" t="str">
        <f ca="1">IFERROR(_xludf.XLOOKUP(C471,STUDENTS!$A$5:$A$204,STUDENTS!$C$5:$C$204,""),"")</f>
        <v/>
      </c>
      <c r="E471" s="10" t="str">
        <f ca="1">IFERROR(_xludf.XLOOKUP(C471,STUDENTS!$A$5:$A$204,STUDENTS!$L$5:$L$204,""),"")</f>
        <v/>
      </c>
      <c r="F471" s="8"/>
      <c r="G471" s="10" t="str">
        <f>SETTINGS!$B$8</f>
        <v>2026/2027</v>
      </c>
      <c r="H471" s="10">
        <f t="shared" si="29"/>
        <v>0</v>
      </c>
      <c r="I471" s="10">
        <f t="shared" si="30"/>
        <v>0</v>
      </c>
      <c r="J471" s="13" t="str">
        <f t="shared" si="31"/>
        <v/>
      </c>
    </row>
    <row r="472" spans="1:10" x14ac:dyDescent="0.2">
      <c r="A472" s="10" t="str">
        <f t="shared" si="28"/>
        <v/>
      </c>
      <c r="B472" s="9"/>
      <c r="C472" s="8"/>
      <c r="D472" s="10" t="str">
        <f ca="1">IFERROR(_xludf.XLOOKUP(C472,STUDENTS!$A$5:$A$204,STUDENTS!$C$5:$C$204,""),"")</f>
        <v/>
      </c>
      <c r="E472" s="10" t="str">
        <f ca="1">IFERROR(_xludf.XLOOKUP(C472,STUDENTS!$A$5:$A$204,STUDENTS!$L$5:$L$204,""),"")</f>
        <v/>
      </c>
      <c r="F472" s="8"/>
      <c r="G472" s="10" t="str">
        <f>SETTINGS!$B$8</f>
        <v>2026/2027</v>
      </c>
      <c r="H472" s="10">
        <f t="shared" si="29"/>
        <v>0</v>
      </c>
      <c r="I472" s="10">
        <f t="shared" si="30"/>
        <v>0</v>
      </c>
      <c r="J472" s="13" t="str">
        <f t="shared" si="31"/>
        <v/>
      </c>
    </row>
    <row r="473" spans="1:10" x14ac:dyDescent="0.2">
      <c r="A473" s="10" t="str">
        <f t="shared" si="28"/>
        <v/>
      </c>
      <c r="B473" s="9"/>
      <c r="C473" s="8"/>
      <c r="D473" s="10" t="str">
        <f ca="1">IFERROR(_xludf.XLOOKUP(C473,STUDENTS!$A$5:$A$204,STUDENTS!$C$5:$C$204,""),"")</f>
        <v/>
      </c>
      <c r="E473" s="10" t="str">
        <f ca="1">IFERROR(_xludf.XLOOKUP(C473,STUDENTS!$A$5:$A$204,STUDENTS!$L$5:$L$204,""),"")</f>
        <v/>
      </c>
      <c r="F473" s="8"/>
      <c r="G473" s="10" t="str">
        <f>SETTINGS!$B$8</f>
        <v>2026/2027</v>
      </c>
      <c r="H473" s="10">
        <f t="shared" si="29"/>
        <v>0</v>
      </c>
      <c r="I473" s="10">
        <f t="shared" si="30"/>
        <v>0</v>
      </c>
      <c r="J473" s="13" t="str">
        <f t="shared" si="31"/>
        <v/>
      </c>
    </row>
    <row r="474" spans="1:10" x14ac:dyDescent="0.2">
      <c r="A474" s="10" t="str">
        <f t="shared" si="28"/>
        <v/>
      </c>
      <c r="B474" s="9"/>
      <c r="C474" s="8"/>
      <c r="D474" s="10" t="str">
        <f ca="1">IFERROR(_xludf.XLOOKUP(C474,STUDENTS!$A$5:$A$204,STUDENTS!$C$5:$C$204,""),"")</f>
        <v/>
      </c>
      <c r="E474" s="10" t="str">
        <f ca="1">IFERROR(_xludf.XLOOKUP(C474,STUDENTS!$A$5:$A$204,STUDENTS!$L$5:$L$204,""),"")</f>
        <v/>
      </c>
      <c r="F474" s="8"/>
      <c r="G474" s="10" t="str">
        <f>SETTINGS!$B$8</f>
        <v>2026/2027</v>
      </c>
      <c r="H474" s="10">
        <f t="shared" si="29"/>
        <v>0</v>
      </c>
      <c r="I474" s="10">
        <f t="shared" si="30"/>
        <v>0</v>
      </c>
      <c r="J474" s="13" t="str">
        <f t="shared" si="31"/>
        <v/>
      </c>
    </row>
    <row r="475" spans="1:10" x14ac:dyDescent="0.2">
      <c r="A475" s="10" t="str">
        <f t="shared" si="28"/>
        <v/>
      </c>
      <c r="B475" s="9"/>
      <c r="C475" s="8"/>
      <c r="D475" s="10" t="str">
        <f ca="1">IFERROR(_xludf.XLOOKUP(C475,STUDENTS!$A$5:$A$204,STUDENTS!$C$5:$C$204,""),"")</f>
        <v/>
      </c>
      <c r="E475" s="10" t="str">
        <f ca="1">IFERROR(_xludf.XLOOKUP(C475,STUDENTS!$A$5:$A$204,STUDENTS!$L$5:$L$204,""),"")</f>
        <v/>
      </c>
      <c r="F475" s="8"/>
      <c r="G475" s="10" t="str">
        <f>SETTINGS!$B$8</f>
        <v>2026/2027</v>
      </c>
      <c r="H475" s="10">
        <f t="shared" si="29"/>
        <v>0</v>
      </c>
      <c r="I475" s="10">
        <f t="shared" si="30"/>
        <v>0</v>
      </c>
      <c r="J475" s="13" t="str">
        <f t="shared" si="31"/>
        <v/>
      </c>
    </row>
    <row r="476" spans="1:10" x14ac:dyDescent="0.2">
      <c r="A476" s="10" t="str">
        <f t="shared" si="28"/>
        <v/>
      </c>
      <c r="B476" s="9"/>
      <c r="C476" s="8"/>
      <c r="D476" s="10" t="str">
        <f ca="1">IFERROR(_xludf.XLOOKUP(C476,STUDENTS!$A$5:$A$204,STUDENTS!$C$5:$C$204,""),"")</f>
        <v/>
      </c>
      <c r="E476" s="10" t="str">
        <f ca="1">IFERROR(_xludf.XLOOKUP(C476,STUDENTS!$A$5:$A$204,STUDENTS!$L$5:$L$204,""),"")</f>
        <v/>
      </c>
      <c r="F476" s="8"/>
      <c r="G476" s="10" t="str">
        <f>SETTINGS!$B$8</f>
        <v>2026/2027</v>
      </c>
      <c r="H476" s="10">
        <f t="shared" si="29"/>
        <v>0</v>
      </c>
      <c r="I476" s="10">
        <f t="shared" si="30"/>
        <v>0</v>
      </c>
      <c r="J476" s="13" t="str">
        <f t="shared" si="31"/>
        <v/>
      </c>
    </row>
    <row r="477" spans="1:10" x14ac:dyDescent="0.2">
      <c r="A477" s="10" t="str">
        <f t="shared" si="28"/>
        <v/>
      </c>
      <c r="B477" s="9"/>
      <c r="C477" s="8"/>
      <c r="D477" s="10" t="str">
        <f ca="1">IFERROR(_xludf.XLOOKUP(C477,STUDENTS!$A$5:$A$204,STUDENTS!$C$5:$C$204,""),"")</f>
        <v/>
      </c>
      <c r="E477" s="10" t="str">
        <f ca="1">IFERROR(_xludf.XLOOKUP(C477,STUDENTS!$A$5:$A$204,STUDENTS!$L$5:$L$204,""),"")</f>
        <v/>
      </c>
      <c r="F477" s="8"/>
      <c r="G477" s="10" t="str">
        <f>SETTINGS!$B$8</f>
        <v>2026/2027</v>
      </c>
      <c r="H477" s="10">
        <f t="shared" si="29"/>
        <v>0</v>
      </c>
      <c r="I477" s="10">
        <f t="shared" si="30"/>
        <v>0</v>
      </c>
      <c r="J477" s="13" t="str">
        <f t="shared" si="31"/>
        <v/>
      </c>
    </row>
    <row r="478" spans="1:10" x14ac:dyDescent="0.2">
      <c r="A478" s="10" t="str">
        <f t="shared" si="28"/>
        <v/>
      </c>
      <c r="B478" s="9"/>
      <c r="C478" s="8"/>
      <c r="D478" s="10" t="str">
        <f ca="1">IFERROR(_xludf.XLOOKUP(C478,STUDENTS!$A$5:$A$204,STUDENTS!$C$5:$C$204,""),"")</f>
        <v/>
      </c>
      <c r="E478" s="10" t="str">
        <f ca="1">IFERROR(_xludf.XLOOKUP(C478,STUDENTS!$A$5:$A$204,STUDENTS!$L$5:$L$204,""),"")</f>
        <v/>
      </c>
      <c r="F478" s="8"/>
      <c r="G478" s="10" t="str">
        <f>SETTINGS!$B$8</f>
        <v>2026/2027</v>
      </c>
      <c r="H478" s="10">
        <f t="shared" si="29"/>
        <v>0</v>
      </c>
      <c r="I478" s="10">
        <f t="shared" si="30"/>
        <v>0</v>
      </c>
      <c r="J478" s="13" t="str">
        <f t="shared" si="31"/>
        <v/>
      </c>
    </row>
    <row r="479" spans="1:10" x14ac:dyDescent="0.2">
      <c r="A479" s="10" t="str">
        <f t="shared" si="28"/>
        <v/>
      </c>
      <c r="B479" s="9"/>
      <c r="C479" s="8"/>
      <c r="D479" s="10" t="str">
        <f ca="1">IFERROR(_xludf.XLOOKUP(C479,STUDENTS!$A$5:$A$204,STUDENTS!$C$5:$C$204,""),"")</f>
        <v/>
      </c>
      <c r="E479" s="10" t="str">
        <f ca="1">IFERROR(_xludf.XLOOKUP(C479,STUDENTS!$A$5:$A$204,STUDENTS!$L$5:$L$204,""),"")</f>
        <v/>
      </c>
      <c r="F479" s="8"/>
      <c r="G479" s="10" t="str">
        <f>SETTINGS!$B$8</f>
        <v>2026/2027</v>
      </c>
      <c r="H479" s="10">
        <f t="shared" si="29"/>
        <v>0</v>
      </c>
      <c r="I479" s="10">
        <f t="shared" si="30"/>
        <v>0</v>
      </c>
      <c r="J479" s="13" t="str">
        <f t="shared" si="31"/>
        <v/>
      </c>
    </row>
    <row r="480" spans="1:10" x14ac:dyDescent="0.2">
      <c r="A480" s="10" t="str">
        <f t="shared" si="28"/>
        <v/>
      </c>
      <c r="B480" s="9"/>
      <c r="C480" s="8"/>
      <c r="D480" s="10" t="str">
        <f ca="1">IFERROR(_xludf.XLOOKUP(C480,STUDENTS!$A$5:$A$204,STUDENTS!$C$5:$C$204,""),"")</f>
        <v/>
      </c>
      <c r="E480" s="10" t="str">
        <f ca="1">IFERROR(_xludf.XLOOKUP(C480,STUDENTS!$A$5:$A$204,STUDENTS!$L$5:$L$204,""),"")</f>
        <v/>
      </c>
      <c r="F480" s="8"/>
      <c r="G480" s="10" t="str">
        <f>SETTINGS!$B$8</f>
        <v>2026/2027</v>
      </c>
      <c r="H480" s="10">
        <f t="shared" si="29"/>
        <v>0</v>
      </c>
      <c r="I480" s="10">
        <f t="shared" si="30"/>
        <v>0</v>
      </c>
      <c r="J480" s="13" t="str">
        <f t="shared" si="31"/>
        <v/>
      </c>
    </row>
    <row r="481" spans="1:10" x14ac:dyDescent="0.2">
      <c r="A481" s="10" t="str">
        <f t="shared" si="28"/>
        <v/>
      </c>
      <c r="B481" s="9"/>
      <c r="C481" s="8"/>
      <c r="D481" s="10" t="str">
        <f ca="1">IFERROR(_xludf.XLOOKUP(C481,STUDENTS!$A$5:$A$204,STUDENTS!$C$5:$C$204,""),"")</f>
        <v/>
      </c>
      <c r="E481" s="10" t="str">
        <f ca="1">IFERROR(_xludf.XLOOKUP(C481,STUDENTS!$A$5:$A$204,STUDENTS!$L$5:$L$204,""),"")</f>
        <v/>
      </c>
      <c r="F481" s="8"/>
      <c r="G481" s="10" t="str">
        <f>SETTINGS!$B$8</f>
        <v>2026/2027</v>
      </c>
      <c r="H481" s="10">
        <f t="shared" si="29"/>
        <v>0</v>
      </c>
      <c r="I481" s="10">
        <f t="shared" si="30"/>
        <v>0</v>
      </c>
      <c r="J481" s="13" t="str">
        <f t="shared" si="31"/>
        <v/>
      </c>
    </row>
    <row r="482" spans="1:10" x14ac:dyDescent="0.2">
      <c r="A482" s="10" t="str">
        <f t="shared" si="28"/>
        <v/>
      </c>
      <c r="B482" s="9"/>
      <c r="C482" s="8"/>
      <c r="D482" s="10" t="str">
        <f ca="1">IFERROR(_xludf.XLOOKUP(C482,STUDENTS!$A$5:$A$204,STUDENTS!$C$5:$C$204,""),"")</f>
        <v/>
      </c>
      <c r="E482" s="10" t="str">
        <f ca="1">IFERROR(_xludf.XLOOKUP(C482,STUDENTS!$A$5:$A$204,STUDENTS!$L$5:$L$204,""),"")</f>
        <v/>
      </c>
      <c r="F482" s="8"/>
      <c r="G482" s="10" t="str">
        <f>SETTINGS!$B$8</f>
        <v>2026/2027</v>
      </c>
      <c r="H482" s="10">
        <f t="shared" si="29"/>
        <v>0</v>
      </c>
      <c r="I482" s="10">
        <f t="shared" si="30"/>
        <v>0</v>
      </c>
      <c r="J482" s="13" t="str">
        <f t="shared" si="31"/>
        <v/>
      </c>
    </row>
    <row r="483" spans="1:10" x14ac:dyDescent="0.2">
      <c r="A483" s="10" t="str">
        <f t="shared" si="28"/>
        <v/>
      </c>
      <c r="B483" s="9"/>
      <c r="C483" s="8"/>
      <c r="D483" s="10" t="str">
        <f ca="1">IFERROR(_xludf.XLOOKUP(C483,STUDENTS!$A$5:$A$204,STUDENTS!$C$5:$C$204,""),"")</f>
        <v/>
      </c>
      <c r="E483" s="10" t="str">
        <f ca="1">IFERROR(_xludf.XLOOKUP(C483,STUDENTS!$A$5:$A$204,STUDENTS!$L$5:$L$204,""),"")</f>
        <v/>
      </c>
      <c r="F483" s="8"/>
      <c r="G483" s="10" t="str">
        <f>SETTINGS!$B$8</f>
        <v>2026/2027</v>
      </c>
      <c r="H483" s="10">
        <f t="shared" si="29"/>
        <v>0</v>
      </c>
      <c r="I483" s="10">
        <f t="shared" si="30"/>
        <v>0</v>
      </c>
      <c r="J483" s="13" t="str">
        <f t="shared" si="31"/>
        <v/>
      </c>
    </row>
    <row r="484" spans="1:10" x14ac:dyDescent="0.2">
      <c r="A484" s="10" t="str">
        <f t="shared" si="28"/>
        <v/>
      </c>
      <c r="B484" s="9"/>
      <c r="C484" s="8"/>
      <c r="D484" s="10" t="str">
        <f ca="1">IFERROR(_xludf.XLOOKUP(C484,STUDENTS!$A$5:$A$204,STUDENTS!$C$5:$C$204,""),"")</f>
        <v/>
      </c>
      <c r="E484" s="10" t="str">
        <f ca="1">IFERROR(_xludf.XLOOKUP(C484,STUDENTS!$A$5:$A$204,STUDENTS!$L$5:$L$204,""),"")</f>
        <v/>
      </c>
      <c r="F484" s="8"/>
      <c r="G484" s="10" t="str">
        <f>SETTINGS!$B$8</f>
        <v>2026/2027</v>
      </c>
      <c r="H484" s="10">
        <f t="shared" si="29"/>
        <v>0</v>
      </c>
      <c r="I484" s="10">
        <f t="shared" si="30"/>
        <v>0</v>
      </c>
      <c r="J484" s="13" t="str">
        <f t="shared" si="31"/>
        <v/>
      </c>
    </row>
    <row r="485" spans="1:10" x14ac:dyDescent="0.2">
      <c r="A485" s="10" t="str">
        <f t="shared" si="28"/>
        <v/>
      </c>
      <c r="B485" s="9"/>
      <c r="C485" s="8"/>
      <c r="D485" s="10" t="str">
        <f ca="1">IFERROR(_xludf.XLOOKUP(C485,STUDENTS!$A$5:$A$204,STUDENTS!$C$5:$C$204,""),"")</f>
        <v/>
      </c>
      <c r="E485" s="10" t="str">
        <f ca="1">IFERROR(_xludf.XLOOKUP(C485,STUDENTS!$A$5:$A$204,STUDENTS!$L$5:$L$204,""),"")</f>
        <v/>
      </c>
      <c r="F485" s="8"/>
      <c r="G485" s="10" t="str">
        <f>SETTINGS!$B$8</f>
        <v>2026/2027</v>
      </c>
      <c r="H485" s="10">
        <f t="shared" si="29"/>
        <v>0</v>
      </c>
      <c r="I485" s="10">
        <f t="shared" si="30"/>
        <v>0</v>
      </c>
      <c r="J485" s="13" t="str">
        <f t="shared" si="31"/>
        <v/>
      </c>
    </row>
    <row r="486" spans="1:10" x14ac:dyDescent="0.2">
      <c r="A486" s="10" t="str">
        <f t="shared" si="28"/>
        <v/>
      </c>
      <c r="B486" s="9"/>
      <c r="C486" s="8"/>
      <c r="D486" s="10" t="str">
        <f ca="1">IFERROR(_xludf.XLOOKUP(C486,STUDENTS!$A$5:$A$204,STUDENTS!$C$5:$C$204,""),"")</f>
        <v/>
      </c>
      <c r="E486" s="10" t="str">
        <f ca="1">IFERROR(_xludf.XLOOKUP(C486,STUDENTS!$A$5:$A$204,STUDENTS!$L$5:$L$204,""),"")</f>
        <v/>
      </c>
      <c r="F486" s="8"/>
      <c r="G486" s="10" t="str">
        <f>SETTINGS!$B$8</f>
        <v>2026/2027</v>
      </c>
      <c r="H486" s="10">
        <f t="shared" si="29"/>
        <v>0</v>
      </c>
      <c r="I486" s="10">
        <f t="shared" si="30"/>
        <v>0</v>
      </c>
      <c r="J486" s="13" t="str">
        <f t="shared" si="31"/>
        <v/>
      </c>
    </row>
    <row r="487" spans="1:10" x14ac:dyDescent="0.2">
      <c r="A487" s="10" t="str">
        <f t="shared" si="28"/>
        <v/>
      </c>
      <c r="B487" s="9"/>
      <c r="C487" s="8"/>
      <c r="D487" s="10" t="str">
        <f ca="1">IFERROR(_xludf.XLOOKUP(C487,STUDENTS!$A$5:$A$204,STUDENTS!$C$5:$C$204,""),"")</f>
        <v/>
      </c>
      <c r="E487" s="10" t="str">
        <f ca="1">IFERROR(_xludf.XLOOKUP(C487,STUDENTS!$A$5:$A$204,STUDENTS!$L$5:$L$204,""),"")</f>
        <v/>
      </c>
      <c r="F487" s="8"/>
      <c r="G487" s="10" t="str">
        <f>SETTINGS!$B$8</f>
        <v>2026/2027</v>
      </c>
      <c r="H487" s="10">
        <f t="shared" si="29"/>
        <v>0</v>
      </c>
      <c r="I487" s="10">
        <f t="shared" si="30"/>
        <v>0</v>
      </c>
      <c r="J487" s="13" t="str">
        <f t="shared" si="31"/>
        <v/>
      </c>
    </row>
    <row r="488" spans="1:10" x14ac:dyDescent="0.2">
      <c r="A488" s="10" t="str">
        <f t="shared" si="28"/>
        <v/>
      </c>
      <c r="B488" s="9"/>
      <c r="C488" s="8"/>
      <c r="D488" s="10" t="str">
        <f ca="1">IFERROR(_xludf.XLOOKUP(C488,STUDENTS!$A$5:$A$204,STUDENTS!$C$5:$C$204,""),"")</f>
        <v/>
      </c>
      <c r="E488" s="10" t="str">
        <f ca="1">IFERROR(_xludf.XLOOKUP(C488,STUDENTS!$A$5:$A$204,STUDENTS!$L$5:$L$204,""),"")</f>
        <v/>
      </c>
      <c r="F488" s="8"/>
      <c r="G488" s="10" t="str">
        <f>SETTINGS!$B$8</f>
        <v>2026/2027</v>
      </c>
      <c r="H488" s="10">
        <f t="shared" si="29"/>
        <v>0</v>
      </c>
      <c r="I488" s="10">
        <f t="shared" si="30"/>
        <v>0</v>
      </c>
      <c r="J488" s="13" t="str">
        <f t="shared" si="31"/>
        <v/>
      </c>
    </row>
    <row r="489" spans="1:10" x14ac:dyDescent="0.2">
      <c r="A489" s="10" t="str">
        <f t="shared" si="28"/>
        <v/>
      </c>
      <c r="B489" s="9"/>
      <c r="C489" s="8"/>
      <c r="D489" s="10" t="str">
        <f ca="1">IFERROR(_xludf.XLOOKUP(C489,STUDENTS!$A$5:$A$204,STUDENTS!$C$5:$C$204,""),"")</f>
        <v/>
      </c>
      <c r="E489" s="10" t="str">
        <f ca="1">IFERROR(_xludf.XLOOKUP(C489,STUDENTS!$A$5:$A$204,STUDENTS!$L$5:$L$204,""),"")</f>
        <v/>
      </c>
      <c r="F489" s="8"/>
      <c r="G489" s="10" t="str">
        <f>SETTINGS!$B$8</f>
        <v>2026/2027</v>
      </c>
      <c r="H489" s="10">
        <f t="shared" si="29"/>
        <v>0</v>
      </c>
      <c r="I489" s="10">
        <f t="shared" si="30"/>
        <v>0</v>
      </c>
      <c r="J489" s="13" t="str">
        <f t="shared" si="31"/>
        <v/>
      </c>
    </row>
    <row r="490" spans="1:10" x14ac:dyDescent="0.2">
      <c r="A490" s="10" t="str">
        <f t="shared" si="28"/>
        <v/>
      </c>
      <c r="B490" s="9"/>
      <c r="C490" s="8"/>
      <c r="D490" s="10" t="str">
        <f ca="1">IFERROR(_xludf.XLOOKUP(C490,STUDENTS!$A$5:$A$204,STUDENTS!$C$5:$C$204,""),"")</f>
        <v/>
      </c>
      <c r="E490" s="10" t="str">
        <f ca="1">IFERROR(_xludf.XLOOKUP(C490,STUDENTS!$A$5:$A$204,STUDENTS!$L$5:$L$204,""),"")</f>
        <v/>
      </c>
      <c r="F490" s="8"/>
      <c r="G490" s="10" t="str">
        <f>SETTINGS!$B$8</f>
        <v>2026/2027</v>
      </c>
      <c r="H490" s="10">
        <f t="shared" si="29"/>
        <v>0</v>
      </c>
      <c r="I490" s="10">
        <f t="shared" si="30"/>
        <v>0</v>
      </c>
      <c r="J490" s="13" t="str">
        <f t="shared" si="31"/>
        <v/>
      </c>
    </row>
    <row r="491" spans="1:10" x14ac:dyDescent="0.2">
      <c r="A491" s="10" t="str">
        <f t="shared" si="28"/>
        <v/>
      </c>
      <c r="B491" s="9"/>
      <c r="C491" s="8"/>
      <c r="D491" s="10" t="str">
        <f ca="1">IFERROR(_xludf.XLOOKUP(C491,STUDENTS!$A$5:$A$204,STUDENTS!$C$5:$C$204,""),"")</f>
        <v/>
      </c>
      <c r="E491" s="10" t="str">
        <f ca="1">IFERROR(_xludf.XLOOKUP(C491,STUDENTS!$A$5:$A$204,STUDENTS!$L$5:$L$204,""),"")</f>
        <v/>
      </c>
      <c r="F491" s="8"/>
      <c r="G491" s="10" t="str">
        <f>SETTINGS!$B$8</f>
        <v>2026/2027</v>
      </c>
      <c r="H491" s="10">
        <f t="shared" si="29"/>
        <v>0</v>
      </c>
      <c r="I491" s="10">
        <f t="shared" si="30"/>
        <v>0</v>
      </c>
      <c r="J491" s="13" t="str">
        <f t="shared" si="31"/>
        <v/>
      </c>
    </row>
    <row r="492" spans="1:10" x14ac:dyDescent="0.2">
      <c r="A492" s="10" t="str">
        <f t="shared" si="28"/>
        <v/>
      </c>
      <c r="B492" s="9"/>
      <c r="C492" s="8"/>
      <c r="D492" s="10" t="str">
        <f ca="1">IFERROR(_xludf.XLOOKUP(C492,STUDENTS!$A$5:$A$204,STUDENTS!$C$5:$C$204,""),"")</f>
        <v/>
      </c>
      <c r="E492" s="10" t="str">
        <f ca="1">IFERROR(_xludf.XLOOKUP(C492,STUDENTS!$A$5:$A$204,STUDENTS!$L$5:$L$204,""),"")</f>
        <v/>
      </c>
      <c r="F492" s="8"/>
      <c r="G492" s="10" t="str">
        <f>SETTINGS!$B$8</f>
        <v>2026/2027</v>
      </c>
      <c r="H492" s="10">
        <f t="shared" si="29"/>
        <v>0</v>
      </c>
      <c r="I492" s="10">
        <f t="shared" si="30"/>
        <v>0</v>
      </c>
      <c r="J492" s="13" t="str">
        <f t="shared" si="31"/>
        <v/>
      </c>
    </row>
    <row r="493" spans="1:10" x14ac:dyDescent="0.2">
      <c r="A493" s="10" t="str">
        <f t="shared" si="28"/>
        <v/>
      </c>
      <c r="B493" s="9"/>
      <c r="C493" s="8"/>
      <c r="D493" s="10" t="str">
        <f ca="1">IFERROR(_xludf.XLOOKUP(C493,STUDENTS!$A$5:$A$204,STUDENTS!$C$5:$C$204,""),"")</f>
        <v/>
      </c>
      <c r="E493" s="10" t="str">
        <f ca="1">IFERROR(_xludf.XLOOKUP(C493,STUDENTS!$A$5:$A$204,STUDENTS!$L$5:$L$204,""),"")</f>
        <v/>
      </c>
      <c r="F493" s="8"/>
      <c r="G493" s="10" t="str">
        <f>SETTINGS!$B$8</f>
        <v>2026/2027</v>
      </c>
      <c r="H493" s="10">
        <f t="shared" si="29"/>
        <v>0</v>
      </c>
      <c r="I493" s="10">
        <f t="shared" si="30"/>
        <v>0</v>
      </c>
      <c r="J493" s="13" t="str">
        <f t="shared" si="31"/>
        <v/>
      </c>
    </row>
    <row r="494" spans="1:10" x14ac:dyDescent="0.2">
      <c r="A494" s="10" t="str">
        <f t="shared" si="28"/>
        <v/>
      </c>
      <c r="B494" s="9"/>
      <c r="C494" s="8"/>
      <c r="D494" s="10" t="str">
        <f ca="1">IFERROR(_xludf.XLOOKUP(C494,STUDENTS!$A$5:$A$204,STUDENTS!$C$5:$C$204,""),"")</f>
        <v/>
      </c>
      <c r="E494" s="10" t="str">
        <f ca="1">IFERROR(_xludf.XLOOKUP(C494,STUDENTS!$A$5:$A$204,STUDENTS!$L$5:$L$204,""),"")</f>
        <v/>
      </c>
      <c r="F494" s="8"/>
      <c r="G494" s="10" t="str">
        <f>SETTINGS!$B$8</f>
        <v>2026/2027</v>
      </c>
      <c r="H494" s="10">
        <f t="shared" si="29"/>
        <v>0</v>
      </c>
      <c r="I494" s="10">
        <f t="shared" si="30"/>
        <v>0</v>
      </c>
      <c r="J494" s="13" t="str">
        <f t="shared" si="31"/>
        <v/>
      </c>
    </row>
    <row r="495" spans="1:10" x14ac:dyDescent="0.2">
      <c r="A495" s="10" t="str">
        <f t="shared" si="28"/>
        <v/>
      </c>
      <c r="B495" s="9"/>
      <c r="C495" s="8"/>
      <c r="D495" s="10" t="str">
        <f ca="1">IFERROR(_xludf.XLOOKUP(C495,STUDENTS!$A$5:$A$204,STUDENTS!$C$5:$C$204,""),"")</f>
        <v/>
      </c>
      <c r="E495" s="10" t="str">
        <f ca="1">IFERROR(_xludf.XLOOKUP(C495,STUDENTS!$A$5:$A$204,STUDENTS!$L$5:$L$204,""),"")</f>
        <v/>
      </c>
      <c r="F495" s="8"/>
      <c r="G495" s="10" t="str">
        <f>SETTINGS!$B$8</f>
        <v>2026/2027</v>
      </c>
      <c r="H495" s="10">
        <f t="shared" si="29"/>
        <v>0</v>
      </c>
      <c r="I495" s="10">
        <f t="shared" si="30"/>
        <v>0</v>
      </c>
      <c r="J495" s="13" t="str">
        <f t="shared" si="31"/>
        <v/>
      </c>
    </row>
    <row r="496" spans="1:10" x14ac:dyDescent="0.2">
      <c r="A496" s="10" t="str">
        <f t="shared" si="28"/>
        <v/>
      </c>
      <c r="B496" s="9"/>
      <c r="C496" s="8"/>
      <c r="D496" s="10" t="str">
        <f ca="1">IFERROR(_xludf.XLOOKUP(C496,STUDENTS!$A$5:$A$204,STUDENTS!$C$5:$C$204,""),"")</f>
        <v/>
      </c>
      <c r="E496" s="10" t="str">
        <f ca="1">IFERROR(_xludf.XLOOKUP(C496,STUDENTS!$A$5:$A$204,STUDENTS!$L$5:$L$204,""),"")</f>
        <v/>
      </c>
      <c r="F496" s="8"/>
      <c r="G496" s="10" t="str">
        <f>SETTINGS!$B$8</f>
        <v>2026/2027</v>
      </c>
      <c r="H496" s="10">
        <f t="shared" si="29"/>
        <v>0</v>
      </c>
      <c r="I496" s="10">
        <f t="shared" si="30"/>
        <v>0</v>
      </c>
      <c r="J496" s="13" t="str">
        <f t="shared" si="31"/>
        <v/>
      </c>
    </row>
    <row r="497" spans="1:10" x14ac:dyDescent="0.2">
      <c r="A497" s="10" t="str">
        <f t="shared" si="28"/>
        <v/>
      </c>
      <c r="B497" s="9"/>
      <c r="C497" s="8"/>
      <c r="D497" s="10" t="str">
        <f ca="1">IFERROR(_xludf.XLOOKUP(C497,STUDENTS!$A$5:$A$204,STUDENTS!$C$5:$C$204,""),"")</f>
        <v/>
      </c>
      <c r="E497" s="10" t="str">
        <f ca="1">IFERROR(_xludf.XLOOKUP(C497,STUDENTS!$A$5:$A$204,STUDENTS!$L$5:$L$204,""),"")</f>
        <v/>
      </c>
      <c r="F497" s="8"/>
      <c r="G497" s="10" t="str">
        <f>SETTINGS!$B$8</f>
        <v>2026/2027</v>
      </c>
      <c r="H497" s="10">
        <f t="shared" si="29"/>
        <v>0</v>
      </c>
      <c r="I497" s="10">
        <f t="shared" si="30"/>
        <v>0</v>
      </c>
      <c r="J497" s="13" t="str">
        <f t="shared" si="31"/>
        <v/>
      </c>
    </row>
    <row r="498" spans="1:10" x14ac:dyDescent="0.2">
      <c r="A498" s="10" t="str">
        <f t="shared" si="28"/>
        <v/>
      </c>
      <c r="B498" s="9"/>
      <c r="C498" s="8"/>
      <c r="D498" s="10" t="str">
        <f ca="1">IFERROR(_xludf.XLOOKUP(C498,STUDENTS!$A$5:$A$204,STUDENTS!$C$5:$C$204,""),"")</f>
        <v/>
      </c>
      <c r="E498" s="10" t="str">
        <f ca="1">IFERROR(_xludf.XLOOKUP(C498,STUDENTS!$A$5:$A$204,STUDENTS!$L$5:$L$204,""),"")</f>
        <v/>
      </c>
      <c r="F498" s="8"/>
      <c r="G498" s="10" t="str">
        <f>SETTINGS!$B$8</f>
        <v>2026/2027</v>
      </c>
      <c r="H498" s="10">
        <f t="shared" si="29"/>
        <v>0</v>
      </c>
      <c r="I498" s="10">
        <f t="shared" si="30"/>
        <v>0</v>
      </c>
      <c r="J498" s="13" t="str">
        <f t="shared" si="31"/>
        <v/>
      </c>
    </row>
    <row r="499" spans="1:10" x14ac:dyDescent="0.2">
      <c r="A499" s="10" t="str">
        <f t="shared" si="28"/>
        <v/>
      </c>
      <c r="B499" s="9"/>
      <c r="C499" s="8"/>
      <c r="D499" s="10" t="str">
        <f ca="1">IFERROR(_xludf.XLOOKUP(C499,STUDENTS!$A$5:$A$204,STUDENTS!$C$5:$C$204,""),"")</f>
        <v/>
      </c>
      <c r="E499" s="10" t="str">
        <f ca="1">IFERROR(_xludf.XLOOKUP(C499,STUDENTS!$A$5:$A$204,STUDENTS!$L$5:$L$204,""),"")</f>
        <v/>
      </c>
      <c r="F499" s="8"/>
      <c r="G499" s="10" t="str">
        <f>SETTINGS!$B$8</f>
        <v>2026/2027</v>
      </c>
      <c r="H499" s="10">
        <f t="shared" si="29"/>
        <v>0</v>
      </c>
      <c r="I499" s="10">
        <f t="shared" si="30"/>
        <v>0</v>
      </c>
      <c r="J499" s="13" t="str">
        <f t="shared" si="31"/>
        <v/>
      </c>
    </row>
    <row r="500" spans="1:10" x14ac:dyDescent="0.2">
      <c r="A500" s="10" t="str">
        <f t="shared" si="28"/>
        <v/>
      </c>
      <c r="B500" s="9"/>
      <c r="C500" s="8"/>
      <c r="D500" s="10" t="str">
        <f ca="1">IFERROR(_xludf.XLOOKUP(C500,STUDENTS!$A$5:$A$204,STUDENTS!$C$5:$C$204,""),"")</f>
        <v/>
      </c>
      <c r="E500" s="10" t="str">
        <f ca="1">IFERROR(_xludf.XLOOKUP(C500,STUDENTS!$A$5:$A$204,STUDENTS!$L$5:$L$204,""),"")</f>
        <v/>
      </c>
      <c r="F500" s="8"/>
      <c r="G500" s="10" t="str">
        <f>SETTINGS!$B$8</f>
        <v>2026/2027</v>
      </c>
      <c r="H500" s="10">
        <f t="shared" si="29"/>
        <v>0</v>
      </c>
      <c r="I500" s="10">
        <f t="shared" si="30"/>
        <v>0</v>
      </c>
      <c r="J500" s="13" t="str">
        <f t="shared" si="31"/>
        <v/>
      </c>
    </row>
    <row r="501" spans="1:10" x14ac:dyDescent="0.2">
      <c r="A501" s="10" t="str">
        <f t="shared" si="28"/>
        <v/>
      </c>
      <c r="B501" s="9"/>
      <c r="C501" s="8"/>
      <c r="D501" s="10" t="str">
        <f ca="1">IFERROR(_xludf.XLOOKUP(C501,STUDENTS!$A$5:$A$204,STUDENTS!$C$5:$C$204,""),"")</f>
        <v/>
      </c>
      <c r="E501" s="10" t="str">
        <f ca="1">IFERROR(_xludf.XLOOKUP(C501,STUDENTS!$A$5:$A$204,STUDENTS!$L$5:$L$204,""),"")</f>
        <v/>
      </c>
      <c r="F501" s="8"/>
      <c r="G501" s="10" t="str">
        <f>SETTINGS!$B$8</f>
        <v>2026/2027</v>
      </c>
      <c r="H501" s="10">
        <f t="shared" si="29"/>
        <v>0</v>
      </c>
      <c r="I501" s="10">
        <f t="shared" si="30"/>
        <v>0</v>
      </c>
      <c r="J501" s="13" t="str">
        <f t="shared" si="31"/>
        <v/>
      </c>
    </row>
    <row r="502" spans="1:10" x14ac:dyDescent="0.2">
      <c r="A502" s="10" t="str">
        <f t="shared" si="28"/>
        <v/>
      </c>
      <c r="B502" s="9"/>
      <c r="C502" s="8"/>
      <c r="D502" s="10" t="str">
        <f ca="1">IFERROR(_xludf.XLOOKUP(C502,STUDENTS!$A$5:$A$204,STUDENTS!$C$5:$C$204,""),"")</f>
        <v/>
      </c>
      <c r="E502" s="10" t="str">
        <f ca="1">IFERROR(_xludf.XLOOKUP(C502,STUDENTS!$A$5:$A$204,STUDENTS!$L$5:$L$204,""),"")</f>
        <v/>
      </c>
      <c r="F502" s="8"/>
      <c r="G502" s="10" t="str">
        <f>SETTINGS!$B$8</f>
        <v>2026/2027</v>
      </c>
      <c r="H502" s="10">
        <f t="shared" si="29"/>
        <v>0</v>
      </c>
      <c r="I502" s="10">
        <f t="shared" si="30"/>
        <v>0</v>
      </c>
      <c r="J502" s="13" t="str">
        <f t="shared" si="31"/>
        <v/>
      </c>
    </row>
    <row r="503" spans="1:10" x14ac:dyDescent="0.2">
      <c r="A503" s="10" t="str">
        <f t="shared" si="28"/>
        <v/>
      </c>
      <c r="B503" s="9"/>
      <c r="C503" s="8"/>
      <c r="D503" s="10" t="str">
        <f ca="1">IFERROR(_xludf.XLOOKUP(C503,STUDENTS!$A$5:$A$204,STUDENTS!$C$5:$C$204,""),"")</f>
        <v/>
      </c>
      <c r="E503" s="10" t="str">
        <f ca="1">IFERROR(_xludf.XLOOKUP(C503,STUDENTS!$A$5:$A$204,STUDENTS!$L$5:$L$204,""),"")</f>
        <v/>
      </c>
      <c r="F503" s="8"/>
      <c r="G503" s="10" t="str">
        <f>SETTINGS!$B$8</f>
        <v>2026/2027</v>
      </c>
      <c r="H503" s="10">
        <f t="shared" si="29"/>
        <v>0</v>
      </c>
      <c r="I503" s="10">
        <f t="shared" si="30"/>
        <v>0</v>
      </c>
      <c r="J503" s="13" t="str">
        <f t="shared" si="31"/>
        <v/>
      </c>
    </row>
    <row r="504" spans="1:10" x14ac:dyDescent="0.2">
      <c r="A504" s="10" t="str">
        <f t="shared" si="28"/>
        <v/>
      </c>
      <c r="B504" s="9"/>
      <c r="C504" s="8"/>
      <c r="D504" s="10" t="str">
        <f ca="1">IFERROR(_xludf.XLOOKUP(C504,STUDENTS!$A$5:$A$204,STUDENTS!$C$5:$C$204,""),"")</f>
        <v/>
      </c>
      <c r="E504" s="10" t="str">
        <f ca="1">IFERROR(_xludf.XLOOKUP(C504,STUDENTS!$A$5:$A$204,STUDENTS!$L$5:$L$204,""),"")</f>
        <v/>
      </c>
      <c r="F504" s="8"/>
      <c r="G504" s="10" t="str">
        <f>SETTINGS!$B$8</f>
        <v>2026/2027</v>
      </c>
      <c r="H504" s="10">
        <f t="shared" si="29"/>
        <v>0</v>
      </c>
      <c r="I504" s="10">
        <f t="shared" si="30"/>
        <v>0</v>
      </c>
      <c r="J504" s="13" t="str">
        <f t="shared" si="31"/>
        <v/>
      </c>
    </row>
    <row r="505" spans="1:10" x14ac:dyDescent="0.2">
      <c r="A505" s="10" t="str">
        <f t="shared" si="28"/>
        <v/>
      </c>
      <c r="B505" s="9"/>
      <c r="C505" s="8"/>
      <c r="D505" s="10" t="str">
        <f ca="1">IFERROR(_xludf.XLOOKUP(C505,STUDENTS!$A$5:$A$204,STUDENTS!$C$5:$C$204,""),"")</f>
        <v/>
      </c>
      <c r="E505" s="10" t="str">
        <f ca="1">IFERROR(_xludf.XLOOKUP(C505,STUDENTS!$A$5:$A$204,STUDENTS!$L$5:$L$204,""),"")</f>
        <v/>
      </c>
      <c r="F505" s="8"/>
      <c r="G505" s="10" t="str">
        <f>SETTINGS!$B$8</f>
        <v>2026/2027</v>
      </c>
      <c r="H505" s="10">
        <f t="shared" si="29"/>
        <v>0</v>
      </c>
      <c r="I505" s="10">
        <f t="shared" si="30"/>
        <v>0</v>
      </c>
      <c r="J505" s="13" t="str">
        <f t="shared" si="31"/>
        <v/>
      </c>
    </row>
    <row r="506" spans="1:10" x14ac:dyDescent="0.2">
      <c r="A506" s="10" t="str">
        <f t="shared" si="28"/>
        <v/>
      </c>
      <c r="B506" s="9"/>
      <c r="C506" s="8"/>
      <c r="D506" s="10" t="str">
        <f ca="1">IFERROR(_xludf.XLOOKUP(C506,STUDENTS!$A$5:$A$204,STUDENTS!$C$5:$C$204,""),"")</f>
        <v/>
      </c>
      <c r="E506" s="10" t="str">
        <f ca="1">IFERROR(_xludf.XLOOKUP(C506,STUDENTS!$A$5:$A$204,STUDENTS!$L$5:$L$204,""),"")</f>
        <v/>
      </c>
      <c r="F506" s="8"/>
      <c r="G506" s="10" t="str">
        <f>SETTINGS!$B$8</f>
        <v>2026/2027</v>
      </c>
      <c r="H506" s="10">
        <f t="shared" si="29"/>
        <v>0</v>
      </c>
      <c r="I506" s="10">
        <f t="shared" si="30"/>
        <v>0</v>
      </c>
      <c r="J506" s="13" t="str">
        <f t="shared" si="31"/>
        <v/>
      </c>
    </row>
    <row r="507" spans="1:10" x14ac:dyDescent="0.2">
      <c r="A507" s="10" t="str">
        <f t="shared" si="28"/>
        <v/>
      </c>
      <c r="B507" s="9"/>
      <c r="C507" s="8"/>
      <c r="D507" s="10" t="str">
        <f ca="1">IFERROR(_xludf.XLOOKUP(C507,STUDENTS!$A$5:$A$204,STUDENTS!$C$5:$C$204,""),"")</f>
        <v/>
      </c>
      <c r="E507" s="10" t="str">
        <f ca="1">IFERROR(_xludf.XLOOKUP(C507,STUDENTS!$A$5:$A$204,STUDENTS!$L$5:$L$204,""),"")</f>
        <v/>
      </c>
      <c r="F507" s="8"/>
      <c r="G507" s="10" t="str">
        <f>SETTINGS!$B$8</f>
        <v>2026/2027</v>
      </c>
      <c r="H507" s="10">
        <f t="shared" si="29"/>
        <v>0</v>
      </c>
      <c r="I507" s="10">
        <f t="shared" si="30"/>
        <v>0</v>
      </c>
      <c r="J507" s="13" t="str">
        <f t="shared" si="31"/>
        <v/>
      </c>
    </row>
    <row r="508" spans="1:10" x14ac:dyDescent="0.2">
      <c r="A508" s="10" t="str">
        <f t="shared" si="28"/>
        <v/>
      </c>
      <c r="B508" s="9"/>
      <c r="C508" s="8"/>
      <c r="D508" s="10" t="str">
        <f ca="1">IFERROR(_xludf.XLOOKUP(C508,STUDENTS!$A$5:$A$204,STUDENTS!$C$5:$C$204,""),"")</f>
        <v/>
      </c>
      <c r="E508" s="10" t="str">
        <f ca="1">IFERROR(_xludf.XLOOKUP(C508,STUDENTS!$A$5:$A$204,STUDENTS!$L$5:$L$204,""),"")</f>
        <v/>
      </c>
      <c r="F508" s="8"/>
      <c r="G508" s="10" t="str">
        <f>SETTINGS!$B$8</f>
        <v>2026/2027</v>
      </c>
      <c r="H508" s="10">
        <f t="shared" si="29"/>
        <v>0</v>
      </c>
      <c r="I508" s="10">
        <f t="shared" si="30"/>
        <v>0</v>
      </c>
      <c r="J508" s="13" t="str">
        <f t="shared" si="31"/>
        <v/>
      </c>
    </row>
    <row r="509" spans="1:10" x14ac:dyDescent="0.2">
      <c r="A509" s="10" t="str">
        <f t="shared" si="28"/>
        <v/>
      </c>
      <c r="B509" s="9"/>
      <c r="C509" s="8"/>
      <c r="D509" s="10" t="str">
        <f ca="1">IFERROR(_xludf.XLOOKUP(C509,STUDENTS!$A$5:$A$204,STUDENTS!$C$5:$C$204,""),"")</f>
        <v/>
      </c>
      <c r="E509" s="10" t="str">
        <f ca="1">IFERROR(_xludf.XLOOKUP(C509,STUDENTS!$A$5:$A$204,STUDENTS!$L$5:$L$204,""),"")</f>
        <v/>
      </c>
      <c r="F509" s="8"/>
      <c r="G509" s="10" t="str">
        <f>SETTINGS!$B$8</f>
        <v>2026/2027</v>
      </c>
      <c r="H509" s="10">
        <f t="shared" si="29"/>
        <v>0</v>
      </c>
      <c r="I509" s="10">
        <f t="shared" si="30"/>
        <v>0</v>
      </c>
      <c r="J509" s="13" t="str">
        <f t="shared" si="31"/>
        <v/>
      </c>
    </row>
    <row r="510" spans="1:10" x14ac:dyDescent="0.2">
      <c r="A510" s="10" t="str">
        <f t="shared" si="28"/>
        <v/>
      </c>
      <c r="B510" s="9"/>
      <c r="C510" s="8"/>
      <c r="D510" s="10" t="str">
        <f ca="1">IFERROR(_xludf.XLOOKUP(C510,STUDENTS!$A$5:$A$204,STUDENTS!$C$5:$C$204,""),"")</f>
        <v/>
      </c>
      <c r="E510" s="10" t="str">
        <f ca="1">IFERROR(_xludf.XLOOKUP(C510,STUDENTS!$A$5:$A$204,STUDENTS!$L$5:$L$204,""),"")</f>
        <v/>
      </c>
      <c r="F510" s="8"/>
      <c r="G510" s="10" t="str">
        <f>SETTINGS!$B$8</f>
        <v>2026/2027</v>
      </c>
      <c r="H510" s="10">
        <f t="shared" si="29"/>
        <v>0</v>
      </c>
      <c r="I510" s="10">
        <f t="shared" si="30"/>
        <v>0</v>
      </c>
      <c r="J510" s="13" t="str">
        <f t="shared" si="31"/>
        <v/>
      </c>
    </row>
    <row r="511" spans="1:10" x14ac:dyDescent="0.2">
      <c r="A511" s="10" t="str">
        <f t="shared" si="28"/>
        <v/>
      </c>
      <c r="B511" s="9"/>
      <c r="C511" s="8"/>
      <c r="D511" s="10" t="str">
        <f ca="1">IFERROR(_xludf.XLOOKUP(C511,STUDENTS!$A$5:$A$204,STUDENTS!$C$5:$C$204,""),"")</f>
        <v/>
      </c>
      <c r="E511" s="10" t="str">
        <f ca="1">IFERROR(_xludf.XLOOKUP(C511,STUDENTS!$A$5:$A$204,STUDENTS!$L$5:$L$204,""),"")</f>
        <v/>
      </c>
      <c r="F511" s="8"/>
      <c r="G511" s="10" t="str">
        <f>SETTINGS!$B$8</f>
        <v>2026/2027</v>
      </c>
      <c r="H511" s="10">
        <f t="shared" si="29"/>
        <v>0</v>
      </c>
      <c r="I511" s="10">
        <f t="shared" si="30"/>
        <v>0</v>
      </c>
      <c r="J511" s="13" t="str">
        <f t="shared" si="31"/>
        <v/>
      </c>
    </row>
    <row r="512" spans="1:10" x14ac:dyDescent="0.2">
      <c r="A512" s="10" t="str">
        <f t="shared" si="28"/>
        <v/>
      </c>
      <c r="B512" s="9"/>
      <c r="C512" s="8"/>
      <c r="D512" s="10" t="str">
        <f ca="1">IFERROR(_xludf.XLOOKUP(C512,STUDENTS!$A$5:$A$204,STUDENTS!$C$5:$C$204,""),"")</f>
        <v/>
      </c>
      <c r="E512" s="10" t="str">
        <f ca="1">IFERROR(_xludf.XLOOKUP(C512,STUDENTS!$A$5:$A$204,STUDENTS!$L$5:$L$204,""),"")</f>
        <v/>
      </c>
      <c r="F512" s="8"/>
      <c r="G512" s="10" t="str">
        <f>SETTINGS!$B$8</f>
        <v>2026/2027</v>
      </c>
      <c r="H512" s="10">
        <f t="shared" si="29"/>
        <v>0</v>
      </c>
      <c r="I512" s="10">
        <f t="shared" si="30"/>
        <v>0</v>
      </c>
      <c r="J512" s="13" t="str">
        <f t="shared" si="31"/>
        <v/>
      </c>
    </row>
    <row r="513" spans="1:10" x14ac:dyDescent="0.2">
      <c r="A513" s="10" t="str">
        <f t="shared" si="28"/>
        <v/>
      </c>
      <c r="B513" s="9"/>
      <c r="C513" s="8"/>
      <c r="D513" s="10" t="str">
        <f ca="1">IFERROR(_xludf.XLOOKUP(C513,STUDENTS!$A$5:$A$204,STUDENTS!$C$5:$C$204,""),"")</f>
        <v/>
      </c>
      <c r="E513" s="10" t="str">
        <f ca="1">IFERROR(_xludf.XLOOKUP(C513,STUDENTS!$A$5:$A$204,STUDENTS!$L$5:$L$204,""),"")</f>
        <v/>
      </c>
      <c r="F513" s="8"/>
      <c r="G513" s="10" t="str">
        <f>SETTINGS!$B$8</f>
        <v>2026/2027</v>
      </c>
      <c r="H513" s="10">
        <f t="shared" si="29"/>
        <v>0</v>
      </c>
      <c r="I513" s="10">
        <f t="shared" si="30"/>
        <v>0</v>
      </c>
      <c r="J513" s="13" t="str">
        <f t="shared" si="31"/>
        <v/>
      </c>
    </row>
    <row r="514" spans="1:10" x14ac:dyDescent="0.2">
      <c r="A514" s="10" t="str">
        <f t="shared" si="28"/>
        <v/>
      </c>
      <c r="B514" s="9"/>
      <c r="C514" s="8"/>
      <c r="D514" s="10" t="str">
        <f ca="1">IFERROR(_xludf.XLOOKUP(C514,STUDENTS!$A$5:$A$204,STUDENTS!$C$5:$C$204,""),"")</f>
        <v/>
      </c>
      <c r="E514" s="10" t="str">
        <f ca="1">IFERROR(_xludf.XLOOKUP(C514,STUDENTS!$A$5:$A$204,STUDENTS!$L$5:$L$204,""),"")</f>
        <v/>
      </c>
      <c r="F514" s="8"/>
      <c r="G514" s="10" t="str">
        <f>SETTINGS!$B$8</f>
        <v>2026/2027</v>
      </c>
      <c r="H514" s="10">
        <f t="shared" si="29"/>
        <v>0</v>
      </c>
      <c r="I514" s="10">
        <f t="shared" si="30"/>
        <v>0</v>
      </c>
      <c r="J514" s="13" t="str">
        <f t="shared" si="31"/>
        <v/>
      </c>
    </row>
    <row r="515" spans="1:10" x14ac:dyDescent="0.2">
      <c r="A515" s="10" t="str">
        <f t="shared" si="28"/>
        <v/>
      </c>
      <c r="B515" s="9"/>
      <c r="C515" s="8"/>
      <c r="D515" s="10" t="str">
        <f ca="1">IFERROR(_xludf.XLOOKUP(C515,STUDENTS!$A$5:$A$204,STUDENTS!$C$5:$C$204,""),"")</f>
        <v/>
      </c>
      <c r="E515" s="10" t="str">
        <f ca="1">IFERROR(_xludf.XLOOKUP(C515,STUDENTS!$A$5:$A$204,STUDENTS!$L$5:$L$204,""),"")</f>
        <v/>
      </c>
      <c r="F515" s="8"/>
      <c r="G515" s="10" t="str">
        <f>SETTINGS!$B$8</f>
        <v>2026/2027</v>
      </c>
      <c r="H515" s="10">
        <f t="shared" si="29"/>
        <v>0</v>
      </c>
      <c r="I515" s="10">
        <f t="shared" si="30"/>
        <v>0</v>
      </c>
      <c r="J515" s="13" t="str">
        <f t="shared" si="31"/>
        <v/>
      </c>
    </row>
    <row r="516" spans="1:10" x14ac:dyDescent="0.2">
      <c r="A516" s="10" t="str">
        <f t="shared" si="28"/>
        <v/>
      </c>
      <c r="B516" s="9"/>
      <c r="C516" s="8"/>
      <c r="D516" s="10" t="str">
        <f ca="1">IFERROR(_xludf.XLOOKUP(C516,STUDENTS!$A$5:$A$204,STUDENTS!$C$5:$C$204,""),"")</f>
        <v/>
      </c>
      <c r="E516" s="10" t="str">
        <f ca="1">IFERROR(_xludf.XLOOKUP(C516,STUDENTS!$A$5:$A$204,STUDENTS!$L$5:$L$204,""),"")</f>
        <v/>
      </c>
      <c r="F516" s="8"/>
      <c r="G516" s="10" t="str">
        <f>SETTINGS!$B$8</f>
        <v>2026/2027</v>
      </c>
      <c r="H516" s="10">
        <f t="shared" si="29"/>
        <v>0</v>
      </c>
      <c r="I516" s="10">
        <f t="shared" si="30"/>
        <v>0</v>
      </c>
      <c r="J516" s="13" t="str">
        <f t="shared" si="31"/>
        <v/>
      </c>
    </row>
    <row r="517" spans="1:10" x14ac:dyDescent="0.2">
      <c r="A517" s="10" t="str">
        <f t="shared" ref="A517:A580" si="32">IF(C517="","","AT-"&amp;TEXT(ROW()-4,"00000"))</f>
        <v/>
      </c>
      <c r="B517" s="9"/>
      <c r="C517" s="8"/>
      <c r="D517" s="10" t="str">
        <f ca="1">IFERROR(_xludf.XLOOKUP(C517,STUDENTS!$A$5:$A$204,STUDENTS!$C$5:$C$204,""),"")</f>
        <v/>
      </c>
      <c r="E517" s="10" t="str">
        <f ca="1">IFERROR(_xludf.XLOOKUP(C517,STUDENTS!$A$5:$A$204,STUDENTS!$L$5:$L$204,""),"")</f>
        <v/>
      </c>
      <c r="F517" s="8"/>
      <c r="G517" s="10" t="str">
        <f>SETTINGS!$B$8</f>
        <v>2026/2027</v>
      </c>
      <c r="H517" s="10">
        <f t="shared" ref="H517:H580" si="33">IF(F517="Present",1,0)</f>
        <v>0</v>
      </c>
      <c r="I517" s="10">
        <f t="shared" ref="I517:I580" si="34">IF(F517="Absent",1,0)</f>
        <v>0</v>
      </c>
      <c r="J517" s="13" t="str">
        <f t="shared" ref="J517:J580" si="35">IF(OR(H517="",I517=""),"",IF(H517+I517=0,"",H517/(H517+I517)))</f>
        <v/>
      </c>
    </row>
    <row r="518" spans="1:10" x14ac:dyDescent="0.2">
      <c r="A518" s="10" t="str">
        <f t="shared" si="32"/>
        <v/>
      </c>
      <c r="B518" s="9"/>
      <c r="C518" s="8"/>
      <c r="D518" s="10" t="str">
        <f ca="1">IFERROR(_xludf.XLOOKUP(C518,STUDENTS!$A$5:$A$204,STUDENTS!$C$5:$C$204,""),"")</f>
        <v/>
      </c>
      <c r="E518" s="10" t="str">
        <f ca="1">IFERROR(_xludf.XLOOKUP(C518,STUDENTS!$A$5:$A$204,STUDENTS!$L$5:$L$204,""),"")</f>
        <v/>
      </c>
      <c r="F518" s="8"/>
      <c r="G518" s="10" t="str">
        <f>SETTINGS!$B$8</f>
        <v>2026/2027</v>
      </c>
      <c r="H518" s="10">
        <f t="shared" si="33"/>
        <v>0</v>
      </c>
      <c r="I518" s="10">
        <f t="shared" si="34"/>
        <v>0</v>
      </c>
      <c r="J518" s="13" t="str">
        <f t="shared" si="35"/>
        <v/>
      </c>
    </row>
    <row r="519" spans="1:10" x14ac:dyDescent="0.2">
      <c r="A519" s="10" t="str">
        <f t="shared" si="32"/>
        <v/>
      </c>
      <c r="B519" s="9"/>
      <c r="C519" s="8"/>
      <c r="D519" s="10" t="str">
        <f ca="1">IFERROR(_xludf.XLOOKUP(C519,STUDENTS!$A$5:$A$204,STUDENTS!$C$5:$C$204,""),"")</f>
        <v/>
      </c>
      <c r="E519" s="10" t="str">
        <f ca="1">IFERROR(_xludf.XLOOKUP(C519,STUDENTS!$A$5:$A$204,STUDENTS!$L$5:$L$204,""),"")</f>
        <v/>
      </c>
      <c r="F519" s="8"/>
      <c r="G519" s="10" t="str">
        <f>SETTINGS!$B$8</f>
        <v>2026/2027</v>
      </c>
      <c r="H519" s="10">
        <f t="shared" si="33"/>
        <v>0</v>
      </c>
      <c r="I519" s="10">
        <f t="shared" si="34"/>
        <v>0</v>
      </c>
      <c r="J519" s="13" t="str">
        <f t="shared" si="35"/>
        <v/>
      </c>
    </row>
    <row r="520" spans="1:10" x14ac:dyDescent="0.2">
      <c r="A520" s="10" t="str">
        <f t="shared" si="32"/>
        <v/>
      </c>
      <c r="B520" s="9"/>
      <c r="C520" s="8"/>
      <c r="D520" s="10" t="str">
        <f ca="1">IFERROR(_xludf.XLOOKUP(C520,STUDENTS!$A$5:$A$204,STUDENTS!$C$5:$C$204,""),"")</f>
        <v/>
      </c>
      <c r="E520" s="10" t="str">
        <f ca="1">IFERROR(_xludf.XLOOKUP(C520,STUDENTS!$A$5:$A$204,STUDENTS!$L$5:$L$204,""),"")</f>
        <v/>
      </c>
      <c r="F520" s="8"/>
      <c r="G520" s="10" t="str">
        <f>SETTINGS!$B$8</f>
        <v>2026/2027</v>
      </c>
      <c r="H520" s="10">
        <f t="shared" si="33"/>
        <v>0</v>
      </c>
      <c r="I520" s="10">
        <f t="shared" si="34"/>
        <v>0</v>
      </c>
      <c r="J520" s="13" t="str">
        <f t="shared" si="35"/>
        <v/>
      </c>
    </row>
    <row r="521" spans="1:10" x14ac:dyDescent="0.2">
      <c r="A521" s="10" t="str">
        <f t="shared" si="32"/>
        <v/>
      </c>
      <c r="B521" s="9"/>
      <c r="C521" s="8"/>
      <c r="D521" s="10" t="str">
        <f ca="1">IFERROR(_xludf.XLOOKUP(C521,STUDENTS!$A$5:$A$204,STUDENTS!$C$5:$C$204,""),"")</f>
        <v/>
      </c>
      <c r="E521" s="10" t="str">
        <f ca="1">IFERROR(_xludf.XLOOKUP(C521,STUDENTS!$A$5:$A$204,STUDENTS!$L$5:$L$204,""),"")</f>
        <v/>
      </c>
      <c r="F521" s="8"/>
      <c r="G521" s="10" t="str">
        <f>SETTINGS!$B$8</f>
        <v>2026/2027</v>
      </c>
      <c r="H521" s="10">
        <f t="shared" si="33"/>
        <v>0</v>
      </c>
      <c r="I521" s="10">
        <f t="shared" si="34"/>
        <v>0</v>
      </c>
      <c r="J521" s="13" t="str">
        <f t="shared" si="35"/>
        <v/>
      </c>
    </row>
    <row r="522" spans="1:10" x14ac:dyDescent="0.2">
      <c r="A522" s="10" t="str">
        <f t="shared" si="32"/>
        <v/>
      </c>
      <c r="B522" s="9"/>
      <c r="C522" s="8"/>
      <c r="D522" s="10" t="str">
        <f ca="1">IFERROR(_xludf.XLOOKUP(C522,STUDENTS!$A$5:$A$204,STUDENTS!$C$5:$C$204,""),"")</f>
        <v/>
      </c>
      <c r="E522" s="10" t="str">
        <f ca="1">IFERROR(_xludf.XLOOKUP(C522,STUDENTS!$A$5:$A$204,STUDENTS!$L$5:$L$204,""),"")</f>
        <v/>
      </c>
      <c r="F522" s="8"/>
      <c r="G522" s="10" t="str">
        <f>SETTINGS!$B$8</f>
        <v>2026/2027</v>
      </c>
      <c r="H522" s="10">
        <f t="shared" si="33"/>
        <v>0</v>
      </c>
      <c r="I522" s="10">
        <f t="shared" si="34"/>
        <v>0</v>
      </c>
      <c r="J522" s="13" t="str">
        <f t="shared" si="35"/>
        <v/>
      </c>
    </row>
    <row r="523" spans="1:10" x14ac:dyDescent="0.2">
      <c r="A523" s="10" t="str">
        <f t="shared" si="32"/>
        <v/>
      </c>
      <c r="B523" s="9"/>
      <c r="C523" s="8"/>
      <c r="D523" s="10" t="str">
        <f ca="1">IFERROR(_xludf.XLOOKUP(C523,STUDENTS!$A$5:$A$204,STUDENTS!$C$5:$C$204,""),"")</f>
        <v/>
      </c>
      <c r="E523" s="10" t="str">
        <f ca="1">IFERROR(_xludf.XLOOKUP(C523,STUDENTS!$A$5:$A$204,STUDENTS!$L$5:$L$204,""),"")</f>
        <v/>
      </c>
      <c r="F523" s="8"/>
      <c r="G523" s="10" t="str">
        <f>SETTINGS!$B$8</f>
        <v>2026/2027</v>
      </c>
      <c r="H523" s="10">
        <f t="shared" si="33"/>
        <v>0</v>
      </c>
      <c r="I523" s="10">
        <f t="shared" si="34"/>
        <v>0</v>
      </c>
      <c r="J523" s="13" t="str">
        <f t="shared" si="35"/>
        <v/>
      </c>
    </row>
    <row r="524" spans="1:10" x14ac:dyDescent="0.2">
      <c r="A524" s="10" t="str">
        <f t="shared" si="32"/>
        <v/>
      </c>
      <c r="B524" s="9"/>
      <c r="C524" s="8"/>
      <c r="D524" s="10" t="str">
        <f ca="1">IFERROR(_xludf.XLOOKUP(C524,STUDENTS!$A$5:$A$204,STUDENTS!$C$5:$C$204,""),"")</f>
        <v/>
      </c>
      <c r="E524" s="10" t="str">
        <f ca="1">IFERROR(_xludf.XLOOKUP(C524,STUDENTS!$A$5:$A$204,STUDENTS!$L$5:$L$204,""),"")</f>
        <v/>
      </c>
      <c r="F524" s="8"/>
      <c r="G524" s="10" t="str">
        <f>SETTINGS!$B$8</f>
        <v>2026/2027</v>
      </c>
      <c r="H524" s="10">
        <f t="shared" si="33"/>
        <v>0</v>
      </c>
      <c r="I524" s="10">
        <f t="shared" si="34"/>
        <v>0</v>
      </c>
      <c r="J524" s="13" t="str">
        <f t="shared" si="35"/>
        <v/>
      </c>
    </row>
    <row r="525" spans="1:10" x14ac:dyDescent="0.2">
      <c r="A525" s="10" t="str">
        <f t="shared" si="32"/>
        <v/>
      </c>
      <c r="B525" s="9"/>
      <c r="C525" s="8"/>
      <c r="D525" s="10" t="str">
        <f ca="1">IFERROR(_xludf.XLOOKUP(C525,STUDENTS!$A$5:$A$204,STUDENTS!$C$5:$C$204,""),"")</f>
        <v/>
      </c>
      <c r="E525" s="10" t="str">
        <f ca="1">IFERROR(_xludf.XLOOKUP(C525,STUDENTS!$A$5:$A$204,STUDENTS!$L$5:$L$204,""),"")</f>
        <v/>
      </c>
      <c r="F525" s="8"/>
      <c r="G525" s="10" t="str">
        <f>SETTINGS!$B$8</f>
        <v>2026/2027</v>
      </c>
      <c r="H525" s="10">
        <f t="shared" si="33"/>
        <v>0</v>
      </c>
      <c r="I525" s="10">
        <f t="shared" si="34"/>
        <v>0</v>
      </c>
      <c r="J525" s="13" t="str">
        <f t="shared" si="35"/>
        <v/>
      </c>
    </row>
    <row r="526" spans="1:10" x14ac:dyDescent="0.2">
      <c r="A526" s="10" t="str">
        <f t="shared" si="32"/>
        <v/>
      </c>
      <c r="B526" s="9"/>
      <c r="C526" s="8"/>
      <c r="D526" s="10" t="str">
        <f ca="1">IFERROR(_xludf.XLOOKUP(C526,STUDENTS!$A$5:$A$204,STUDENTS!$C$5:$C$204,""),"")</f>
        <v/>
      </c>
      <c r="E526" s="10" t="str">
        <f ca="1">IFERROR(_xludf.XLOOKUP(C526,STUDENTS!$A$5:$A$204,STUDENTS!$L$5:$L$204,""),"")</f>
        <v/>
      </c>
      <c r="F526" s="8"/>
      <c r="G526" s="10" t="str">
        <f>SETTINGS!$B$8</f>
        <v>2026/2027</v>
      </c>
      <c r="H526" s="10">
        <f t="shared" si="33"/>
        <v>0</v>
      </c>
      <c r="I526" s="10">
        <f t="shared" si="34"/>
        <v>0</v>
      </c>
      <c r="J526" s="13" t="str">
        <f t="shared" si="35"/>
        <v/>
      </c>
    </row>
    <row r="527" spans="1:10" x14ac:dyDescent="0.2">
      <c r="A527" s="10" t="str">
        <f t="shared" si="32"/>
        <v/>
      </c>
      <c r="B527" s="9"/>
      <c r="C527" s="8"/>
      <c r="D527" s="10" t="str">
        <f ca="1">IFERROR(_xludf.XLOOKUP(C527,STUDENTS!$A$5:$A$204,STUDENTS!$C$5:$C$204,""),"")</f>
        <v/>
      </c>
      <c r="E527" s="10" t="str">
        <f ca="1">IFERROR(_xludf.XLOOKUP(C527,STUDENTS!$A$5:$A$204,STUDENTS!$L$5:$L$204,""),"")</f>
        <v/>
      </c>
      <c r="F527" s="8"/>
      <c r="G527" s="10" t="str">
        <f>SETTINGS!$B$8</f>
        <v>2026/2027</v>
      </c>
      <c r="H527" s="10">
        <f t="shared" si="33"/>
        <v>0</v>
      </c>
      <c r="I527" s="10">
        <f t="shared" si="34"/>
        <v>0</v>
      </c>
      <c r="J527" s="13" t="str">
        <f t="shared" si="35"/>
        <v/>
      </c>
    </row>
    <row r="528" spans="1:10" x14ac:dyDescent="0.2">
      <c r="A528" s="10" t="str">
        <f t="shared" si="32"/>
        <v/>
      </c>
      <c r="B528" s="9"/>
      <c r="C528" s="8"/>
      <c r="D528" s="10" t="str">
        <f ca="1">IFERROR(_xludf.XLOOKUP(C528,STUDENTS!$A$5:$A$204,STUDENTS!$C$5:$C$204,""),"")</f>
        <v/>
      </c>
      <c r="E528" s="10" t="str">
        <f ca="1">IFERROR(_xludf.XLOOKUP(C528,STUDENTS!$A$5:$A$204,STUDENTS!$L$5:$L$204,""),"")</f>
        <v/>
      </c>
      <c r="F528" s="8"/>
      <c r="G528" s="10" t="str">
        <f>SETTINGS!$B$8</f>
        <v>2026/2027</v>
      </c>
      <c r="H528" s="10">
        <f t="shared" si="33"/>
        <v>0</v>
      </c>
      <c r="I528" s="10">
        <f t="shared" si="34"/>
        <v>0</v>
      </c>
      <c r="J528" s="13" t="str">
        <f t="shared" si="35"/>
        <v/>
      </c>
    </row>
    <row r="529" spans="1:10" x14ac:dyDescent="0.2">
      <c r="A529" s="10" t="str">
        <f t="shared" si="32"/>
        <v/>
      </c>
      <c r="B529" s="9"/>
      <c r="C529" s="8"/>
      <c r="D529" s="10" t="str">
        <f ca="1">IFERROR(_xludf.XLOOKUP(C529,STUDENTS!$A$5:$A$204,STUDENTS!$C$5:$C$204,""),"")</f>
        <v/>
      </c>
      <c r="E529" s="10" t="str">
        <f ca="1">IFERROR(_xludf.XLOOKUP(C529,STUDENTS!$A$5:$A$204,STUDENTS!$L$5:$L$204,""),"")</f>
        <v/>
      </c>
      <c r="F529" s="8"/>
      <c r="G529" s="10" t="str">
        <f>SETTINGS!$B$8</f>
        <v>2026/2027</v>
      </c>
      <c r="H529" s="10">
        <f t="shared" si="33"/>
        <v>0</v>
      </c>
      <c r="I529" s="10">
        <f t="shared" si="34"/>
        <v>0</v>
      </c>
      <c r="J529" s="13" t="str">
        <f t="shared" si="35"/>
        <v/>
      </c>
    </row>
    <row r="530" spans="1:10" x14ac:dyDescent="0.2">
      <c r="A530" s="10" t="str">
        <f t="shared" si="32"/>
        <v/>
      </c>
      <c r="B530" s="9"/>
      <c r="C530" s="8"/>
      <c r="D530" s="10" t="str">
        <f ca="1">IFERROR(_xludf.XLOOKUP(C530,STUDENTS!$A$5:$A$204,STUDENTS!$C$5:$C$204,""),"")</f>
        <v/>
      </c>
      <c r="E530" s="10" t="str">
        <f ca="1">IFERROR(_xludf.XLOOKUP(C530,STUDENTS!$A$5:$A$204,STUDENTS!$L$5:$L$204,""),"")</f>
        <v/>
      </c>
      <c r="F530" s="8"/>
      <c r="G530" s="10" t="str">
        <f>SETTINGS!$B$8</f>
        <v>2026/2027</v>
      </c>
      <c r="H530" s="10">
        <f t="shared" si="33"/>
        <v>0</v>
      </c>
      <c r="I530" s="10">
        <f t="shared" si="34"/>
        <v>0</v>
      </c>
      <c r="J530" s="13" t="str">
        <f t="shared" si="35"/>
        <v/>
      </c>
    </row>
    <row r="531" spans="1:10" x14ac:dyDescent="0.2">
      <c r="A531" s="10" t="str">
        <f t="shared" si="32"/>
        <v/>
      </c>
      <c r="B531" s="9"/>
      <c r="C531" s="8"/>
      <c r="D531" s="10" t="str">
        <f ca="1">IFERROR(_xludf.XLOOKUP(C531,STUDENTS!$A$5:$A$204,STUDENTS!$C$5:$C$204,""),"")</f>
        <v/>
      </c>
      <c r="E531" s="10" t="str">
        <f ca="1">IFERROR(_xludf.XLOOKUP(C531,STUDENTS!$A$5:$A$204,STUDENTS!$L$5:$L$204,""),"")</f>
        <v/>
      </c>
      <c r="F531" s="8"/>
      <c r="G531" s="10" t="str">
        <f>SETTINGS!$B$8</f>
        <v>2026/2027</v>
      </c>
      <c r="H531" s="10">
        <f t="shared" si="33"/>
        <v>0</v>
      </c>
      <c r="I531" s="10">
        <f t="shared" si="34"/>
        <v>0</v>
      </c>
      <c r="J531" s="13" t="str">
        <f t="shared" si="35"/>
        <v/>
      </c>
    </row>
    <row r="532" spans="1:10" x14ac:dyDescent="0.2">
      <c r="A532" s="10" t="str">
        <f t="shared" si="32"/>
        <v/>
      </c>
      <c r="B532" s="9"/>
      <c r="C532" s="8"/>
      <c r="D532" s="10" t="str">
        <f ca="1">IFERROR(_xludf.XLOOKUP(C532,STUDENTS!$A$5:$A$204,STUDENTS!$C$5:$C$204,""),"")</f>
        <v/>
      </c>
      <c r="E532" s="10" t="str">
        <f ca="1">IFERROR(_xludf.XLOOKUP(C532,STUDENTS!$A$5:$A$204,STUDENTS!$L$5:$L$204,""),"")</f>
        <v/>
      </c>
      <c r="F532" s="8"/>
      <c r="G532" s="10" t="str">
        <f>SETTINGS!$B$8</f>
        <v>2026/2027</v>
      </c>
      <c r="H532" s="10">
        <f t="shared" si="33"/>
        <v>0</v>
      </c>
      <c r="I532" s="10">
        <f t="shared" si="34"/>
        <v>0</v>
      </c>
      <c r="J532" s="13" t="str">
        <f t="shared" si="35"/>
        <v/>
      </c>
    </row>
    <row r="533" spans="1:10" x14ac:dyDescent="0.2">
      <c r="A533" s="10" t="str">
        <f t="shared" si="32"/>
        <v/>
      </c>
      <c r="B533" s="9"/>
      <c r="C533" s="8"/>
      <c r="D533" s="10" t="str">
        <f ca="1">IFERROR(_xludf.XLOOKUP(C533,STUDENTS!$A$5:$A$204,STUDENTS!$C$5:$C$204,""),"")</f>
        <v/>
      </c>
      <c r="E533" s="10" t="str">
        <f ca="1">IFERROR(_xludf.XLOOKUP(C533,STUDENTS!$A$5:$A$204,STUDENTS!$L$5:$L$204,""),"")</f>
        <v/>
      </c>
      <c r="F533" s="8"/>
      <c r="G533" s="10" t="str">
        <f>SETTINGS!$B$8</f>
        <v>2026/2027</v>
      </c>
      <c r="H533" s="10">
        <f t="shared" si="33"/>
        <v>0</v>
      </c>
      <c r="I533" s="10">
        <f t="shared" si="34"/>
        <v>0</v>
      </c>
      <c r="J533" s="13" t="str">
        <f t="shared" si="35"/>
        <v/>
      </c>
    </row>
    <row r="534" spans="1:10" x14ac:dyDescent="0.2">
      <c r="A534" s="10" t="str">
        <f t="shared" si="32"/>
        <v/>
      </c>
      <c r="B534" s="9"/>
      <c r="C534" s="8"/>
      <c r="D534" s="10" t="str">
        <f ca="1">IFERROR(_xludf.XLOOKUP(C534,STUDENTS!$A$5:$A$204,STUDENTS!$C$5:$C$204,""),"")</f>
        <v/>
      </c>
      <c r="E534" s="10" t="str">
        <f ca="1">IFERROR(_xludf.XLOOKUP(C534,STUDENTS!$A$5:$A$204,STUDENTS!$L$5:$L$204,""),"")</f>
        <v/>
      </c>
      <c r="F534" s="8"/>
      <c r="G534" s="10" t="str">
        <f>SETTINGS!$B$8</f>
        <v>2026/2027</v>
      </c>
      <c r="H534" s="10">
        <f t="shared" si="33"/>
        <v>0</v>
      </c>
      <c r="I534" s="10">
        <f t="shared" si="34"/>
        <v>0</v>
      </c>
      <c r="J534" s="13" t="str">
        <f t="shared" si="35"/>
        <v/>
      </c>
    </row>
    <row r="535" spans="1:10" x14ac:dyDescent="0.2">
      <c r="A535" s="10" t="str">
        <f t="shared" si="32"/>
        <v/>
      </c>
      <c r="B535" s="9"/>
      <c r="C535" s="8"/>
      <c r="D535" s="10" t="str">
        <f ca="1">IFERROR(_xludf.XLOOKUP(C535,STUDENTS!$A$5:$A$204,STUDENTS!$C$5:$C$204,""),"")</f>
        <v/>
      </c>
      <c r="E535" s="10" t="str">
        <f ca="1">IFERROR(_xludf.XLOOKUP(C535,STUDENTS!$A$5:$A$204,STUDENTS!$L$5:$L$204,""),"")</f>
        <v/>
      </c>
      <c r="F535" s="8"/>
      <c r="G535" s="10" t="str">
        <f>SETTINGS!$B$8</f>
        <v>2026/2027</v>
      </c>
      <c r="H535" s="10">
        <f t="shared" si="33"/>
        <v>0</v>
      </c>
      <c r="I535" s="10">
        <f t="shared" si="34"/>
        <v>0</v>
      </c>
      <c r="J535" s="13" t="str">
        <f t="shared" si="35"/>
        <v/>
      </c>
    </row>
    <row r="536" spans="1:10" x14ac:dyDescent="0.2">
      <c r="A536" s="10" t="str">
        <f t="shared" si="32"/>
        <v/>
      </c>
      <c r="B536" s="9"/>
      <c r="C536" s="8"/>
      <c r="D536" s="10" t="str">
        <f ca="1">IFERROR(_xludf.XLOOKUP(C536,STUDENTS!$A$5:$A$204,STUDENTS!$C$5:$C$204,""),"")</f>
        <v/>
      </c>
      <c r="E536" s="10" t="str">
        <f ca="1">IFERROR(_xludf.XLOOKUP(C536,STUDENTS!$A$5:$A$204,STUDENTS!$L$5:$L$204,""),"")</f>
        <v/>
      </c>
      <c r="F536" s="8"/>
      <c r="G536" s="10" t="str">
        <f>SETTINGS!$B$8</f>
        <v>2026/2027</v>
      </c>
      <c r="H536" s="10">
        <f t="shared" si="33"/>
        <v>0</v>
      </c>
      <c r="I536" s="10">
        <f t="shared" si="34"/>
        <v>0</v>
      </c>
      <c r="J536" s="13" t="str">
        <f t="shared" si="35"/>
        <v/>
      </c>
    </row>
    <row r="537" spans="1:10" x14ac:dyDescent="0.2">
      <c r="A537" s="10" t="str">
        <f t="shared" si="32"/>
        <v/>
      </c>
      <c r="B537" s="9"/>
      <c r="C537" s="8"/>
      <c r="D537" s="10" t="str">
        <f ca="1">IFERROR(_xludf.XLOOKUP(C537,STUDENTS!$A$5:$A$204,STUDENTS!$C$5:$C$204,""),"")</f>
        <v/>
      </c>
      <c r="E537" s="10" t="str">
        <f ca="1">IFERROR(_xludf.XLOOKUP(C537,STUDENTS!$A$5:$A$204,STUDENTS!$L$5:$L$204,""),"")</f>
        <v/>
      </c>
      <c r="F537" s="8"/>
      <c r="G537" s="10" t="str">
        <f>SETTINGS!$B$8</f>
        <v>2026/2027</v>
      </c>
      <c r="H537" s="10">
        <f t="shared" si="33"/>
        <v>0</v>
      </c>
      <c r="I537" s="10">
        <f t="shared" si="34"/>
        <v>0</v>
      </c>
      <c r="J537" s="13" t="str">
        <f t="shared" si="35"/>
        <v/>
      </c>
    </row>
    <row r="538" spans="1:10" x14ac:dyDescent="0.2">
      <c r="A538" s="10" t="str">
        <f t="shared" si="32"/>
        <v/>
      </c>
      <c r="B538" s="9"/>
      <c r="C538" s="8"/>
      <c r="D538" s="10" t="str">
        <f ca="1">IFERROR(_xludf.XLOOKUP(C538,STUDENTS!$A$5:$A$204,STUDENTS!$C$5:$C$204,""),"")</f>
        <v/>
      </c>
      <c r="E538" s="10" t="str">
        <f ca="1">IFERROR(_xludf.XLOOKUP(C538,STUDENTS!$A$5:$A$204,STUDENTS!$L$5:$L$204,""),"")</f>
        <v/>
      </c>
      <c r="F538" s="8"/>
      <c r="G538" s="10" t="str">
        <f>SETTINGS!$B$8</f>
        <v>2026/2027</v>
      </c>
      <c r="H538" s="10">
        <f t="shared" si="33"/>
        <v>0</v>
      </c>
      <c r="I538" s="10">
        <f t="shared" si="34"/>
        <v>0</v>
      </c>
      <c r="J538" s="13" t="str">
        <f t="shared" si="35"/>
        <v/>
      </c>
    </row>
    <row r="539" spans="1:10" x14ac:dyDescent="0.2">
      <c r="A539" s="10" t="str">
        <f t="shared" si="32"/>
        <v/>
      </c>
      <c r="B539" s="9"/>
      <c r="C539" s="8"/>
      <c r="D539" s="10" t="str">
        <f ca="1">IFERROR(_xludf.XLOOKUP(C539,STUDENTS!$A$5:$A$204,STUDENTS!$C$5:$C$204,""),"")</f>
        <v/>
      </c>
      <c r="E539" s="10" t="str">
        <f ca="1">IFERROR(_xludf.XLOOKUP(C539,STUDENTS!$A$5:$A$204,STUDENTS!$L$5:$L$204,""),"")</f>
        <v/>
      </c>
      <c r="F539" s="8"/>
      <c r="G539" s="10" t="str">
        <f>SETTINGS!$B$8</f>
        <v>2026/2027</v>
      </c>
      <c r="H539" s="10">
        <f t="shared" si="33"/>
        <v>0</v>
      </c>
      <c r="I539" s="10">
        <f t="shared" si="34"/>
        <v>0</v>
      </c>
      <c r="J539" s="13" t="str">
        <f t="shared" si="35"/>
        <v/>
      </c>
    </row>
    <row r="540" spans="1:10" x14ac:dyDescent="0.2">
      <c r="A540" s="10" t="str">
        <f t="shared" si="32"/>
        <v/>
      </c>
      <c r="B540" s="9"/>
      <c r="C540" s="8"/>
      <c r="D540" s="10" t="str">
        <f ca="1">IFERROR(_xludf.XLOOKUP(C540,STUDENTS!$A$5:$A$204,STUDENTS!$C$5:$C$204,""),"")</f>
        <v/>
      </c>
      <c r="E540" s="10" t="str">
        <f ca="1">IFERROR(_xludf.XLOOKUP(C540,STUDENTS!$A$5:$A$204,STUDENTS!$L$5:$L$204,""),"")</f>
        <v/>
      </c>
      <c r="F540" s="8"/>
      <c r="G540" s="10" t="str">
        <f>SETTINGS!$B$8</f>
        <v>2026/2027</v>
      </c>
      <c r="H540" s="10">
        <f t="shared" si="33"/>
        <v>0</v>
      </c>
      <c r="I540" s="10">
        <f t="shared" si="34"/>
        <v>0</v>
      </c>
      <c r="J540" s="13" t="str">
        <f t="shared" si="35"/>
        <v/>
      </c>
    </row>
    <row r="541" spans="1:10" x14ac:dyDescent="0.2">
      <c r="A541" s="10" t="str">
        <f t="shared" si="32"/>
        <v/>
      </c>
      <c r="B541" s="9"/>
      <c r="C541" s="8"/>
      <c r="D541" s="10" t="str">
        <f ca="1">IFERROR(_xludf.XLOOKUP(C541,STUDENTS!$A$5:$A$204,STUDENTS!$C$5:$C$204,""),"")</f>
        <v/>
      </c>
      <c r="E541" s="10" t="str">
        <f ca="1">IFERROR(_xludf.XLOOKUP(C541,STUDENTS!$A$5:$A$204,STUDENTS!$L$5:$L$204,""),"")</f>
        <v/>
      </c>
      <c r="F541" s="8"/>
      <c r="G541" s="10" t="str">
        <f>SETTINGS!$B$8</f>
        <v>2026/2027</v>
      </c>
      <c r="H541" s="10">
        <f t="shared" si="33"/>
        <v>0</v>
      </c>
      <c r="I541" s="10">
        <f t="shared" si="34"/>
        <v>0</v>
      </c>
      <c r="J541" s="13" t="str">
        <f t="shared" si="35"/>
        <v/>
      </c>
    </row>
    <row r="542" spans="1:10" x14ac:dyDescent="0.2">
      <c r="A542" s="10" t="str">
        <f t="shared" si="32"/>
        <v/>
      </c>
      <c r="B542" s="9"/>
      <c r="C542" s="8"/>
      <c r="D542" s="10" t="str">
        <f ca="1">IFERROR(_xludf.XLOOKUP(C542,STUDENTS!$A$5:$A$204,STUDENTS!$C$5:$C$204,""),"")</f>
        <v/>
      </c>
      <c r="E542" s="10" t="str">
        <f ca="1">IFERROR(_xludf.XLOOKUP(C542,STUDENTS!$A$5:$A$204,STUDENTS!$L$5:$L$204,""),"")</f>
        <v/>
      </c>
      <c r="F542" s="8"/>
      <c r="G542" s="10" t="str">
        <f>SETTINGS!$B$8</f>
        <v>2026/2027</v>
      </c>
      <c r="H542" s="10">
        <f t="shared" si="33"/>
        <v>0</v>
      </c>
      <c r="I542" s="10">
        <f t="shared" si="34"/>
        <v>0</v>
      </c>
      <c r="J542" s="13" t="str">
        <f t="shared" si="35"/>
        <v/>
      </c>
    </row>
    <row r="543" spans="1:10" x14ac:dyDescent="0.2">
      <c r="A543" s="10" t="str">
        <f t="shared" si="32"/>
        <v/>
      </c>
      <c r="B543" s="9"/>
      <c r="C543" s="8"/>
      <c r="D543" s="10" t="str">
        <f ca="1">IFERROR(_xludf.XLOOKUP(C543,STUDENTS!$A$5:$A$204,STUDENTS!$C$5:$C$204,""),"")</f>
        <v/>
      </c>
      <c r="E543" s="10" t="str">
        <f ca="1">IFERROR(_xludf.XLOOKUP(C543,STUDENTS!$A$5:$A$204,STUDENTS!$L$5:$L$204,""),"")</f>
        <v/>
      </c>
      <c r="F543" s="8"/>
      <c r="G543" s="10" t="str">
        <f>SETTINGS!$B$8</f>
        <v>2026/2027</v>
      </c>
      <c r="H543" s="10">
        <f t="shared" si="33"/>
        <v>0</v>
      </c>
      <c r="I543" s="10">
        <f t="shared" si="34"/>
        <v>0</v>
      </c>
      <c r="J543" s="13" t="str">
        <f t="shared" si="35"/>
        <v/>
      </c>
    </row>
    <row r="544" spans="1:10" x14ac:dyDescent="0.2">
      <c r="A544" s="10" t="str">
        <f t="shared" si="32"/>
        <v/>
      </c>
      <c r="B544" s="9"/>
      <c r="C544" s="8"/>
      <c r="D544" s="10" t="str">
        <f ca="1">IFERROR(_xludf.XLOOKUP(C544,STUDENTS!$A$5:$A$204,STUDENTS!$C$5:$C$204,""),"")</f>
        <v/>
      </c>
      <c r="E544" s="10" t="str">
        <f ca="1">IFERROR(_xludf.XLOOKUP(C544,STUDENTS!$A$5:$A$204,STUDENTS!$L$5:$L$204,""),"")</f>
        <v/>
      </c>
      <c r="F544" s="8"/>
      <c r="G544" s="10" t="str">
        <f>SETTINGS!$B$8</f>
        <v>2026/2027</v>
      </c>
      <c r="H544" s="10">
        <f t="shared" si="33"/>
        <v>0</v>
      </c>
      <c r="I544" s="10">
        <f t="shared" si="34"/>
        <v>0</v>
      </c>
      <c r="J544" s="13" t="str">
        <f t="shared" si="35"/>
        <v/>
      </c>
    </row>
    <row r="545" spans="1:10" x14ac:dyDescent="0.2">
      <c r="A545" s="10" t="str">
        <f t="shared" si="32"/>
        <v/>
      </c>
      <c r="B545" s="9"/>
      <c r="C545" s="8"/>
      <c r="D545" s="10" t="str">
        <f ca="1">IFERROR(_xludf.XLOOKUP(C545,STUDENTS!$A$5:$A$204,STUDENTS!$C$5:$C$204,""),"")</f>
        <v/>
      </c>
      <c r="E545" s="10" t="str">
        <f ca="1">IFERROR(_xludf.XLOOKUP(C545,STUDENTS!$A$5:$A$204,STUDENTS!$L$5:$L$204,""),"")</f>
        <v/>
      </c>
      <c r="F545" s="8"/>
      <c r="G545" s="10" t="str">
        <f>SETTINGS!$B$8</f>
        <v>2026/2027</v>
      </c>
      <c r="H545" s="10">
        <f t="shared" si="33"/>
        <v>0</v>
      </c>
      <c r="I545" s="10">
        <f t="shared" si="34"/>
        <v>0</v>
      </c>
      <c r="J545" s="13" t="str">
        <f t="shared" si="35"/>
        <v/>
      </c>
    </row>
    <row r="546" spans="1:10" x14ac:dyDescent="0.2">
      <c r="A546" s="10" t="str">
        <f t="shared" si="32"/>
        <v/>
      </c>
      <c r="B546" s="9"/>
      <c r="C546" s="8"/>
      <c r="D546" s="10" t="str">
        <f ca="1">IFERROR(_xludf.XLOOKUP(C546,STUDENTS!$A$5:$A$204,STUDENTS!$C$5:$C$204,""),"")</f>
        <v/>
      </c>
      <c r="E546" s="10" t="str">
        <f ca="1">IFERROR(_xludf.XLOOKUP(C546,STUDENTS!$A$5:$A$204,STUDENTS!$L$5:$L$204,""),"")</f>
        <v/>
      </c>
      <c r="F546" s="8"/>
      <c r="G546" s="10" t="str">
        <f>SETTINGS!$B$8</f>
        <v>2026/2027</v>
      </c>
      <c r="H546" s="10">
        <f t="shared" si="33"/>
        <v>0</v>
      </c>
      <c r="I546" s="10">
        <f t="shared" si="34"/>
        <v>0</v>
      </c>
      <c r="J546" s="13" t="str">
        <f t="shared" si="35"/>
        <v/>
      </c>
    </row>
    <row r="547" spans="1:10" x14ac:dyDescent="0.2">
      <c r="A547" s="10" t="str">
        <f t="shared" si="32"/>
        <v/>
      </c>
      <c r="B547" s="9"/>
      <c r="C547" s="8"/>
      <c r="D547" s="10" t="str">
        <f ca="1">IFERROR(_xludf.XLOOKUP(C547,STUDENTS!$A$5:$A$204,STUDENTS!$C$5:$C$204,""),"")</f>
        <v/>
      </c>
      <c r="E547" s="10" t="str">
        <f ca="1">IFERROR(_xludf.XLOOKUP(C547,STUDENTS!$A$5:$A$204,STUDENTS!$L$5:$L$204,""),"")</f>
        <v/>
      </c>
      <c r="F547" s="8"/>
      <c r="G547" s="10" t="str">
        <f>SETTINGS!$B$8</f>
        <v>2026/2027</v>
      </c>
      <c r="H547" s="10">
        <f t="shared" si="33"/>
        <v>0</v>
      </c>
      <c r="I547" s="10">
        <f t="shared" si="34"/>
        <v>0</v>
      </c>
      <c r="J547" s="13" t="str">
        <f t="shared" si="35"/>
        <v/>
      </c>
    </row>
    <row r="548" spans="1:10" x14ac:dyDescent="0.2">
      <c r="A548" s="10" t="str">
        <f t="shared" si="32"/>
        <v/>
      </c>
      <c r="B548" s="9"/>
      <c r="C548" s="8"/>
      <c r="D548" s="10" t="str">
        <f ca="1">IFERROR(_xludf.XLOOKUP(C548,STUDENTS!$A$5:$A$204,STUDENTS!$C$5:$C$204,""),"")</f>
        <v/>
      </c>
      <c r="E548" s="10" t="str">
        <f ca="1">IFERROR(_xludf.XLOOKUP(C548,STUDENTS!$A$5:$A$204,STUDENTS!$L$5:$L$204,""),"")</f>
        <v/>
      </c>
      <c r="F548" s="8"/>
      <c r="G548" s="10" t="str">
        <f>SETTINGS!$B$8</f>
        <v>2026/2027</v>
      </c>
      <c r="H548" s="10">
        <f t="shared" si="33"/>
        <v>0</v>
      </c>
      <c r="I548" s="10">
        <f t="shared" si="34"/>
        <v>0</v>
      </c>
      <c r="J548" s="13" t="str">
        <f t="shared" si="35"/>
        <v/>
      </c>
    </row>
    <row r="549" spans="1:10" x14ac:dyDescent="0.2">
      <c r="A549" s="10" t="str">
        <f t="shared" si="32"/>
        <v/>
      </c>
      <c r="B549" s="9"/>
      <c r="C549" s="8"/>
      <c r="D549" s="10" t="str">
        <f ca="1">IFERROR(_xludf.XLOOKUP(C549,STUDENTS!$A$5:$A$204,STUDENTS!$C$5:$C$204,""),"")</f>
        <v/>
      </c>
      <c r="E549" s="10" t="str">
        <f ca="1">IFERROR(_xludf.XLOOKUP(C549,STUDENTS!$A$5:$A$204,STUDENTS!$L$5:$L$204,""),"")</f>
        <v/>
      </c>
      <c r="F549" s="8"/>
      <c r="G549" s="10" t="str">
        <f>SETTINGS!$B$8</f>
        <v>2026/2027</v>
      </c>
      <c r="H549" s="10">
        <f t="shared" si="33"/>
        <v>0</v>
      </c>
      <c r="I549" s="10">
        <f t="shared" si="34"/>
        <v>0</v>
      </c>
      <c r="J549" s="13" t="str">
        <f t="shared" si="35"/>
        <v/>
      </c>
    </row>
    <row r="550" spans="1:10" x14ac:dyDescent="0.2">
      <c r="A550" s="10" t="str">
        <f t="shared" si="32"/>
        <v/>
      </c>
      <c r="B550" s="9"/>
      <c r="C550" s="8"/>
      <c r="D550" s="10" t="str">
        <f ca="1">IFERROR(_xludf.XLOOKUP(C550,STUDENTS!$A$5:$A$204,STUDENTS!$C$5:$C$204,""),"")</f>
        <v/>
      </c>
      <c r="E550" s="10" t="str">
        <f ca="1">IFERROR(_xludf.XLOOKUP(C550,STUDENTS!$A$5:$A$204,STUDENTS!$L$5:$L$204,""),"")</f>
        <v/>
      </c>
      <c r="F550" s="8"/>
      <c r="G550" s="10" t="str">
        <f>SETTINGS!$B$8</f>
        <v>2026/2027</v>
      </c>
      <c r="H550" s="10">
        <f t="shared" si="33"/>
        <v>0</v>
      </c>
      <c r="I550" s="10">
        <f t="shared" si="34"/>
        <v>0</v>
      </c>
      <c r="J550" s="13" t="str">
        <f t="shared" si="35"/>
        <v/>
      </c>
    </row>
    <row r="551" spans="1:10" x14ac:dyDescent="0.2">
      <c r="A551" s="10" t="str">
        <f t="shared" si="32"/>
        <v/>
      </c>
      <c r="B551" s="9"/>
      <c r="C551" s="8"/>
      <c r="D551" s="10" t="str">
        <f ca="1">IFERROR(_xludf.XLOOKUP(C551,STUDENTS!$A$5:$A$204,STUDENTS!$C$5:$C$204,""),"")</f>
        <v/>
      </c>
      <c r="E551" s="10" t="str">
        <f ca="1">IFERROR(_xludf.XLOOKUP(C551,STUDENTS!$A$5:$A$204,STUDENTS!$L$5:$L$204,""),"")</f>
        <v/>
      </c>
      <c r="F551" s="8"/>
      <c r="G551" s="10" t="str">
        <f>SETTINGS!$B$8</f>
        <v>2026/2027</v>
      </c>
      <c r="H551" s="10">
        <f t="shared" si="33"/>
        <v>0</v>
      </c>
      <c r="I551" s="10">
        <f t="shared" si="34"/>
        <v>0</v>
      </c>
      <c r="J551" s="13" t="str">
        <f t="shared" si="35"/>
        <v/>
      </c>
    </row>
    <row r="552" spans="1:10" x14ac:dyDescent="0.2">
      <c r="A552" s="10" t="str">
        <f t="shared" si="32"/>
        <v/>
      </c>
      <c r="B552" s="9"/>
      <c r="C552" s="8"/>
      <c r="D552" s="10" t="str">
        <f ca="1">IFERROR(_xludf.XLOOKUP(C552,STUDENTS!$A$5:$A$204,STUDENTS!$C$5:$C$204,""),"")</f>
        <v/>
      </c>
      <c r="E552" s="10" t="str">
        <f ca="1">IFERROR(_xludf.XLOOKUP(C552,STUDENTS!$A$5:$A$204,STUDENTS!$L$5:$L$204,""),"")</f>
        <v/>
      </c>
      <c r="F552" s="8"/>
      <c r="G552" s="10" t="str">
        <f>SETTINGS!$B$8</f>
        <v>2026/2027</v>
      </c>
      <c r="H552" s="10">
        <f t="shared" si="33"/>
        <v>0</v>
      </c>
      <c r="I552" s="10">
        <f t="shared" si="34"/>
        <v>0</v>
      </c>
      <c r="J552" s="13" t="str">
        <f t="shared" si="35"/>
        <v/>
      </c>
    </row>
    <row r="553" spans="1:10" x14ac:dyDescent="0.2">
      <c r="A553" s="10" t="str">
        <f t="shared" si="32"/>
        <v/>
      </c>
      <c r="B553" s="9"/>
      <c r="C553" s="8"/>
      <c r="D553" s="10" t="str">
        <f ca="1">IFERROR(_xludf.XLOOKUP(C553,STUDENTS!$A$5:$A$204,STUDENTS!$C$5:$C$204,""),"")</f>
        <v/>
      </c>
      <c r="E553" s="10" t="str">
        <f ca="1">IFERROR(_xludf.XLOOKUP(C553,STUDENTS!$A$5:$A$204,STUDENTS!$L$5:$L$204,""),"")</f>
        <v/>
      </c>
      <c r="F553" s="8"/>
      <c r="G553" s="10" t="str">
        <f>SETTINGS!$B$8</f>
        <v>2026/2027</v>
      </c>
      <c r="H553" s="10">
        <f t="shared" si="33"/>
        <v>0</v>
      </c>
      <c r="I553" s="10">
        <f t="shared" si="34"/>
        <v>0</v>
      </c>
      <c r="J553" s="13" t="str">
        <f t="shared" si="35"/>
        <v/>
      </c>
    </row>
    <row r="554" spans="1:10" x14ac:dyDescent="0.2">
      <c r="A554" s="10" t="str">
        <f t="shared" si="32"/>
        <v/>
      </c>
      <c r="B554" s="9"/>
      <c r="C554" s="8"/>
      <c r="D554" s="10" t="str">
        <f ca="1">IFERROR(_xludf.XLOOKUP(C554,STUDENTS!$A$5:$A$204,STUDENTS!$C$5:$C$204,""),"")</f>
        <v/>
      </c>
      <c r="E554" s="10" t="str">
        <f ca="1">IFERROR(_xludf.XLOOKUP(C554,STUDENTS!$A$5:$A$204,STUDENTS!$L$5:$L$204,""),"")</f>
        <v/>
      </c>
      <c r="F554" s="8"/>
      <c r="G554" s="10" t="str">
        <f>SETTINGS!$B$8</f>
        <v>2026/2027</v>
      </c>
      <c r="H554" s="10">
        <f t="shared" si="33"/>
        <v>0</v>
      </c>
      <c r="I554" s="10">
        <f t="shared" si="34"/>
        <v>0</v>
      </c>
      <c r="J554" s="13" t="str">
        <f t="shared" si="35"/>
        <v/>
      </c>
    </row>
    <row r="555" spans="1:10" x14ac:dyDescent="0.2">
      <c r="A555" s="10" t="str">
        <f t="shared" si="32"/>
        <v/>
      </c>
      <c r="B555" s="9"/>
      <c r="C555" s="8"/>
      <c r="D555" s="10" t="str">
        <f ca="1">IFERROR(_xludf.XLOOKUP(C555,STUDENTS!$A$5:$A$204,STUDENTS!$C$5:$C$204,""),"")</f>
        <v/>
      </c>
      <c r="E555" s="10" t="str">
        <f ca="1">IFERROR(_xludf.XLOOKUP(C555,STUDENTS!$A$5:$A$204,STUDENTS!$L$5:$L$204,""),"")</f>
        <v/>
      </c>
      <c r="F555" s="8"/>
      <c r="G555" s="10" t="str">
        <f>SETTINGS!$B$8</f>
        <v>2026/2027</v>
      </c>
      <c r="H555" s="10">
        <f t="shared" si="33"/>
        <v>0</v>
      </c>
      <c r="I555" s="10">
        <f t="shared" si="34"/>
        <v>0</v>
      </c>
      <c r="J555" s="13" t="str">
        <f t="shared" si="35"/>
        <v/>
      </c>
    </row>
    <row r="556" spans="1:10" x14ac:dyDescent="0.2">
      <c r="A556" s="10" t="str">
        <f t="shared" si="32"/>
        <v/>
      </c>
      <c r="B556" s="9"/>
      <c r="C556" s="8"/>
      <c r="D556" s="10" t="str">
        <f ca="1">IFERROR(_xludf.XLOOKUP(C556,STUDENTS!$A$5:$A$204,STUDENTS!$C$5:$C$204,""),"")</f>
        <v/>
      </c>
      <c r="E556" s="10" t="str">
        <f ca="1">IFERROR(_xludf.XLOOKUP(C556,STUDENTS!$A$5:$A$204,STUDENTS!$L$5:$L$204,""),"")</f>
        <v/>
      </c>
      <c r="F556" s="8"/>
      <c r="G556" s="10" t="str">
        <f>SETTINGS!$B$8</f>
        <v>2026/2027</v>
      </c>
      <c r="H556" s="10">
        <f t="shared" si="33"/>
        <v>0</v>
      </c>
      <c r="I556" s="10">
        <f t="shared" si="34"/>
        <v>0</v>
      </c>
      <c r="J556" s="13" t="str">
        <f t="shared" si="35"/>
        <v/>
      </c>
    </row>
    <row r="557" spans="1:10" x14ac:dyDescent="0.2">
      <c r="A557" s="10" t="str">
        <f t="shared" si="32"/>
        <v/>
      </c>
      <c r="B557" s="9"/>
      <c r="C557" s="8"/>
      <c r="D557" s="10" t="str">
        <f ca="1">IFERROR(_xludf.XLOOKUP(C557,STUDENTS!$A$5:$A$204,STUDENTS!$C$5:$C$204,""),"")</f>
        <v/>
      </c>
      <c r="E557" s="10" t="str">
        <f ca="1">IFERROR(_xludf.XLOOKUP(C557,STUDENTS!$A$5:$A$204,STUDENTS!$L$5:$L$204,""),"")</f>
        <v/>
      </c>
      <c r="F557" s="8"/>
      <c r="G557" s="10" t="str">
        <f>SETTINGS!$B$8</f>
        <v>2026/2027</v>
      </c>
      <c r="H557" s="10">
        <f t="shared" si="33"/>
        <v>0</v>
      </c>
      <c r="I557" s="10">
        <f t="shared" si="34"/>
        <v>0</v>
      </c>
      <c r="J557" s="13" t="str">
        <f t="shared" si="35"/>
        <v/>
      </c>
    </row>
    <row r="558" spans="1:10" x14ac:dyDescent="0.2">
      <c r="A558" s="10" t="str">
        <f t="shared" si="32"/>
        <v/>
      </c>
      <c r="B558" s="9"/>
      <c r="C558" s="8"/>
      <c r="D558" s="10" t="str">
        <f ca="1">IFERROR(_xludf.XLOOKUP(C558,STUDENTS!$A$5:$A$204,STUDENTS!$C$5:$C$204,""),"")</f>
        <v/>
      </c>
      <c r="E558" s="10" t="str">
        <f ca="1">IFERROR(_xludf.XLOOKUP(C558,STUDENTS!$A$5:$A$204,STUDENTS!$L$5:$L$204,""),"")</f>
        <v/>
      </c>
      <c r="F558" s="8"/>
      <c r="G558" s="10" t="str">
        <f>SETTINGS!$B$8</f>
        <v>2026/2027</v>
      </c>
      <c r="H558" s="10">
        <f t="shared" si="33"/>
        <v>0</v>
      </c>
      <c r="I558" s="10">
        <f t="shared" si="34"/>
        <v>0</v>
      </c>
      <c r="J558" s="13" t="str">
        <f t="shared" si="35"/>
        <v/>
      </c>
    </row>
    <row r="559" spans="1:10" x14ac:dyDescent="0.2">
      <c r="A559" s="10" t="str">
        <f t="shared" si="32"/>
        <v/>
      </c>
      <c r="B559" s="9"/>
      <c r="C559" s="8"/>
      <c r="D559" s="10" t="str">
        <f ca="1">IFERROR(_xludf.XLOOKUP(C559,STUDENTS!$A$5:$A$204,STUDENTS!$C$5:$C$204,""),"")</f>
        <v/>
      </c>
      <c r="E559" s="10" t="str">
        <f ca="1">IFERROR(_xludf.XLOOKUP(C559,STUDENTS!$A$5:$A$204,STUDENTS!$L$5:$L$204,""),"")</f>
        <v/>
      </c>
      <c r="F559" s="8"/>
      <c r="G559" s="10" t="str">
        <f>SETTINGS!$B$8</f>
        <v>2026/2027</v>
      </c>
      <c r="H559" s="10">
        <f t="shared" si="33"/>
        <v>0</v>
      </c>
      <c r="I559" s="10">
        <f t="shared" si="34"/>
        <v>0</v>
      </c>
      <c r="J559" s="13" t="str">
        <f t="shared" si="35"/>
        <v/>
      </c>
    </row>
    <row r="560" spans="1:10" x14ac:dyDescent="0.2">
      <c r="A560" s="10" t="str">
        <f t="shared" si="32"/>
        <v/>
      </c>
      <c r="B560" s="9"/>
      <c r="C560" s="8"/>
      <c r="D560" s="10" t="str">
        <f ca="1">IFERROR(_xludf.XLOOKUP(C560,STUDENTS!$A$5:$A$204,STUDENTS!$C$5:$C$204,""),"")</f>
        <v/>
      </c>
      <c r="E560" s="10" t="str">
        <f ca="1">IFERROR(_xludf.XLOOKUP(C560,STUDENTS!$A$5:$A$204,STUDENTS!$L$5:$L$204,""),"")</f>
        <v/>
      </c>
      <c r="F560" s="8"/>
      <c r="G560" s="10" t="str">
        <f>SETTINGS!$B$8</f>
        <v>2026/2027</v>
      </c>
      <c r="H560" s="10">
        <f t="shared" si="33"/>
        <v>0</v>
      </c>
      <c r="I560" s="10">
        <f t="shared" si="34"/>
        <v>0</v>
      </c>
      <c r="J560" s="13" t="str">
        <f t="shared" si="35"/>
        <v/>
      </c>
    </row>
    <row r="561" spans="1:10" x14ac:dyDescent="0.2">
      <c r="A561" s="10" t="str">
        <f t="shared" si="32"/>
        <v/>
      </c>
      <c r="B561" s="9"/>
      <c r="C561" s="8"/>
      <c r="D561" s="10" t="str">
        <f ca="1">IFERROR(_xludf.XLOOKUP(C561,STUDENTS!$A$5:$A$204,STUDENTS!$C$5:$C$204,""),"")</f>
        <v/>
      </c>
      <c r="E561" s="10" t="str">
        <f ca="1">IFERROR(_xludf.XLOOKUP(C561,STUDENTS!$A$5:$A$204,STUDENTS!$L$5:$L$204,""),"")</f>
        <v/>
      </c>
      <c r="F561" s="8"/>
      <c r="G561" s="10" t="str">
        <f>SETTINGS!$B$8</f>
        <v>2026/2027</v>
      </c>
      <c r="H561" s="10">
        <f t="shared" si="33"/>
        <v>0</v>
      </c>
      <c r="I561" s="10">
        <f t="shared" si="34"/>
        <v>0</v>
      </c>
      <c r="J561" s="13" t="str">
        <f t="shared" si="35"/>
        <v/>
      </c>
    </row>
    <row r="562" spans="1:10" x14ac:dyDescent="0.2">
      <c r="A562" s="10" t="str">
        <f t="shared" si="32"/>
        <v/>
      </c>
      <c r="B562" s="9"/>
      <c r="C562" s="8"/>
      <c r="D562" s="10" t="str">
        <f ca="1">IFERROR(_xludf.XLOOKUP(C562,STUDENTS!$A$5:$A$204,STUDENTS!$C$5:$C$204,""),"")</f>
        <v/>
      </c>
      <c r="E562" s="10" t="str">
        <f ca="1">IFERROR(_xludf.XLOOKUP(C562,STUDENTS!$A$5:$A$204,STUDENTS!$L$5:$L$204,""),"")</f>
        <v/>
      </c>
      <c r="F562" s="8"/>
      <c r="G562" s="10" t="str">
        <f>SETTINGS!$B$8</f>
        <v>2026/2027</v>
      </c>
      <c r="H562" s="10">
        <f t="shared" si="33"/>
        <v>0</v>
      </c>
      <c r="I562" s="10">
        <f t="shared" si="34"/>
        <v>0</v>
      </c>
      <c r="J562" s="13" t="str">
        <f t="shared" si="35"/>
        <v/>
      </c>
    </row>
    <row r="563" spans="1:10" x14ac:dyDescent="0.2">
      <c r="A563" s="10" t="str">
        <f t="shared" si="32"/>
        <v/>
      </c>
      <c r="B563" s="9"/>
      <c r="C563" s="8"/>
      <c r="D563" s="10" t="str">
        <f ca="1">IFERROR(_xludf.XLOOKUP(C563,STUDENTS!$A$5:$A$204,STUDENTS!$C$5:$C$204,""),"")</f>
        <v/>
      </c>
      <c r="E563" s="10" t="str">
        <f ca="1">IFERROR(_xludf.XLOOKUP(C563,STUDENTS!$A$5:$A$204,STUDENTS!$L$5:$L$204,""),"")</f>
        <v/>
      </c>
      <c r="F563" s="8"/>
      <c r="G563" s="10" t="str">
        <f>SETTINGS!$B$8</f>
        <v>2026/2027</v>
      </c>
      <c r="H563" s="10">
        <f t="shared" si="33"/>
        <v>0</v>
      </c>
      <c r="I563" s="10">
        <f t="shared" si="34"/>
        <v>0</v>
      </c>
      <c r="J563" s="13" t="str">
        <f t="shared" si="35"/>
        <v/>
      </c>
    </row>
    <row r="564" spans="1:10" x14ac:dyDescent="0.2">
      <c r="A564" s="10" t="str">
        <f t="shared" si="32"/>
        <v/>
      </c>
      <c r="B564" s="9"/>
      <c r="C564" s="8"/>
      <c r="D564" s="10" t="str">
        <f ca="1">IFERROR(_xludf.XLOOKUP(C564,STUDENTS!$A$5:$A$204,STUDENTS!$C$5:$C$204,""),"")</f>
        <v/>
      </c>
      <c r="E564" s="10" t="str">
        <f ca="1">IFERROR(_xludf.XLOOKUP(C564,STUDENTS!$A$5:$A$204,STUDENTS!$L$5:$L$204,""),"")</f>
        <v/>
      </c>
      <c r="F564" s="8"/>
      <c r="G564" s="10" t="str">
        <f>SETTINGS!$B$8</f>
        <v>2026/2027</v>
      </c>
      <c r="H564" s="10">
        <f t="shared" si="33"/>
        <v>0</v>
      </c>
      <c r="I564" s="10">
        <f t="shared" si="34"/>
        <v>0</v>
      </c>
      <c r="J564" s="13" t="str">
        <f t="shared" si="35"/>
        <v/>
      </c>
    </row>
    <row r="565" spans="1:10" x14ac:dyDescent="0.2">
      <c r="A565" s="10" t="str">
        <f t="shared" si="32"/>
        <v/>
      </c>
      <c r="B565" s="9"/>
      <c r="C565" s="8"/>
      <c r="D565" s="10" t="str">
        <f ca="1">IFERROR(_xludf.XLOOKUP(C565,STUDENTS!$A$5:$A$204,STUDENTS!$C$5:$C$204,""),"")</f>
        <v/>
      </c>
      <c r="E565" s="10" t="str">
        <f ca="1">IFERROR(_xludf.XLOOKUP(C565,STUDENTS!$A$5:$A$204,STUDENTS!$L$5:$L$204,""),"")</f>
        <v/>
      </c>
      <c r="F565" s="8"/>
      <c r="G565" s="10" t="str">
        <f>SETTINGS!$B$8</f>
        <v>2026/2027</v>
      </c>
      <c r="H565" s="10">
        <f t="shared" si="33"/>
        <v>0</v>
      </c>
      <c r="I565" s="10">
        <f t="shared" si="34"/>
        <v>0</v>
      </c>
      <c r="J565" s="13" t="str">
        <f t="shared" si="35"/>
        <v/>
      </c>
    </row>
    <row r="566" spans="1:10" x14ac:dyDescent="0.2">
      <c r="A566" s="10" t="str">
        <f t="shared" si="32"/>
        <v/>
      </c>
      <c r="B566" s="9"/>
      <c r="C566" s="8"/>
      <c r="D566" s="10" t="str">
        <f ca="1">IFERROR(_xludf.XLOOKUP(C566,STUDENTS!$A$5:$A$204,STUDENTS!$C$5:$C$204,""),"")</f>
        <v/>
      </c>
      <c r="E566" s="10" t="str">
        <f ca="1">IFERROR(_xludf.XLOOKUP(C566,STUDENTS!$A$5:$A$204,STUDENTS!$L$5:$L$204,""),"")</f>
        <v/>
      </c>
      <c r="F566" s="8"/>
      <c r="G566" s="10" t="str">
        <f>SETTINGS!$B$8</f>
        <v>2026/2027</v>
      </c>
      <c r="H566" s="10">
        <f t="shared" si="33"/>
        <v>0</v>
      </c>
      <c r="I566" s="10">
        <f t="shared" si="34"/>
        <v>0</v>
      </c>
      <c r="J566" s="13" t="str">
        <f t="shared" si="35"/>
        <v/>
      </c>
    </row>
    <row r="567" spans="1:10" x14ac:dyDescent="0.2">
      <c r="A567" s="10" t="str">
        <f t="shared" si="32"/>
        <v/>
      </c>
      <c r="B567" s="9"/>
      <c r="C567" s="8"/>
      <c r="D567" s="10" t="str">
        <f ca="1">IFERROR(_xludf.XLOOKUP(C567,STUDENTS!$A$5:$A$204,STUDENTS!$C$5:$C$204,""),"")</f>
        <v/>
      </c>
      <c r="E567" s="10" t="str">
        <f ca="1">IFERROR(_xludf.XLOOKUP(C567,STUDENTS!$A$5:$A$204,STUDENTS!$L$5:$L$204,""),"")</f>
        <v/>
      </c>
      <c r="F567" s="8"/>
      <c r="G567" s="10" t="str">
        <f>SETTINGS!$B$8</f>
        <v>2026/2027</v>
      </c>
      <c r="H567" s="10">
        <f t="shared" si="33"/>
        <v>0</v>
      </c>
      <c r="I567" s="10">
        <f t="shared" si="34"/>
        <v>0</v>
      </c>
      <c r="J567" s="13" t="str">
        <f t="shared" si="35"/>
        <v/>
      </c>
    </row>
    <row r="568" spans="1:10" x14ac:dyDescent="0.2">
      <c r="A568" s="10" t="str">
        <f t="shared" si="32"/>
        <v/>
      </c>
      <c r="B568" s="9"/>
      <c r="C568" s="8"/>
      <c r="D568" s="10" t="str">
        <f ca="1">IFERROR(_xludf.XLOOKUP(C568,STUDENTS!$A$5:$A$204,STUDENTS!$C$5:$C$204,""),"")</f>
        <v/>
      </c>
      <c r="E568" s="10" t="str">
        <f ca="1">IFERROR(_xludf.XLOOKUP(C568,STUDENTS!$A$5:$A$204,STUDENTS!$L$5:$L$204,""),"")</f>
        <v/>
      </c>
      <c r="F568" s="8"/>
      <c r="G568" s="10" t="str">
        <f>SETTINGS!$B$8</f>
        <v>2026/2027</v>
      </c>
      <c r="H568" s="10">
        <f t="shared" si="33"/>
        <v>0</v>
      </c>
      <c r="I568" s="10">
        <f t="shared" si="34"/>
        <v>0</v>
      </c>
      <c r="J568" s="13" t="str">
        <f t="shared" si="35"/>
        <v/>
      </c>
    </row>
    <row r="569" spans="1:10" x14ac:dyDescent="0.2">
      <c r="A569" s="10" t="str">
        <f t="shared" si="32"/>
        <v/>
      </c>
      <c r="B569" s="9"/>
      <c r="C569" s="8"/>
      <c r="D569" s="10" t="str">
        <f ca="1">IFERROR(_xludf.XLOOKUP(C569,STUDENTS!$A$5:$A$204,STUDENTS!$C$5:$C$204,""),"")</f>
        <v/>
      </c>
      <c r="E569" s="10" t="str">
        <f ca="1">IFERROR(_xludf.XLOOKUP(C569,STUDENTS!$A$5:$A$204,STUDENTS!$L$5:$L$204,""),"")</f>
        <v/>
      </c>
      <c r="F569" s="8"/>
      <c r="G569" s="10" t="str">
        <f>SETTINGS!$B$8</f>
        <v>2026/2027</v>
      </c>
      <c r="H569" s="10">
        <f t="shared" si="33"/>
        <v>0</v>
      </c>
      <c r="I569" s="10">
        <f t="shared" si="34"/>
        <v>0</v>
      </c>
      <c r="J569" s="13" t="str">
        <f t="shared" si="35"/>
        <v/>
      </c>
    </row>
    <row r="570" spans="1:10" x14ac:dyDescent="0.2">
      <c r="A570" s="10" t="str">
        <f t="shared" si="32"/>
        <v/>
      </c>
      <c r="B570" s="9"/>
      <c r="C570" s="8"/>
      <c r="D570" s="10" t="str">
        <f ca="1">IFERROR(_xludf.XLOOKUP(C570,STUDENTS!$A$5:$A$204,STUDENTS!$C$5:$C$204,""),"")</f>
        <v/>
      </c>
      <c r="E570" s="10" t="str">
        <f ca="1">IFERROR(_xludf.XLOOKUP(C570,STUDENTS!$A$5:$A$204,STUDENTS!$L$5:$L$204,""),"")</f>
        <v/>
      </c>
      <c r="F570" s="8"/>
      <c r="G570" s="10" t="str">
        <f>SETTINGS!$B$8</f>
        <v>2026/2027</v>
      </c>
      <c r="H570" s="10">
        <f t="shared" si="33"/>
        <v>0</v>
      </c>
      <c r="I570" s="10">
        <f t="shared" si="34"/>
        <v>0</v>
      </c>
      <c r="J570" s="13" t="str">
        <f t="shared" si="35"/>
        <v/>
      </c>
    </row>
    <row r="571" spans="1:10" x14ac:dyDescent="0.2">
      <c r="A571" s="10" t="str">
        <f t="shared" si="32"/>
        <v/>
      </c>
      <c r="B571" s="9"/>
      <c r="C571" s="8"/>
      <c r="D571" s="10" t="str">
        <f ca="1">IFERROR(_xludf.XLOOKUP(C571,STUDENTS!$A$5:$A$204,STUDENTS!$C$5:$C$204,""),"")</f>
        <v/>
      </c>
      <c r="E571" s="10" t="str">
        <f ca="1">IFERROR(_xludf.XLOOKUP(C571,STUDENTS!$A$5:$A$204,STUDENTS!$L$5:$L$204,""),"")</f>
        <v/>
      </c>
      <c r="F571" s="8"/>
      <c r="G571" s="10" t="str">
        <f>SETTINGS!$B$8</f>
        <v>2026/2027</v>
      </c>
      <c r="H571" s="10">
        <f t="shared" si="33"/>
        <v>0</v>
      </c>
      <c r="I571" s="10">
        <f t="shared" si="34"/>
        <v>0</v>
      </c>
      <c r="J571" s="13" t="str">
        <f t="shared" si="35"/>
        <v/>
      </c>
    </row>
    <row r="572" spans="1:10" x14ac:dyDescent="0.2">
      <c r="A572" s="10" t="str">
        <f t="shared" si="32"/>
        <v/>
      </c>
      <c r="B572" s="9"/>
      <c r="C572" s="8"/>
      <c r="D572" s="10" t="str">
        <f ca="1">IFERROR(_xludf.XLOOKUP(C572,STUDENTS!$A$5:$A$204,STUDENTS!$C$5:$C$204,""),"")</f>
        <v/>
      </c>
      <c r="E572" s="10" t="str">
        <f ca="1">IFERROR(_xludf.XLOOKUP(C572,STUDENTS!$A$5:$A$204,STUDENTS!$L$5:$L$204,""),"")</f>
        <v/>
      </c>
      <c r="F572" s="8"/>
      <c r="G572" s="10" t="str">
        <f>SETTINGS!$B$8</f>
        <v>2026/2027</v>
      </c>
      <c r="H572" s="10">
        <f t="shared" si="33"/>
        <v>0</v>
      </c>
      <c r="I572" s="10">
        <f t="shared" si="34"/>
        <v>0</v>
      </c>
      <c r="J572" s="13" t="str">
        <f t="shared" si="35"/>
        <v/>
      </c>
    </row>
    <row r="573" spans="1:10" x14ac:dyDescent="0.2">
      <c r="A573" s="10" t="str">
        <f t="shared" si="32"/>
        <v/>
      </c>
      <c r="B573" s="9"/>
      <c r="C573" s="8"/>
      <c r="D573" s="10" t="str">
        <f ca="1">IFERROR(_xludf.XLOOKUP(C573,STUDENTS!$A$5:$A$204,STUDENTS!$C$5:$C$204,""),"")</f>
        <v/>
      </c>
      <c r="E573" s="10" t="str">
        <f ca="1">IFERROR(_xludf.XLOOKUP(C573,STUDENTS!$A$5:$A$204,STUDENTS!$L$5:$L$204,""),"")</f>
        <v/>
      </c>
      <c r="F573" s="8"/>
      <c r="G573" s="10" t="str">
        <f>SETTINGS!$B$8</f>
        <v>2026/2027</v>
      </c>
      <c r="H573" s="10">
        <f t="shared" si="33"/>
        <v>0</v>
      </c>
      <c r="I573" s="10">
        <f t="shared" si="34"/>
        <v>0</v>
      </c>
      <c r="J573" s="13" t="str">
        <f t="shared" si="35"/>
        <v/>
      </c>
    </row>
    <row r="574" spans="1:10" x14ac:dyDescent="0.2">
      <c r="A574" s="10" t="str">
        <f t="shared" si="32"/>
        <v/>
      </c>
      <c r="B574" s="9"/>
      <c r="C574" s="8"/>
      <c r="D574" s="10" t="str">
        <f ca="1">IFERROR(_xludf.XLOOKUP(C574,STUDENTS!$A$5:$A$204,STUDENTS!$C$5:$C$204,""),"")</f>
        <v/>
      </c>
      <c r="E574" s="10" t="str">
        <f ca="1">IFERROR(_xludf.XLOOKUP(C574,STUDENTS!$A$5:$A$204,STUDENTS!$L$5:$L$204,""),"")</f>
        <v/>
      </c>
      <c r="F574" s="8"/>
      <c r="G574" s="10" t="str">
        <f>SETTINGS!$B$8</f>
        <v>2026/2027</v>
      </c>
      <c r="H574" s="10">
        <f t="shared" si="33"/>
        <v>0</v>
      </c>
      <c r="I574" s="10">
        <f t="shared" si="34"/>
        <v>0</v>
      </c>
      <c r="J574" s="13" t="str">
        <f t="shared" si="35"/>
        <v/>
      </c>
    </row>
    <row r="575" spans="1:10" x14ac:dyDescent="0.2">
      <c r="A575" s="10" t="str">
        <f t="shared" si="32"/>
        <v/>
      </c>
      <c r="B575" s="9"/>
      <c r="C575" s="8"/>
      <c r="D575" s="10" t="str">
        <f ca="1">IFERROR(_xludf.XLOOKUP(C575,STUDENTS!$A$5:$A$204,STUDENTS!$C$5:$C$204,""),"")</f>
        <v/>
      </c>
      <c r="E575" s="10" t="str">
        <f ca="1">IFERROR(_xludf.XLOOKUP(C575,STUDENTS!$A$5:$A$204,STUDENTS!$L$5:$L$204,""),"")</f>
        <v/>
      </c>
      <c r="F575" s="8"/>
      <c r="G575" s="10" t="str">
        <f>SETTINGS!$B$8</f>
        <v>2026/2027</v>
      </c>
      <c r="H575" s="10">
        <f t="shared" si="33"/>
        <v>0</v>
      </c>
      <c r="I575" s="10">
        <f t="shared" si="34"/>
        <v>0</v>
      </c>
      <c r="J575" s="13" t="str">
        <f t="shared" si="35"/>
        <v/>
      </c>
    </row>
    <row r="576" spans="1:10" x14ac:dyDescent="0.2">
      <c r="A576" s="10" t="str">
        <f t="shared" si="32"/>
        <v/>
      </c>
      <c r="B576" s="9"/>
      <c r="C576" s="8"/>
      <c r="D576" s="10" t="str">
        <f ca="1">IFERROR(_xludf.XLOOKUP(C576,STUDENTS!$A$5:$A$204,STUDENTS!$C$5:$C$204,""),"")</f>
        <v/>
      </c>
      <c r="E576" s="10" t="str">
        <f ca="1">IFERROR(_xludf.XLOOKUP(C576,STUDENTS!$A$5:$A$204,STUDENTS!$L$5:$L$204,""),"")</f>
        <v/>
      </c>
      <c r="F576" s="8"/>
      <c r="G576" s="10" t="str">
        <f>SETTINGS!$B$8</f>
        <v>2026/2027</v>
      </c>
      <c r="H576" s="10">
        <f t="shared" si="33"/>
        <v>0</v>
      </c>
      <c r="I576" s="10">
        <f t="shared" si="34"/>
        <v>0</v>
      </c>
      <c r="J576" s="13" t="str">
        <f t="shared" si="35"/>
        <v/>
      </c>
    </row>
    <row r="577" spans="1:10" x14ac:dyDescent="0.2">
      <c r="A577" s="10" t="str">
        <f t="shared" si="32"/>
        <v/>
      </c>
      <c r="B577" s="9"/>
      <c r="C577" s="8"/>
      <c r="D577" s="10" t="str">
        <f ca="1">IFERROR(_xludf.XLOOKUP(C577,STUDENTS!$A$5:$A$204,STUDENTS!$C$5:$C$204,""),"")</f>
        <v/>
      </c>
      <c r="E577" s="10" t="str">
        <f ca="1">IFERROR(_xludf.XLOOKUP(C577,STUDENTS!$A$5:$A$204,STUDENTS!$L$5:$L$204,""),"")</f>
        <v/>
      </c>
      <c r="F577" s="8"/>
      <c r="G577" s="10" t="str">
        <f>SETTINGS!$B$8</f>
        <v>2026/2027</v>
      </c>
      <c r="H577" s="10">
        <f t="shared" si="33"/>
        <v>0</v>
      </c>
      <c r="I577" s="10">
        <f t="shared" si="34"/>
        <v>0</v>
      </c>
      <c r="J577" s="13" t="str">
        <f t="shared" si="35"/>
        <v/>
      </c>
    </row>
    <row r="578" spans="1:10" x14ac:dyDescent="0.2">
      <c r="A578" s="10" t="str">
        <f t="shared" si="32"/>
        <v/>
      </c>
      <c r="B578" s="9"/>
      <c r="C578" s="8"/>
      <c r="D578" s="10" t="str">
        <f ca="1">IFERROR(_xludf.XLOOKUP(C578,STUDENTS!$A$5:$A$204,STUDENTS!$C$5:$C$204,""),"")</f>
        <v/>
      </c>
      <c r="E578" s="10" t="str">
        <f ca="1">IFERROR(_xludf.XLOOKUP(C578,STUDENTS!$A$5:$A$204,STUDENTS!$L$5:$L$204,""),"")</f>
        <v/>
      </c>
      <c r="F578" s="8"/>
      <c r="G578" s="10" t="str">
        <f>SETTINGS!$B$8</f>
        <v>2026/2027</v>
      </c>
      <c r="H578" s="10">
        <f t="shared" si="33"/>
        <v>0</v>
      </c>
      <c r="I578" s="10">
        <f t="shared" si="34"/>
        <v>0</v>
      </c>
      <c r="J578" s="13" t="str">
        <f t="shared" si="35"/>
        <v/>
      </c>
    </row>
    <row r="579" spans="1:10" x14ac:dyDescent="0.2">
      <c r="A579" s="10" t="str">
        <f t="shared" si="32"/>
        <v/>
      </c>
      <c r="B579" s="9"/>
      <c r="C579" s="8"/>
      <c r="D579" s="10" t="str">
        <f ca="1">IFERROR(_xludf.XLOOKUP(C579,STUDENTS!$A$5:$A$204,STUDENTS!$C$5:$C$204,""),"")</f>
        <v/>
      </c>
      <c r="E579" s="10" t="str">
        <f ca="1">IFERROR(_xludf.XLOOKUP(C579,STUDENTS!$A$5:$A$204,STUDENTS!$L$5:$L$204,""),"")</f>
        <v/>
      </c>
      <c r="F579" s="8"/>
      <c r="G579" s="10" t="str">
        <f>SETTINGS!$B$8</f>
        <v>2026/2027</v>
      </c>
      <c r="H579" s="10">
        <f t="shared" si="33"/>
        <v>0</v>
      </c>
      <c r="I579" s="10">
        <f t="shared" si="34"/>
        <v>0</v>
      </c>
      <c r="J579" s="13" t="str">
        <f t="shared" si="35"/>
        <v/>
      </c>
    </row>
    <row r="580" spans="1:10" x14ac:dyDescent="0.2">
      <c r="A580" s="10" t="str">
        <f t="shared" si="32"/>
        <v/>
      </c>
      <c r="B580" s="9"/>
      <c r="C580" s="8"/>
      <c r="D580" s="10" t="str">
        <f ca="1">IFERROR(_xludf.XLOOKUP(C580,STUDENTS!$A$5:$A$204,STUDENTS!$C$5:$C$204,""),"")</f>
        <v/>
      </c>
      <c r="E580" s="10" t="str">
        <f ca="1">IFERROR(_xludf.XLOOKUP(C580,STUDENTS!$A$5:$A$204,STUDENTS!$L$5:$L$204,""),"")</f>
        <v/>
      </c>
      <c r="F580" s="8"/>
      <c r="G580" s="10" t="str">
        <f>SETTINGS!$B$8</f>
        <v>2026/2027</v>
      </c>
      <c r="H580" s="10">
        <f t="shared" si="33"/>
        <v>0</v>
      </c>
      <c r="I580" s="10">
        <f t="shared" si="34"/>
        <v>0</v>
      </c>
      <c r="J580" s="13" t="str">
        <f t="shared" si="35"/>
        <v/>
      </c>
    </row>
    <row r="581" spans="1:10" x14ac:dyDescent="0.2">
      <c r="A581" s="10" t="str">
        <f t="shared" ref="A581:A644" si="36">IF(C581="","","AT-"&amp;TEXT(ROW()-4,"00000"))</f>
        <v/>
      </c>
      <c r="B581" s="9"/>
      <c r="C581" s="8"/>
      <c r="D581" s="10" t="str">
        <f ca="1">IFERROR(_xludf.XLOOKUP(C581,STUDENTS!$A$5:$A$204,STUDENTS!$C$5:$C$204,""),"")</f>
        <v/>
      </c>
      <c r="E581" s="10" t="str">
        <f ca="1">IFERROR(_xludf.XLOOKUP(C581,STUDENTS!$A$5:$A$204,STUDENTS!$L$5:$L$204,""),"")</f>
        <v/>
      </c>
      <c r="F581" s="8"/>
      <c r="G581" s="10" t="str">
        <f>SETTINGS!$B$8</f>
        <v>2026/2027</v>
      </c>
      <c r="H581" s="10">
        <f t="shared" ref="H581:H644" si="37">IF(F581="Present",1,0)</f>
        <v>0</v>
      </c>
      <c r="I581" s="10">
        <f t="shared" ref="I581:I644" si="38">IF(F581="Absent",1,0)</f>
        <v>0</v>
      </c>
      <c r="J581" s="13" t="str">
        <f t="shared" ref="J581:J644" si="39">IF(OR(H581="",I581=""),"",IF(H581+I581=0,"",H581/(H581+I581)))</f>
        <v/>
      </c>
    </row>
    <row r="582" spans="1:10" x14ac:dyDescent="0.2">
      <c r="A582" s="10" t="str">
        <f t="shared" si="36"/>
        <v/>
      </c>
      <c r="B582" s="9"/>
      <c r="C582" s="8"/>
      <c r="D582" s="10" t="str">
        <f ca="1">IFERROR(_xludf.XLOOKUP(C582,STUDENTS!$A$5:$A$204,STUDENTS!$C$5:$C$204,""),"")</f>
        <v/>
      </c>
      <c r="E582" s="10" t="str">
        <f ca="1">IFERROR(_xludf.XLOOKUP(C582,STUDENTS!$A$5:$A$204,STUDENTS!$L$5:$L$204,""),"")</f>
        <v/>
      </c>
      <c r="F582" s="8"/>
      <c r="G582" s="10" t="str">
        <f>SETTINGS!$B$8</f>
        <v>2026/2027</v>
      </c>
      <c r="H582" s="10">
        <f t="shared" si="37"/>
        <v>0</v>
      </c>
      <c r="I582" s="10">
        <f t="shared" si="38"/>
        <v>0</v>
      </c>
      <c r="J582" s="13" t="str">
        <f t="shared" si="39"/>
        <v/>
      </c>
    </row>
    <row r="583" spans="1:10" x14ac:dyDescent="0.2">
      <c r="A583" s="10" t="str">
        <f t="shared" si="36"/>
        <v/>
      </c>
      <c r="B583" s="9"/>
      <c r="C583" s="8"/>
      <c r="D583" s="10" t="str">
        <f ca="1">IFERROR(_xludf.XLOOKUP(C583,STUDENTS!$A$5:$A$204,STUDENTS!$C$5:$C$204,""),"")</f>
        <v/>
      </c>
      <c r="E583" s="10" t="str">
        <f ca="1">IFERROR(_xludf.XLOOKUP(C583,STUDENTS!$A$5:$A$204,STUDENTS!$L$5:$L$204,""),"")</f>
        <v/>
      </c>
      <c r="F583" s="8"/>
      <c r="G583" s="10" t="str">
        <f>SETTINGS!$B$8</f>
        <v>2026/2027</v>
      </c>
      <c r="H583" s="10">
        <f t="shared" si="37"/>
        <v>0</v>
      </c>
      <c r="I583" s="10">
        <f t="shared" si="38"/>
        <v>0</v>
      </c>
      <c r="J583" s="13" t="str">
        <f t="shared" si="39"/>
        <v/>
      </c>
    </row>
    <row r="584" spans="1:10" x14ac:dyDescent="0.2">
      <c r="A584" s="10" t="str">
        <f t="shared" si="36"/>
        <v/>
      </c>
      <c r="B584" s="9"/>
      <c r="C584" s="8"/>
      <c r="D584" s="10" t="str">
        <f ca="1">IFERROR(_xludf.XLOOKUP(C584,STUDENTS!$A$5:$A$204,STUDENTS!$C$5:$C$204,""),"")</f>
        <v/>
      </c>
      <c r="E584" s="10" t="str">
        <f ca="1">IFERROR(_xludf.XLOOKUP(C584,STUDENTS!$A$5:$A$204,STUDENTS!$L$5:$L$204,""),"")</f>
        <v/>
      </c>
      <c r="F584" s="8"/>
      <c r="G584" s="10" t="str">
        <f>SETTINGS!$B$8</f>
        <v>2026/2027</v>
      </c>
      <c r="H584" s="10">
        <f t="shared" si="37"/>
        <v>0</v>
      </c>
      <c r="I584" s="10">
        <f t="shared" si="38"/>
        <v>0</v>
      </c>
      <c r="J584" s="13" t="str">
        <f t="shared" si="39"/>
        <v/>
      </c>
    </row>
    <row r="585" spans="1:10" x14ac:dyDescent="0.2">
      <c r="A585" s="10" t="str">
        <f t="shared" si="36"/>
        <v/>
      </c>
      <c r="B585" s="9"/>
      <c r="C585" s="8"/>
      <c r="D585" s="10" t="str">
        <f ca="1">IFERROR(_xludf.XLOOKUP(C585,STUDENTS!$A$5:$A$204,STUDENTS!$C$5:$C$204,""),"")</f>
        <v/>
      </c>
      <c r="E585" s="10" t="str">
        <f ca="1">IFERROR(_xludf.XLOOKUP(C585,STUDENTS!$A$5:$A$204,STUDENTS!$L$5:$L$204,""),"")</f>
        <v/>
      </c>
      <c r="F585" s="8"/>
      <c r="G585" s="10" t="str">
        <f>SETTINGS!$B$8</f>
        <v>2026/2027</v>
      </c>
      <c r="H585" s="10">
        <f t="shared" si="37"/>
        <v>0</v>
      </c>
      <c r="I585" s="10">
        <f t="shared" si="38"/>
        <v>0</v>
      </c>
      <c r="J585" s="13" t="str">
        <f t="shared" si="39"/>
        <v/>
      </c>
    </row>
    <row r="586" spans="1:10" x14ac:dyDescent="0.2">
      <c r="A586" s="10" t="str">
        <f t="shared" si="36"/>
        <v/>
      </c>
      <c r="B586" s="9"/>
      <c r="C586" s="8"/>
      <c r="D586" s="10" t="str">
        <f ca="1">IFERROR(_xludf.XLOOKUP(C586,STUDENTS!$A$5:$A$204,STUDENTS!$C$5:$C$204,""),"")</f>
        <v/>
      </c>
      <c r="E586" s="10" t="str">
        <f ca="1">IFERROR(_xludf.XLOOKUP(C586,STUDENTS!$A$5:$A$204,STUDENTS!$L$5:$L$204,""),"")</f>
        <v/>
      </c>
      <c r="F586" s="8"/>
      <c r="G586" s="10" t="str">
        <f>SETTINGS!$B$8</f>
        <v>2026/2027</v>
      </c>
      <c r="H586" s="10">
        <f t="shared" si="37"/>
        <v>0</v>
      </c>
      <c r="I586" s="10">
        <f t="shared" si="38"/>
        <v>0</v>
      </c>
      <c r="J586" s="13" t="str">
        <f t="shared" si="39"/>
        <v/>
      </c>
    </row>
    <row r="587" spans="1:10" x14ac:dyDescent="0.2">
      <c r="A587" s="10" t="str">
        <f t="shared" si="36"/>
        <v/>
      </c>
      <c r="B587" s="9"/>
      <c r="C587" s="8"/>
      <c r="D587" s="10" t="str">
        <f ca="1">IFERROR(_xludf.XLOOKUP(C587,STUDENTS!$A$5:$A$204,STUDENTS!$C$5:$C$204,""),"")</f>
        <v/>
      </c>
      <c r="E587" s="10" t="str">
        <f ca="1">IFERROR(_xludf.XLOOKUP(C587,STUDENTS!$A$5:$A$204,STUDENTS!$L$5:$L$204,""),"")</f>
        <v/>
      </c>
      <c r="F587" s="8"/>
      <c r="G587" s="10" t="str">
        <f>SETTINGS!$B$8</f>
        <v>2026/2027</v>
      </c>
      <c r="H587" s="10">
        <f t="shared" si="37"/>
        <v>0</v>
      </c>
      <c r="I587" s="10">
        <f t="shared" si="38"/>
        <v>0</v>
      </c>
      <c r="J587" s="13" t="str">
        <f t="shared" si="39"/>
        <v/>
      </c>
    </row>
    <row r="588" spans="1:10" x14ac:dyDescent="0.2">
      <c r="A588" s="10" t="str">
        <f t="shared" si="36"/>
        <v/>
      </c>
      <c r="B588" s="9"/>
      <c r="C588" s="8"/>
      <c r="D588" s="10" t="str">
        <f ca="1">IFERROR(_xludf.XLOOKUP(C588,STUDENTS!$A$5:$A$204,STUDENTS!$C$5:$C$204,""),"")</f>
        <v/>
      </c>
      <c r="E588" s="10" t="str">
        <f ca="1">IFERROR(_xludf.XLOOKUP(C588,STUDENTS!$A$5:$A$204,STUDENTS!$L$5:$L$204,""),"")</f>
        <v/>
      </c>
      <c r="F588" s="8"/>
      <c r="G588" s="10" t="str">
        <f>SETTINGS!$B$8</f>
        <v>2026/2027</v>
      </c>
      <c r="H588" s="10">
        <f t="shared" si="37"/>
        <v>0</v>
      </c>
      <c r="I588" s="10">
        <f t="shared" si="38"/>
        <v>0</v>
      </c>
      <c r="J588" s="13" t="str">
        <f t="shared" si="39"/>
        <v/>
      </c>
    </row>
    <row r="589" spans="1:10" x14ac:dyDescent="0.2">
      <c r="A589" s="10" t="str">
        <f t="shared" si="36"/>
        <v/>
      </c>
      <c r="B589" s="9"/>
      <c r="C589" s="8"/>
      <c r="D589" s="10" t="str">
        <f ca="1">IFERROR(_xludf.XLOOKUP(C589,STUDENTS!$A$5:$A$204,STUDENTS!$C$5:$C$204,""),"")</f>
        <v/>
      </c>
      <c r="E589" s="10" t="str">
        <f ca="1">IFERROR(_xludf.XLOOKUP(C589,STUDENTS!$A$5:$A$204,STUDENTS!$L$5:$L$204,""),"")</f>
        <v/>
      </c>
      <c r="F589" s="8"/>
      <c r="G589" s="10" t="str">
        <f>SETTINGS!$B$8</f>
        <v>2026/2027</v>
      </c>
      <c r="H589" s="10">
        <f t="shared" si="37"/>
        <v>0</v>
      </c>
      <c r="I589" s="10">
        <f t="shared" si="38"/>
        <v>0</v>
      </c>
      <c r="J589" s="13" t="str">
        <f t="shared" si="39"/>
        <v/>
      </c>
    </row>
    <row r="590" spans="1:10" x14ac:dyDescent="0.2">
      <c r="A590" s="10" t="str">
        <f t="shared" si="36"/>
        <v/>
      </c>
      <c r="B590" s="9"/>
      <c r="C590" s="8"/>
      <c r="D590" s="10" t="str">
        <f ca="1">IFERROR(_xludf.XLOOKUP(C590,STUDENTS!$A$5:$A$204,STUDENTS!$C$5:$C$204,""),"")</f>
        <v/>
      </c>
      <c r="E590" s="10" t="str">
        <f ca="1">IFERROR(_xludf.XLOOKUP(C590,STUDENTS!$A$5:$A$204,STUDENTS!$L$5:$L$204,""),"")</f>
        <v/>
      </c>
      <c r="F590" s="8"/>
      <c r="G590" s="10" t="str">
        <f>SETTINGS!$B$8</f>
        <v>2026/2027</v>
      </c>
      <c r="H590" s="10">
        <f t="shared" si="37"/>
        <v>0</v>
      </c>
      <c r="I590" s="10">
        <f t="shared" si="38"/>
        <v>0</v>
      </c>
      <c r="J590" s="13" t="str">
        <f t="shared" si="39"/>
        <v/>
      </c>
    </row>
    <row r="591" spans="1:10" x14ac:dyDescent="0.2">
      <c r="A591" s="10" t="str">
        <f t="shared" si="36"/>
        <v/>
      </c>
      <c r="B591" s="9"/>
      <c r="C591" s="8"/>
      <c r="D591" s="10" t="str">
        <f ca="1">IFERROR(_xludf.XLOOKUP(C591,STUDENTS!$A$5:$A$204,STUDENTS!$C$5:$C$204,""),"")</f>
        <v/>
      </c>
      <c r="E591" s="10" t="str">
        <f ca="1">IFERROR(_xludf.XLOOKUP(C591,STUDENTS!$A$5:$A$204,STUDENTS!$L$5:$L$204,""),"")</f>
        <v/>
      </c>
      <c r="F591" s="8"/>
      <c r="G591" s="10" t="str">
        <f>SETTINGS!$B$8</f>
        <v>2026/2027</v>
      </c>
      <c r="H591" s="10">
        <f t="shared" si="37"/>
        <v>0</v>
      </c>
      <c r="I591" s="10">
        <f t="shared" si="38"/>
        <v>0</v>
      </c>
      <c r="J591" s="13" t="str">
        <f t="shared" si="39"/>
        <v/>
      </c>
    </row>
    <row r="592" spans="1:10" x14ac:dyDescent="0.2">
      <c r="A592" s="10" t="str">
        <f t="shared" si="36"/>
        <v/>
      </c>
      <c r="B592" s="9"/>
      <c r="C592" s="8"/>
      <c r="D592" s="10" t="str">
        <f ca="1">IFERROR(_xludf.XLOOKUP(C592,STUDENTS!$A$5:$A$204,STUDENTS!$C$5:$C$204,""),"")</f>
        <v/>
      </c>
      <c r="E592" s="10" t="str">
        <f ca="1">IFERROR(_xludf.XLOOKUP(C592,STUDENTS!$A$5:$A$204,STUDENTS!$L$5:$L$204,""),"")</f>
        <v/>
      </c>
      <c r="F592" s="8"/>
      <c r="G592" s="10" t="str">
        <f>SETTINGS!$B$8</f>
        <v>2026/2027</v>
      </c>
      <c r="H592" s="10">
        <f t="shared" si="37"/>
        <v>0</v>
      </c>
      <c r="I592" s="10">
        <f t="shared" si="38"/>
        <v>0</v>
      </c>
      <c r="J592" s="13" t="str">
        <f t="shared" si="39"/>
        <v/>
      </c>
    </row>
    <row r="593" spans="1:10" x14ac:dyDescent="0.2">
      <c r="A593" s="10" t="str">
        <f t="shared" si="36"/>
        <v/>
      </c>
      <c r="B593" s="9"/>
      <c r="C593" s="8"/>
      <c r="D593" s="10" t="str">
        <f ca="1">IFERROR(_xludf.XLOOKUP(C593,STUDENTS!$A$5:$A$204,STUDENTS!$C$5:$C$204,""),"")</f>
        <v/>
      </c>
      <c r="E593" s="10" t="str">
        <f ca="1">IFERROR(_xludf.XLOOKUP(C593,STUDENTS!$A$5:$A$204,STUDENTS!$L$5:$L$204,""),"")</f>
        <v/>
      </c>
      <c r="F593" s="8"/>
      <c r="G593" s="10" t="str">
        <f>SETTINGS!$B$8</f>
        <v>2026/2027</v>
      </c>
      <c r="H593" s="10">
        <f t="shared" si="37"/>
        <v>0</v>
      </c>
      <c r="I593" s="10">
        <f t="shared" si="38"/>
        <v>0</v>
      </c>
      <c r="J593" s="13" t="str">
        <f t="shared" si="39"/>
        <v/>
      </c>
    </row>
    <row r="594" spans="1:10" x14ac:dyDescent="0.2">
      <c r="A594" s="10" t="str">
        <f t="shared" si="36"/>
        <v/>
      </c>
      <c r="B594" s="9"/>
      <c r="C594" s="8"/>
      <c r="D594" s="10" t="str">
        <f ca="1">IFERROR(_xludf.XLOOKUP(C594,STUDENTS!$A$5:$A$204,STUDENTS!$C$5:$C$204,""),"")</f>
        <v/>
      </c>
      <c r="E594" s="10" t="str">
        <f ca="1">IFERROR(_xludf.XLOOKUP(C594,STUDENTS!$A$5:$A$204,STUDENTS!$L$5:$L$204,""),"")</f>
        <v/>
      </c>
      <c r="F594" s="8"/>
      <c r="G594" s="10" t="str">
        <f>SETTINGS!$B$8</f>
        <v>2026/2027</v>
      </c>
      <c r="H594" s="10">
        <f t="shared" si="37"/>
        <v>0</v>
      </c>
      <c r="I594" s="10">
        <f t="shared" si="38"/>
        <v>0</v>
      </c>
      <c r="J594" s="13" t="str">
        <f t="shared" si="39"/>
        <v/>
      </c>
    </row>
    <row r="595" spans="1:10" x14ac:dyDescent="0.2">
      <c r="A595" s="10" t="str">
        <f t="shared" si="36"/>
        <v/>
      </c>
      <c r="B595" s="9"/>
      <c r="C595" s="8"/>
      <c r="D595" s="10" t="str">
        <f ca="1">IFERROR(_xludf.XLOOKUP(C595,STUDENTS!$A$5:$A$204,STUDENTS!$C$5:$C$204,""),"")</f>
        <v/>
      </c>
      <c r="E595" s="10" t="str">
        <f ca="1">IFERROR(_xludf.XLOOKUP(C595,STUDENTS!$A$5:$A$204,STUDENTS!$L$5:$L$204,""),"")</f>
        <v/>
      </c>
      <c r="F595" s="8"/>
      <c r="G595" s="10" t="str">
        <f>SETTINGS!$B$8</f>
        <v>2026/2027</v>
      </c>
      <c r="H595" s="10">
        <f t="shared" si="37"/>
        <v>0</v>
      </c>
      <c r="I595" s="10">
        <f t="shared" si="38"/>
        <v>0</v>
      </c>
      <c r="J595" s="13" t="str">
        <f t="shared" si="39"/>
        <v/>
      </c>
    </row>
    <row r="596" spans="1:10" x14ac:dyDescent="0.2">
      <c r="A596" s="10" t="str">
        <f t="shared" si="36"/>
        <v/>
      </c>
      <c r="B596" s="9"/>
      <c r="C596" s="8"/>
      <c r="D596" s="10" t="str">
        <f ca="1">IFERROR(_xludf.XLOOKUP(C596,STUDENTS!$A$5:$A$204,STUDENTS!$C$5:$C$204,""),"")</f>
        <v/>
      </c>
      <c r="E596" s="10" t="str">
        <f ca="1">IFERROR(_xludf.XLOOKUP(C596,STUDENTS!$A$5:$A$204,STUDENTS!$L$5:$L$204,""),"")</f>
        <v/>
      </c>
      <c r="F596" s="8"/>
      <c r="G596" s="10" t="str">
        <f>SETTINGS!$B$8</f>
        <v>2026/2027</v>
      </c>
      <c r="H596" s="10">
        <f t="shared" si="37"/>
        <v>0</v>
      </c>
      <c r="I596" s="10">
        <f t="shared" si="38"/>
        <v>0</v>
      </c>
      <c r="J596" s="13" t="str">
        <f t="shared" si="39"/>
        <v/>
      </c>
    </row>
    <row r="597" spans="1:10" x14ac:dyDescent="0.2">
      <c r="A597" s="10" t="str">
        <f t="shared" si="36"/>
        <v/>
      </c>
      <c r="B597" s="9"/>
      <c r="C597" s="8"/>
      <c r="D597" s="10" t="str">
        <f ca="1">IFERROR(_xludf.XLOOKUP(C597,STUDENTS!$A$5:$A$204,STUDENTS!$C$5:$C$204,""),"")</f>
        <v/>
      </c>
      <c r="E597" s="10" t="str">
        <f ca="1">IFERROR(_xludf.XLOOKUP(C597,STUDENTS!$A$5:$A$204,STUDENTS!$L$5:$L$204,""),"")</f>
        <v/>
      </c>
      <c r="F597" s="8"/>
      <c r="G597" s="10" t="str">
        <f>SETTINGS!$B$8</f>
        <v>2026/2027</v>
      </c>
      <c r="H597" s="10">
        <f t="shared" si="37"/>
        <v>0</v>
      </c>
      <c r="I597" s="10">
        <f t="shared" si="38"/>
        <v>0</v>
      </c>
      <c r="J597" s="13" t="str">
        <f t="shared" si="39"/>
        <v/>
      </c>
    </row>
    <row r="598" spans="1:10" x14ac:dyDescent="0.2">
      <c r="A598" s="10" t="str">
        <f t="shared" si="36"/>
        <v/>
      </c>
      <c r="B598" s="9"/>
      <c r="C598" s="8"/>
      <c r="D598" s="10" t="str">
        <f ca="1">IFERROR(_xludf.XLOOKUP(C598,STUDENTS!$A$5:$A$204,STUDENTS!$C$5:$C$204,""),"")</f>
        <v/>
      </c>
      <c r="E598" s="10" t="str">
        <f ca="1">IFERROR(_xludf.XLOOKUP(C598,STUDENTS!$A$5:$A$204,STUDENTS!$L$5:$L$204,""),"")</f>
        <v/>
      </c>
      <c r="F598" s="8"/>
      <c r="G598" s="10" t="str">
        <f>SETTINGS!$B$8</f>
        <v>2026/2027</v>
      </c>
      <c r="H598" s="10">
        <f t="shared" si="37"/>
        <v>0</v>
      </c>
      <c r="I598" s="10">
        <f t="shared" si="38"/>
        <v>0</v>
      </c>
      <c r="J598" s="13" t="str">
        <f t="shared" si="39"/>
        <v/>
      </c>
    </row>
    <row r="599" spans="1:10" x14ac:dyDescent="0.2">
      <c r="A599" s="10" t="str">
        <f t="shared" si="36"/>
        <v/>
      </c>
      <c r="B599" s="9"/>
      <c r="C599" s="8"/>
      <c r="D599" s="10" t="str">
        <f ca="1">IFERROR(_xludf.XLOOKUP(C599,STUDENTS!$A$5:$A$204,STUDENTS!$C$5:$C$204,""),"")</f>
        <v/>
      </c>
      <c r="E599" s="10" t="str">
        <f ca="1">IFERROR(_xludf.XLOOKUP(C599,STUDENTS!$A$5:$A$204,STUDENTS!$L$5:$L$204,""),"")</f>
        <v/>
      </c>
      <c r="F599" s="8"/>
      <c r="G599" s="10" t="str">
        <f>SETTINGS!$B$8</f>
        <v>2026/2027</v>
      </c>
      <c r="H599" s="10">
        <f t="shared" si="37"/>
        <v>0</v>
      </c>
      <c r="I599" s="10">
        <f t="shared" si="38"/>
        <v>0</v>
      </c>
      <c r="J599" s="13" t="str">
        <f t="shared" si="39"/>
        <v/>
      </c>
    </row>
    <row r="600" spans="1:10" x14ac:dyDescent="0.2">
      <c r="A600" s="10" t="str">
        <f t="shared" si="36"/>
        <v/>
      </c>
      <c r="B600" s="9"/>
      <c r="C600" s="8"/>
      <c r="D600" s="10" t="str">
        <f ca="1">IFERROR(_xludf.XLOOKUP(C600,STUDENTS!$A$5:$A$204,STUDENTS!$C$5:$C$204,""),"")</f>
        <v/>
      </c>
      <c r="E600" s="10" t="str">
        <f ca="1">IFERROR(_xludf.XLOOKUP(C600,STUDENTS!$A$5:$A$204,STUDENTS!$L$5:$L$204,""),"")</f>
        <v/>
      </c>
      <c r="F600" s="8"/>
      <c r="G600" s="10" t="str">
        <f>SETTINGS!$B$8</f>
        <v>2026/2027</v>
      </c>
      <c r="H600" s="10">
        <f t="shared" si="37"/>
        <v>0</v>
      </c>
      <c r="I600" s="10">
        <f t="shared" si="38"/>
        <v>0</v>
      </c>
      <c r="J600" s="13" t="str">
        <f t="shared" si="39"/>
        <v/>
      </c>
    </row>
    <row r="601" spans="1:10" x14ac:dyDescent="0.2">
      <c r="A601" s="10" t="str">
        <f t="shared" si="36"/>
        <v/>
      </c>
      <c r="B601" s="9"/>
      <c r="C601" s="8"/>
      <c r="D601" s="10" t="str">
        <f ca="1">IFERROR(_xludf.XLOOKUP(C601,STUDENTS!$A$5:$A$204,STUDENTS!$C$5:$C$204,""),"")</f>
        <v/>
      </c>
      <c r="E601" s="10" t="str">
        <f ca="1">IFERROR(_xludf.XLOOKUP(C601,STUDENTS!$A$5:$A$204,STUDENTS!$L$5:$L$204,""),"")</f>
        <v/>
      </c>
      <c r="F601" s="8"/>
      <c r="G601" s="10" t="str">
        <f>SETTINGS!$B$8</f>
        <v>2026/2027</v>
      </c>
      <c r="H601" s="10">
        <f t="shared" si="37"/>
        <v>0</v>
      </c>
      <c r="I601" s="10">
        <f t="shared" si="38"/>
        <v>0</v>
      </c>
      <c r="J601" s="13" t="str">
        <f t="shared" si="39"/>
        <v/>
      </c>
    </row>
    <row r="602" spans="1:10" x14ac:dyDescent="0.2">
      <c r="A602" s="10" t="str">
        <f t="shared" si="36"/>
        <v/>
      </c>
      <c r="B602" s="9"/>
      <c r="C602" s="8"/>
      <c r="D602" s="10" t="str">
        <f ca="1">IFERROR(_xludf.XLOOKUP(C602,STUDENTS!$A$5:$A$204,STUDENTS!$C$5:$C$204,""),"")</f>
        <v/>
      </c>
      <c r="E602" s="10" t="str">
        <f ca="1">IFERROR(_xludf.XLOOKUP(C602,STUDENTS!$A$5:$A$204,STUDENTS!$L$5:$L$204,""),"")</f>
        <v/>
      </c>
      <c r="F602" s="8"/>
      <c r="G602" s="10" t="str">
        <f>SETTINGS!$B$8</f>
        <v>2026/2027</v>
      </c>
      <c r="H602" s="10">
        <f t="shared" si="37"/>
        <v>0</v>
      </c>
      <c r="I602" s="10">
        <f t="shared" si="38"/>
        <v>0</v>
      </c>
      <c r="J602" s="13" t="str">
        <f t="shared" si="39"/>
        <v/>
      </c>
    </row>
    <row r="603" spans="1:10" x14ac:dyDescent="0.2">
      <c r="A603" s="10" t="str">
        <f t="shared" si="36"/>
        <v/>
      </c>
      <c r="B603" s="9"/>
      <c r="C603" s="8"/>
      <c r="D603" s="10" t="str">
        <f ca="1">IFERROR(_xludf.XLOOKUP(C603,STUDENTS!$A$5:$A$204,STUDENTS!$C$5:$C$204,""),"")</f>
        <v/>
      </c>
      <c r="E603" s="10" t="str">
        <f ca="1">IFERROR(_xludf.XLOOKUP(C603,STUDENTS!$A$5:$A$204,STUDENTS!$L$5:$L$204,""),"")</f>
        <v/>
      </c>
      <c r="F603" s="8"/>
      <c r="G603" s="10" t="str">
        <f>SETTINGS!$B$8</f>
        <v>2026/2027</v>
      </c>
      <c r="H603" s="10">
        <f t="shared" si="37"/>
        <v>0</v>
      </c>
      <c r="I603" s="10">
        <f t="shared" si="38"/>
        <v>0</v>
      </c>
      <c r="J603" s="13" t="str">
        <f t="shared" si="39"/>
        <v/>
      </c>
    </row>
    <row r="604" spans="1:10" x14ac:dyDescent="0.2">
      <c r="A604" s="10" t="str">
        <f t="shared" si="36"/>
        <v/>
      </c>
      <c r="B604" s="9"/>
      <c r="C604" s="8"/>
      <c r="D604" s="10" t="str">
        <f ca="1">IFERROR(_xludf.XLOOKUP(C604,STUDENTS!$A$5:$A$204,STUDENTS!$C$5:$C$204,""),"")</f>
        <v/>
      </c>
      <c r="E604" s="10" t="str">
        <f ca="1">IFERROR(_xludf.XLOOKUP(C604,STUDENTS!$A$5:$A$204,STUDENTS!$L$5:$L$204,""),"")</f>
        <v/>
      </c>
      <c r="F604" s="8"/>
      <c r="G604" s="10" t="str">
        <f>SETTINGS!$B$8</f>
        <v>2026/2027</v>
      </c>
      <c r="H604" s="10">
        <f t="shared" si="37"/>
        <v>0</v>
      </c>
      <c r="I604" s="10">
        <f t="shared" si="38"/>
        <v>0</v>
      </c>
      <c r="J604" s="13" t="str">
        <f t="shared" si="39"/>
        <v/>
      </c>
    </row>
    <row r="605" spans="1:10" x14ac:dyDescent="0.2">
      <c r="A605" s="10" t="str">
        <f t="shared" si="36"/>
        <v/>
      </c>
      <c r="B605" s="9"/>
      <c r="C605" s="8"/>
      <c r="D605" s="10" t="str">
        <f ca="1">IFERROR(_xludf.XLOOKUP(C605,STUDENTS!$A$5:$A$204,STUDENTS!$C$5:$C$204,""),"")</f>
        <v/>
      </c>
      <c r="E605" s="10" t="str">
        <f ca="1">IFERROR(_xludf.XLOOKUP(C605,STUDENTS!$A$5:$A$204,STUDENTS!$L$5:$L$204,""),"")</f>
        <v/>
      </c>
      <c r="F605" s="8"/>
      <c r="G605" s="10" t="str">
        <f>SETTINGS!$B$8</f>
        <v>2026/2027</v>
      </c>
      <c r="H605" s="10">
        <f t="shared" si="37"/>
        <v>0</v>
      </c>
      <c r="I605" s="10">
        <f t="shared" si="38"/>
        <v>0</v>
      </c>
      <c r="J605" s="13" t="str">
        <f t="shared" si="39"/>
        <v/>
      </c>
    </row>
    <row r="606" spans="1:10" x14ac:dyDescent="0.2">
      <c r="A606" s="10" t="str">
        <f t="shared" si="36"/>
        <v/>
      </c>
      <c r="B606" s="9"/>
      <c r="C606" s="8"/>
      <c r="D606" s="10" t="str">
        <f ca="1">IFERROR(_xludf.XLOOKUP(C606,STUDENTS!$A$5:$A$204,STUDENTS!$C$5:$C$204,""),"")</f>
        <v/>
      </c>
      <c r="E606" s="10" t="str">
        <f ca="1">IFERROR(_xludf.XLOOKUP(C606,STUDENTS!$A$5:$A$204,STUDENTS!$L$5:$L$204,""),"")</f>
        <v/>
      </c>
      <c r="F606" s="8"/>
      <c r="G606" s="10" t="str">
        <f>SETTINGS!$B$8</f>
        <v>2026/2027</v>
      </c>
      <c r="H606" s="10">
        <f t="shared" si="37"/>
        <v>0</v>
      </c>
      <c r="I606" s="10">
        <f t="shared" si="38"/>
        <v>0</v>
      </c>
      <c r="J606" s="13" t="str">
        <f t="shared" si="39"/>
        <v/>
      </c>
    </row>
    <row r="607" spans="1:10" x14ac:dyDescent="0.2">
      <c r="A607" s="10" t="str">
        <f t="shared" si="36"/>
        <v/>
      </c>
      <c r="B607" s="9"/>
      <c r="C607" s="8"/>
      <c r="D607" s="10" t="str">
        <f ca="1">IFERROR(_xludf.XLOOKUP(C607,STUDENTS!$A$5:$A$204,STUDENTS!$C$5:$C$204,""),"")</f>
        <v/>
      </c>
      <c r="E607" s="10" t="str">
        <f ca="1">IFERROR(_xludf.XLOOKUP(C607,STUDENTS!$A$5:$A$204,STUDENTS!$L$5:$L$204,""),"")</f>
        <v/>
      </c>
      <c r="F607" s="8"/>
      <c r="G607" s="10" t="str">
        <f>SETTINGS!$B$8</f>
        <v>2026/2027</v>
      </c>
      <c r="H607" s="10">
        <f t="shared" si="37"/>
        <v>0</v>
      </c>
      <c r="I607" s="10">
        <f t="shared" si="38"/>
        <v>0</v>
      </c>
      <c r="J607" s="13" t="str">
        <f t="shared" si="39"/>
        <v/>
      </c>
    </row>
    <row r="608" spans="1:10" x14ac:dyDescent="0.2">
      <c r="A608" s="10" t="str">
        <f t="shared" si="36"/>
        <v/>
      </c>
      <c r="B608" s="9"/>
      <c r="C608" s="8"/>
      <c r="D608" s="10" t="str">
        <f ca="1">IFERROR(_xludf.XLOOKUP(C608,STUDENTS!$A$5:$A$204,STUDENTS!$C$5:$C$204,""),"")</f>
        <v/>
      </c>
      <c r="E608" s="10" t="str">
        <f ca="1">IFERROR(_xludf.XLOOKUP(C608,STUDENTS!$A$5:$A$204,STUDENTS!$L$5:$L$204,""),"")</f>
        <v/>
      </c>
      <c r="F608" s="8"/>
      <c r="G608" s="10" t="str">
        <f>SETTINGS!$B$8</f>
        <v>2026/2027</v>
      </c>
      <c r="H608" s="10">
        <f t="shared" si="37"/>
        <v>0</v>
      </c>
      <c r="I608" s="10">
        <f t="shared" si="38"/>
        <v>0</v>
      </c>
      <c r="J608" s="13" t="str">
        <f t="shared" si="39"/>
        <v/>
      </c>
    </row>
    <row r="609" spans="1:10" x14ac:dyDescent="0.2">
      <c r="A609" s="10" t="str">
        <f t="shared" si="36"/>
        <v/>
      </c>
      <c r="B609" s="9"/>
      <c r="C609" s="8"/>
      <c r="D609" s="10" t="str">
        <f ca="1">IFERROR(_xludf.XLOOKUP(C609,STUDENTS!$A$5:$A$204,STUDENTS!$C$5:$C$204,""),"")</f>
        <v/>
      </c>
      <c r="E609" s="10" t="str">
        <f ca="1">IFERROR(_xludf.XLOOKUP(C609,STUDENTS!$A$5:$A$204,STUDENTS!$L$5:$L$204,""),"")</f>
        <v/>
      </c>
      <c r="F609" s="8"/>
      <c r="G609" s="10" t="str">
        <f>SETTINGS!$B$8</f>
        <v>2026/2027</v>
      </c>
      <c r="H609" s="10">
        <f t="shared" si="37"/>
        <v>0</v>
      </c>
      <c r="I609" s="10">
        <f t="shared" si="38"/>
        <v>0</v>
      </c>
      <c r="J609" s="13" t="str">
        <f t="shared" si="39"/>
        <v/>
      </c>
    </row>
    <row r="610" spans="1:10" x14ac:dyDescent="0.2">
      <c r="A610" s="10" t="str">
        <f t="shared" si="36"/>
        <v/>
      </c>
      <c r="B610" s="9"/>
      <c r="C610" s="8"/>
      <c r="D610" s="10" t="str">
        <f ca="1">IFERROR(_xludf.XLOOKUP(C610,STUDENTS!$A$5:$A$204,STUDENTS!$C$5:$C$204,""),"")</f>
        <v/>
      </c>
      <c r="E610" s="10" t="str">
        <f ca="1">IFERROR(_xludf.XLOOKUP(C610,STUDENTS!$A$5:$A$204,STUDENTS!$L$5:$L$204,""),"")</f>
        <v/>
      </c>
      <c r="F610" s="8"/>
      <c r="G610" s="10" t="str">
        <f>SETTINGS!$B$8</f>
        <v>2026/2027</v>
      </c>
      <c r="H610" s="10">
        <f t="shared" si="37"/>
        <v>0</v>
      </c>
      <c r="I610" s="10">
        <f t="shared" si="38"/>
        <v>0</v>
      </c>
      <c r="J610" s="13" t="str">
        <f t="shared" si="39"/>
        <v/>
      </c>
    </row>
    <row r="611" spans="1:10" x14ac:dyDescent="0.2">
      <c r="A611" s="10" t="str">
        <f t="shared" si="36"/>
        <v/>
      </c>
      <c r="B611" s="9"/>
      <c r="C611" s="8"/>
      <c r="D611" s="10" t="str">
        <f ca="1">IFERROR(_xludf.XLOOKUP(C611,STUDENTS!$A$5:$A$204,STUDENTS!$C$5:$C$204,""),"")</f>
        <v/>
      </c>
      <c r="E611" s="10" t="str">
        <f ca="1">IFERROR(_xludf.XLOOKUP(C611,STUDENTS!$A$5:$A$204,STUDENTS!$L$5:$L$204,""),"")</f>
        <v/>
      </c>
      <c r="F611" s="8"/>
      <c r="G611" s="10" t="str">
        <f>SETTINGS!$B$8</f>
        <v>2026/2027</v>
      </c>
      <c r="H611" s="10">
        <f t="shared" si="37"/>
        <v>0</v>
      </c>
      <c r="I611" s="10">
        <f t="shared" si="38"/>
        <v>0</v>
      </c>
      <c r="J611" s="13" t="str">
        <f t="shared" si="39"/>
        <v/>
      </c>
    </row>
    <row r="612" spans="1:10" x14ac:dyDescent="0.2">
      <c r="A612" s="10" t="str">
        <f t="shared" si="36"/>
        <v/>
      </c>
      <c r="B612" s="9"/>
      <c r="C612" s="8"/>
      <c r="D612" s="10" t="str">
        <f ca="1">IFERROR(_xludf.XLOOKUP(C612,STUDENTS!$A$5:$A$204,STUDENTS!$C$5:$C$204,""),"")</f>
        <v/>
      </c>
      <c r="E612" s="10" t="str">
        <f ca="1">IFERROR(_xludf.XLOOKUP(C612,STUDENTS!$A$5:$A$204,STUDENTS!$L$5:$L$204,""),"")</f>
        <v/>
      </c>
      <c r="F612" s="8"/>
      <c r="G612" s="10" t="str">
        <f>SETTINGS!$B$8</f>
        <v>2026/2027</v>
      </c>
      <c r="H612" s="10">
        <f t="shared" si="37"/>
        <v>0</v>
      </c>
      <c r="I612" s="10">
        <f t="shared" si="38"/>
        <v>0</v>
      </c>
      <c r="J612" s="13" t="str">
        <f t="shared" si="39"/>
        <v/>
      </c>
    </row>
    <row r="613" spans="1:10" x14ac:dyDescent="0.2">
      <c r="A613" s="10" t="str">
        <f t="shared" si="36"/>
        <v/>
      </c>
      <c r="B613" s="9"/>
      <c r="C613" s="8"/>
      <c r="D613" s="10" t="str">
        <f ca="1">IFERROR(_xludf.XLOOKUP(C613,STUDENTS!$A$5:$A$204,STUDENTS!$C$5:$C$204,""),"")</f>
        <v/>
      </c>
      <c r="E613" s="10" t="str">
        <f ca="1">IFERROR(_xludf.XLOOKUP(C613,STUDENTS!$A$5:$A$204,STUDENTS!$L$5:$L$204,""),"")</f>
        <v/>
      </c>
      <c r="F613" s="8"/>
      <c r="G613" s="10" t="str">
        <f>SETTINGS!$B$8</f>
        <v>2026/2027</v>
      </c>
      <c r="H613" s="10">
        <f t="shared" si="37"/>
        <v>0</v>
      </c>
      <c r="I613" s="10">
        <f t="shared" si="38"/>
        <v>0</v>
      </c>
      <c r="J613" s="13" t="str">
        <f t="shared" si="39"/>
        <v/>
      </c>
    </row>
    <row r="614" spans="1:10" x14ac:dyDescent="0.2">
      <c r="A614" s="10" t="str">
        <f t="shared" si="36"/>
        <v/>
      </c>
      <c r="B614" s="9"/>
      <c r="C614" s="8"/>
      <c r="D614" s="10" t="str">
        <f ca="1">IFERROR(_xludf.XLOOKUP(C614,STUDENTS!$A$5:$A$204,STUDENTS!$C$5:$C$204,""),"")</f>
        <v/>
      </c>
      <c r="E614" s="10" t="str">
        <f ca="1">IFERROR(_xludf.XLOOKUP(C614,STUDENTS!$A$5:$A$204,STUDENTS!$L$5:$L$204,""),"")</f>
        <v/>
      </c>
      <c r="F614" s="8"/>
      <c r="G614" s="10" t="str">
        <f>SETTINGS!$B$8</f>
        <v>2026/2027</v>
      </c>
      <c r="H614" s="10">
        <f t="shared" si="37"/>
        <v>0</v>
      </c>
      <c r="I614" s="10">
        <f t="shared" si="38"/>
        <v>0</v>
      </c>
      <c r="J614" s="13" t="str">
        <f t="shared" si="39"/>
        <v/>
      </c>
    </row>
    <row r="615" spans="1:10" x14ac:dyDescent="0.2">
      <c r="A615" s="10" t="str">
        <f t="shared" si="36"/>
        <v/>
      </c>
      <c r="B615" s="9"/>
      <c r="C615" s="8"/>
      <c r="D615" s="10" t="str">
        <f ca="1">IFERROR(_xludf.XLOOKUP(C615,STUDENTS!$A$5:$A$204,STUDENTS!$C$5:$C$204,""),"")</f>
        <v/>
      </c>
      <c r="E615" s="10" t="str">
        <f ca="1">IFERROR(_xludf.XLOOKUP(C615,STUDENTS!$A$5:$A$204,STUDENTS!$L$5:$L$204,""),"")</f>
        <v/>
      </c>
      <c r="F615" s="8"/>
      <c r="G615" s="10" t="str">
        <f>SETTINGS!$B$8</f>
        <v>2026/2027</v>
      </c>
      <c r="H615" s="10">
        <f t="shared" si="37"/>
        <v>0</v>
      </c>
      <c r="I615" s="10">
        <f t="shared" si="38"/>
        <v>0</v>
      </c>
      <c r="J615" s="13" t="str">
        <f t="shared" si="39"/>
        <v/>
      </c>
    </row>
    <row r="616" spans="1:10" x14ac:dyDescent="0.2">
      <c r="A616" s="10" t="str">
        <f t="shared" si="36"/>
        <v/>
      </c>
      <c r="B616" s="9"/>
      <c r="C616" s="8"/>
      <c r="D616" s="10" t="str">
        <f ca="1">IFERROR(_xludf.XLOOKUP(C616,STUDENTS!$A$5:$A$204,STUDENTS!$C$5:$C$204,""),"")</f>
        <v/>
      </c>
      <c r="E616" s="10" t="str">
        <f ca="1">IFERROR(_xludf.XLOOKUP(C616,STUDENTS!$A$5:$A$204,STUDENTS!$L$5:$L$204,""),"")</f>
        <v/>
      </c>
      <c r="F616" s="8"/>
      <c r="G616" s="10" t="str">
        <f>SETTINGS!$B$8</f>
        <v>2026/2027</v>
      </c>
      <c r="H616" s="10">
        <f t="shared" si="37"/>
        <v>0</v>
      </c>
      <c r="I616" s="10">
        <f t="shared" si="38"/>
        <v>0</v>
      </c>
      <c r="J616" s="13" t="str">
        <f t="shared" si="39"/>
        <v/>
      </c>
    </row>
    <row r="617" spans="1:10" x14ac:dyDescent="0.2">
      <c r="A617" s="10" t="str">
        <f t="shared" si="36"/>
        <v/>
      </c>
      <c r="B617" s="9"/>
      <c r="C617" s="8"/>
      <c r="D617" s="10" t="str">
        <f ca="1">IFERROR(_xludf.XLOOKUP(C617,STUDENTS!$A$5:$A$204,STUDENTS!$C$5:$C$204,""),"")</f>
        <v/>
      </c>
      <c r="E617" s="10" t="str">
        <f ca="1">IFERROR(_xludf.XLOOKUP(C617,STUDENTS!$A$5:$A$204,STUDENTS!$L$5:$L$204,""),"")</f>
        <v/>
      </c>
      <c r="F617" s="8"/>
      <c r="G617" s="10" t="str">
        <f>SETTINGS!$B$8</f>
        <v>2026/2027</v>
      </c>
      <c r="H617" s="10">
        <f t="shared" si="37"/>
        <v>0</v>
      </c>
      <c r="I617" s="10">
        <f t="shared" si="38"/>
        <v>0</v>
      </c>
      <c r="J617" s="13" t="str">
        <f t="shared" si="39"/>
        <v/>
      </c>
    </row>
    <row r="618" spans="1:10" x14ac:dyDescent="0.2">
      <c r="A618" s="10" t="str">
        <f t="shared" si="36"/>
        <v/>
      </c>
      <c r="B618" s="9"/>
      <c r="C618" s="8"/>
      <c r="D618" s="10" t="str">
        <f ca="1">IFERROR(_xludf.XLOOKUP(C618,STUDENTS!$A$5:$A$204,STUDENTS!$C$5:$C$204,""),"")</f>
        <v/>
      </c>
      <c r="E618" s="10" t="str">
        <f ca="1">IFERROR(_xludf.XLOOKUP(C618,STUDENTS!$A$5:$A$204,STUDENTS!$L$5:$L$204,""),"")</f>
        <v/>
      </c>
      <c r="F618" s="8"/>
      <c r="G618" s="10" t="str">
        <f>SETTINGS!$B$8</f>
        <v>2026/2027</v>
      </c>
      <c r="H618" s="10">
        <f t="shared" si="37"/>
        <v>0</v>
      </c>
      <c r="I618" s="10">
        <f t="shared" si="38"/>
        <v>0</v>
      </c>
      <c r="J618" s="13" t="str">
        <f t="shared" si="39"/>
        <v/>
      </c>
    </row>
    <row r="619" spans="1:10" x14ac:dyDescent="0.2">
      <c r="A619" s="10" t="str">
        <f t="shared" si="36"/>
        <v/>
      </c>
      <c r="B619" s="9"/>
      <c r="C619" s="8"/>
      <c r="D619" s="10" t="str">
        <f ca="1">IFERROR(_xludf.XLOOKUP(C619,STUDENTS!$A$5:$A$204,STUDENTS!$C$5:$C$204,""),"")</f>
        <v/>
      </c>
      <c r="E619" s="10" t="str">
        <f ca="1">IFERROR(_xludf.XLOOKUP(C619,STUDENTS!$A$5:$A$204,STUDENTS!$L$5:$L$204,""),"")</f>
        <v/>
      </c>
      <c r="F619" s="8"/>
      <c r="G619" s="10" t="str">
        <f>SETTINGS!$B$8</f>
        <v>2026/2027</v>
      </c>
      <c r="H619" s="10">
        <f t="shared" si="37"/>
        <v>0</v>
      </c>
      <c r="I619" s="10">
        <f t="shared" si="38"/>
        <v>0</v>
      </c>
      <c r="J619" s="13" t="str">
        <f t="shared" si="39"/>
        <v/>
      </c>
    </row>
    <row r="620" spans="1:10" x14ac:dyDescent="0.2">
      <c r="A620" s="10" t="str">
        <f t="shared" si="36"/>
        <v/>
      </c>
      <c r="B620" s="9"/>
      <c r="C620" s="8"/>
      <c r="D620" s="10" t="str">
        <f ca="1">IFERROR(_xludf.XLOOKUP(C620,STUDENTS!$A$5:$A$204,STUDENTS!$C$5:$C$204,""),"")</f>
        <v/>
      </c>
      <c r="E620" s="10" t="str">
        <f ca="1">IFERROR(_xludf.XLOOKUP(C620,STUDENTS!$A$5:$A$204,STUDENTS!$L$5:$L$204,""),"")</f>
        <v/>
      </c>
      <c r="F620" s="8"/>
      <c r="G620" s="10" t="str">
        <f>SETTINGS!$B$8</f>
        <v>2026/2027</v>
      </c>
      <c r="H620" s="10">
        <f t="shared" si="37"/>
        <v>0</v>
      </c>
      <c r="I620" s="10">
        <f t="shared" si="38"/>
        <v>0</v>
      </c>
      <c r="J620" s="13" t="str">
        <f t="shared" si="39"/>
        <v/>
      </c>
    </row>
    <row r="621" spans="1:10" x14ac:dyDescent="0.2">
      <c r="A621" s="10" t="str">
        <f t="shared" si="36"/>
        <v/>
      </c>
      <c r="B621" s="9"/>
      <c r="C621" s="8"/>
      <c r="D621" s="10" t="str">
        <f ca="1">IFERROR(_xludf.XLOOKUP(C621,STUDENTS!$A$5:$A$204,STUDENTS!$C$5:$C$204,""),"")</f>
        <v/>
      </c>
      <c r="E621" s="10" t="str">
        <f ca="1">IFERROR(_xludf.XLOOKUP(C621,STUDENTS!$A$5:$A$204,STUDENTS!$L$5:$L$204,""),"")</f>
        <v/>
      </c>
      <c r="F621" s="8"/>
      <c r="G621" s="10" t="str">
        <f>SETTINGS!$B$8</f>
        <v>2026/2027</v>
      </c>
      <c r="H621" s="10">
        <f t="shared" si="37"/>
        <v>0</v>
      </c>
      <c r="I621" s="10">
        <f t="shared" si="38"/>
        <v>0</v>
      </c>
      <c r="J621" s="13" t="str">
        <f t="shared" si="39"/>
        <v/>
      </c>
    </row>
    <row r="622" spans="1:10" x14ac:dyDescent="0.2">
      <c r="A622" s="10" t="str">
        <f t="shared" si="36"/>
        <v/>
      </c>
      <c r="B622" s="9"/>
      <c r="C622" s="8"/>
      <c r="D622" s="10" t="str">
        <f ca="1">IFERROR(_xludf.XLOOKUP(C622,STUDENTS!$A$5:$A$204,STUDENTS!$C$5:$C$204,""),"")</f>
        <v/>
      </c>
      <c r="E622" s="10" t="str">
        <f ca="1">IFERROR(_xludf.XLOOKUP(C622,STUDENTS!$A$5:$A$204,STUDENTS!$L$5:$L$204,""),"")</f>
        <v/>
      </c>
      <c r="F622" s="8"/>
      <c r="G622" s="10" t="str">
        <f>SETTINGS!$B$8</f>
        <v>2026/2027</v>
      </c>
      <c r="H622" s="10">
        <f t="shared" si="37"/>
        <v>0</v>
      </c>
      <c r="I622" s="10">
        <f t="shared" si="38"/>
        <v>0</v>
      </c>
      <c r="J622" s="13" t="str">
        <f t="shared" si="39"/>
        <v/>
      </c>
    </row>
    <row r="623" spans="1:10" x14ac:dyDescent="0.2">
      <c r="A623" s="10" t="str">
        <f t="shared" si="36"/>
        <v/>
      </c>
      <c r="B623" s="9"/>
      <c r="C623" s="8"/>
      <c r="D623" s="10" t="str">
        <f ca="1">IFERROR(_xludf.XLOOKUP(C623,STUDENTS!$A$5:$A$204,STUDENTS!$C$5:$C$204,""),"")</f>
        <v/>
      </c>
      <c r="E623" s="10" t="str">
        <f ca="1">IFERROR(_xludf.XLOOKUP(C623,STUDENTS!$A$5:$A$204,STUDENTS!$L$5:$L$204,""),"")</f>
        <v/>
      </c>
      <c r="F623" s="8"/>
      <c r="G623" s="10" t="str">
        <f>SETTINGS!$B$8</f>
        <v>2026/2027</v>
      </c>
      <c r="H623" s="10">
        <f t="shared" si="37"/>
        <v>0</v>
      </c>
      <c r="I623" s="10">
        <f t="shared" si="38"/>
        <v>0</v>
      </c>
      <c r="J623" s="13" t="str">
        <f t="shared" si="39"/>
        <v/>
      </c>
    </row>
    <row r="624" spans="1:10" x14ac:dyDescent="0.2">
      <c r="A624" s="10" t="str">
        <f t="shared" si="36"/>
        <v/>
      </c>
      <c r="B624" s="9"/>
      <c r="C624" s="8"/>
      <c r="D624" s="10" t="str">
        <f ca="1">IFERROR(_xludf.XLOOKUP(C624,STUDENTS!$A$5:$A$204,STUDENTS!$C$5:$C$204,""),"")</f>
        <v/>
      </c>
      <c r="E624" s="10" t="str">
        <f ca="1">IFERROR(_xludf.XLOOKUP(C624,STUDENTS!$A$5:$A$204,STUDENTS!$L$5:$L$204,""),"")</f>
        <v/>
      </c>
      <c r="F624" s="8"/>
      <c r="G624" s="10" t="str">
        <f>SETTINGS!$B$8</f>
        <v>2026/2027</v>
      </c>
      <c r="H624" s="10">
        <f t="shared" si="37"/>
        <v>0</v>
      </c>
      <c r="I624" s="10">
        <f t="shared" si="38"/>
        <v>0</v>
      </c>
      <c r="J624" s="13" t="str">
        <f t="shared" si="39"/>
        <v/>
      </c>
    </row>
    <row r="625" spans="1:10" x14ac:dyDescent="0.2">
      <c r="A625" s="10" t="str">
        <f t="shared" si="36"/>
        <v/>
      </c>
      <c r="B625" s="9"/>
      <c r="C625" s="8"/>
      <c r="D625" s="10" t="str">
        <f ca="1">IFERROR(_xludf.XLOOKUP(C625,STUDENTS!$A$5:$A$204,STUDENTS!$C$5:$C$204,""),"")</f>
        <v/>
      </c>
      <c r="E625" s="10" t="str">
        <f ca="1">IFERROR(_xludf.XLOOKUP(C625,STUDENTS!$A$5:$A$204,STUDENTS!$L$5:$L$204,""),"")</f>
        <v/>
      </c>
      <c r="F625" s="8"/>
      <c r="G625" s="10" t="str">
        <f>SETTINGS!$B$8</f>
        <v>2026/2027</v>
      </c>
      <c r="H625" s="10">
        <f t="shared" si="37"/>
        <v>0</v>
      </c>
      <c r="I625" s="10">
        <f t="shared" si="38"/>
        <v>0</v>
      </c>
      <c r="J625" s="13" t="str">
        <f t="shared" si="39"/>
        <v/>
      </c>
    </row>
    <row r="626" spans="1:10" x14ac:dyDescent="0.2">
      <c r="A626" s="10" t="str">
        <f t="shared" si="36"/>
        <v/>
      </c>
      <c r="B626" s="9"/>
      <c r="C626" s="8"/>
      <c r="D626" s="10" t="str">
        <f ca="1">IFERROR(_xludf.XLOOKUP(C626,STUDENTS!$A$5:$A$204,STUDENTS!$C$5:$C$204,""),"")</f>
        <v/>
      </c>
      <c r="E626" s="10" t="str">
        <f ca="1">IFERROR(_xludf.XLOOKUP(C626,STUDENTS!$A$5:$A$204,STUDENTS!$L$5:$L$204,""),"")</f>
        <v/>
      </c>
      <c r="F626" s="8"/>
      <c r="G626" s="10" t="str">
        <f>SETTINGS!$B$8</f>
        <v>2026/2027</v>
      </c>
      <c r="H626" s="10">
        <f t="shared" si="37"/>
        <v>0</v>
      </c>
      <c r="I626" s="10">
        <f t="shared" si="38"/>
        <v>0</v>
      </c>
      <c r="J626" s="13" t="str">
        <f t="shared" si="39"/>
        <v/>
      </c>
    </row>
    <row r="627" spans="1:10" x14ac:dyDescent="0.2">
      <c r="A627" s="10" t="str">
        <f t="shared" si="36"/>
        <v/>
      </c>
      <c r="B627" s="9"/>
      <c r="C627" s="8"/>
      <c r="D627" s="10" t="str">
        <f ca="1">IFERROR(_xludf.XLOOKUP(C627,STUDENTS!$A$5:$A$204,STUDENTS!$C$5:$C$204,""),"")</f>
        <v/>
      </c>
      <c r="E627" s="10" t="str">
        <f ca="1">IFERROR(_xludf.XLOOKUP(C627,STUDENTS!$A$5:$A$204,STUDENTS!$L$5:$L$204,""),"")</f>
        <v/>
      </c>
      <c r="F627" s="8"/>
      <c r="G627" s="10" t="str">
        <f>SETTINGS!$B$8</f>
        <v>2026/2027</v>
      </c>
      <c r="H627" s="10">
        <f t="shared" si="37"/>
        <v>0</v>
      </c>
      <c r="I627" s="10">
        <f t="shared" si="38"/>
        <v>0</v>
      </c>
      <c r="J627" s="13" t="str">
        <f t="shared" si="39"/>
        <v/>
      </c>
    </row>
    <row r="628" spans="1:10" x14ac:dyDescent="0.2">
      <c r="A628" s="10" t="str">
        <f t="shared" si="36"/>
        <v/>
      </c>
      <c r="B628" s="9"/>
      <c r="C628" s="8"/>
      <c r="D628" s="10" t="str">
        <f ca="1">IFERROR(_xludf.XLOOKUP(C628,STUDENTS!$A$5:$A$204,STUDENTS!$C$5:$C$204,""),"")</f>
        <v/>
      </c>
      <c r="E628" s="10" t="str">
        <f ca="1">IFERROR(_xludf.XLOOKUP(C628,STUDENTS!$A$5:$A$204,STUDENTS!$L$5:$L$204,""),"")</f>
        <v/>
      </c>
      <c r="F628" s="8"/>
      <c r="G628" s="10" t="str">
        <f>SETTINGS!$B$8</f>
        <v>2026/2027</v>
      </c>
      <c r="H628" s="10">
        <f t="shared" si="37"/>
        <v>0</v>
      </c>
      <c r="I628" s="10">
        <f t="shared" si="38"/>
        <v>0</v>
      </c>
      <c r="J628" s="13" t="str">
        <f t="shared" si="39"/>
        <v/>
      </c>
    </row>
    <row r="629" spans="1:10" x14ac:dyDescent="0.2">
      <c r="A629" s="10" t="str">
        <f t="shared" si="36"/>
        <v/>
      </c>
      <c r="B629" s="9"/>
      <c r="C629" s="8"/>
      <c r="D629" s="10" t="str">
        <f ca="1">IFERROR(_xludf.XLOOKUP(C629,STUDENTS!$A$5:$A$204,STUDENTS!$C$5:$C$204,""),"")</f>
        <v/>
      </c>
      <c r="E629" s="10" t="str">
        <f ca="1">IFERROR(_xludf.XLOOKUP(C629,STUDENTS!$A$5:$A$204,STUDENTS!$L$5:$L$204,""),"")</f>
        <v/>
      </c>
      <c r="F629" s="8"/>
      <c r="G629" s="10" t="str">
        <f>SETTINGS!$B$8</f>
        <v>2026/2027</v>
      </c>
      <c r="H629" s="10">
        <f t="shared" si="37"/>
        <v>0</v>
      </c>
      <c r="I629" s="10">
        <f t="shared" si="38"/>
        <v>0</v>
      </c>
      <c r="J629" s="13" t="str">
        <f t="shared" si="39"/>
        <v/>
      </c>
    </row>
    <row r="630" spans="1:10" x14ac:dyDescent="0.2">
      <c r="A630" s="10" t="str">
        <f t="shared" si="36"/>
        <v/>
      </c>
      <c r="B630" s="9"/>
      <c r="C630" s="8"/>
      <c r="D630" s="10" t="str">
        <f ca="1">IFERROR(_xludf.XLOOKUP(C630,STUDENTS!$A$5:$A$204,STUDENTS!$C$5:$C$204,""),"")</f>
        <v/>
      </c>
      <c r="E630" s="10" t="str">
        <f ca="1">IFERROR(_xludf.XLOOKUP(C630,STUDENTS!$A$5:$A$204,STUDENTS!$L$5:$L$204,""),"")</f>
        <v/>
      </c>
      <c r="F630" s="8"/>
      <c r="G630" s="10" t="str">
        <f>SETTINGS!$B$8</f>
        <v>2026/2027</v>
      </c>
      <c r="H630" s="10">
        <f t="shared" si="37"/>
        <v>0</v>
      </c>
      <c r="I630" s="10">
        <f t="shared" si="38"/>
        <v>0</v>
      </c>
      <c r="J630" s="13" t="str">
        <f t="shared" si="39"/>
        <v/>
      </c>
    </row>
    <row r="631" spans="1:10" x14ac:dyDescent="0.2">
      <c r="A631" s="10" t="str">
        <f t="shared" si="36"/>
        <v/>
      </c>
      <c r="B631" s="9"/>
      <c r="C631" s="8"/>
      <c r="D631" s="10" t="str">
        <f ca="1">IFERROR(_xludf.XLOOKUP(C631,STUDENTS!$A$5:$A$204,STUDENTS!$C$5:$C$204,""),"")</f>
        <v/>
      </c>
      <c r="E631" s="10" t="str">
        <f ca="1">IFERROR(_xludf.XLOOKUP(C631,STUDENTS!$A$5:$A$204,STUDENTS!$L$5:$L$204,""),"")</f>
        <v/>
      </c>
      <c r="F631" s="8"/>
      <c r="G631" s="10" t="str">
        <f>SETTINGS!$B$8</f>
        <v>2026/2027</v>
      </c>
      <c r="H631" s="10">
        <f t="shared" si="37"/>
        <v>0</v>
      </c>
      <c r="I631" s="10">
        <f t="shared" si="38"/>
        <v>0</v>
      </c>
      <c r="J631" s="13" t="str">
        <f t="shared" si="39"/>
        <v/>
      </c>
    </row>
    <row r="632" spans="1:10" x14ac:dyDescent="0.2">
      <c r="A632" s="10" t="str">
        <f t="shared" si="36"/>
        <v/>
      </c>
      <c r="B632" s="9"/>
      <c r="C632" s="8"/>
      <c r="D632" s="10" t="str">
        <f ca="1">IFERROR(_xludf.XLOOKUP(C632,STUDENTS!$A$5:$A$204,STUDENTS!$C$5:$C$204,""),"")</f>
        <v/>
      </c>
      <c r="E632" s="10" t="str">
        <f ca="1">IFERROR(_xludf.XLOOKUP(C632,STUDENTS!$A$5:$A$204,STUDENTS!$L$5:$L$204,""),"")</f>
        <v/>
      </c>
      <c r="F632" s="8"/>
      <c r="G632" s="10" t="str">
        <f>SETTINGS!$B$8</f>
        <v>2026/2027</v>
      </c>
      <c r="H632" s="10">
        <f t="shared" si="37"/>
        <v>0</v>
      </c>
      <c r="I632" s="10">
        <f t="shared" si="38"/>
        <v>0</v>
      </c>
      <c r="J632" s="13" t="str">
        <f t="shared" si="39"/>
        <v/>
      </c>
    </row>
    <row r="633" spans="1:10" x14ac:dyDescent="0.2">
      <c r="A633" s="10" t="str">
        <f t="shared" si="36"/>
        <v/>
      </c>
      <c r="B633" s="9"/>
      <c r="C633" s="8"/>
      <c r="D633" s="10" t="str">
        <f ca="1">IFERROR(_xludf.XLOOKUP(C633,STUDENTS!$A$5:$A$204,STUDENTS!$C$5:$C$204,""),"")</f>
        <v/>
      </c>
      <c r="E633" s="10" t="str">
        <f ca="1">IFERROR(_xludf.XLOOKUP(C633,STUDENTS!$A$5:$A$204,STUDENTS!$L$5:$L$204,""),"")</f>
        <v/>
      </c>
      <c r="F633" s="8"/>
      <c r="G633" s="10" t="str">
        <f>SETTINGS!$B$8</f>
        <v>2026/2027</v>
      </c>
      <c r="H633" s="10">
        <f t="shared" si="37"/>
        <v>0</v>
      </c>
      <c r="I633" s="10">
        <f t="shared" si="38"/>
        <v>0</v>
      </c>
      <c r="J633" s="13" t="str">
        <f t="shared" si="39"/>
        <v/>
      </c>
    </row>
    <row r="634" spans="1:10" x14ac:dyDescent="0.2">
      <c r="A634" s="10" t="str">
        <f t="shared" si="36"/>
        <v/>
      </c>
      <c r="B634" s="9"/>
      <c r="C634" s="8"/>
      <c r="D634" s="10" t="str">
        <f ca="1">IFERROR(_xludf.XLOOKUP(C634,STUDENTS!$A$5:$A$204,STUDENTS!$C$5:$C$204,""),"")</f>
        <v/>
      </c>
      <c r="E634" s="10" t="str">
        <f ca="1">IFERROR(_xludf.XLOOKUP(C634,STUDENTS!$A$5:$A$204,STUDENTS!$L$5:$L$204,""),"")</f>
        <v/>
      </c>
      <c r="F634" s="8"/>
      <c r="G634" s="10" t="str">
        <f>SETTINGS!$B$8</f>
        <v>2026/2027</v>
      </c>
      <c r="H634" s="10">
        <f t="shared" si="37"/>
        <v>0</v>
      </c>
      <c r="I634" s="10">
        <f t="shared" si="38"/>
        <v>0</v>
      </c>
      <c r="J634" s="13" t="str">
        <f t="shared" si="39"/>
        <v/>
      </c>
    </row>
    <row r="635" spans="1:10" x14ac:dyDescent="0.2">
      <c r="A635" s="10" t="str">
        <f t="shared" si="36"/>
        <v/>
      </c>
      <c r="B635" s="9"/>
      <c r="C635" s="8"/>
      <c r="D635" s="10" t="str">
        <f ca="1">IFERROR(_xludf.XLOOKUP(C635,STUDENTS!$A$5:$A$204,STUDENTS!$C$5:$C$204,""),"")</f>
        <v/>
      </c>
      <c r="E635" s="10" t="str">
        <f ca="1">IFERROR(_xludf.XLOOKUP(C635,STUDENTS!$A$5:$A$204,STUDENTS!$L$5:$L$204,""),"")</f>
        <v/>
      </c>
      <c r="F635" s="8"/>
      <c r="G635" s="10" t="str">
        <f>SETTINGS!$B$8</f>
        <v>2026/2027</v>
      </c>
      <c r="H635" s="10">
        <f t="shared" si="37"/>
        <v>0</v>
      </c>
      <c r="I635" s="10">
        <f t="shared" si="38"/>
        <v>0</v>
      </c>
      <c r="J635" s="13" t="str">
        <f t="shared" si="39"/>
        <v/>
      </c>
    </row>
    <row r="636" spans="1:10" x14ac:dyDescent="0.2">
      <c r="A636" s="10" t="str">
        <f t="shared" si="36"/>
        <v/>
      </c>
      <c r="B636" s="9"/>
      <c r="C636" s="8"/>
      <c r="D636" s="10" t="str">
        <f ca="1">IFERROR(_xludf.XLOOKUP(C636,STUDENTS!$A$5:$A$204,STUDENTS!$C$5:$C$204,""),"")</f>
        <v/>
      </c>
      <c r="E636" s="10" t="str">
        <f ca="1">IFERROR(_xludf.XLOOKUP(C636,STUDENTS!$A$5:$A$204,STUDENTS!$L$5:$L$204,""),"")</f>
        <v/>
      </c>
      <c r="F636" s="8"/>
      <c r="G636" s="10" t="str">
        <f>SETTINGS!$B$8</f>
        <v>2026/2027</v>
      </c>
      <c r="H636" s="10">
        <f t="shared" si="37"/>
        <v>0</v>
      </c>
      <c r="I636" s="10">
        <f t="shared" si="38"/>
        <v>0</v>
      </c>
      <c r="J636" s="13" t="str">
        <f t="shared" si="39"/>
        <v/>
      </c>
    </row>
    <row r="637" spans="1:10" x14ac:dyDescent="0.2">
      <c r="A637" s="10" t="str">
        <f t="shared" si="36"/>
        <v/>
      </c>
      <c r="B637" s="9"/>
      <c r="C637" s="8"/>
      <c r="D637" s="10" t="str">
        <f ca="1">IFERROR(_xludf.XLOOKUP(C637,STUDENTS!$A$5:$A$204,STUDENTS!$C$5:$C$204,""),"")</f>
        <v/>
      </c>
      <c r="E637" s="10" t="str">
        <f ca="1">IFERROR(_xludf.XLOOKUP(C637,STUDENTS!$A$5:$A$204,STUDENTS!$L$5:$L$204,""),"")</f>
        <v/>
      </c>
      <c r="F637" s="8"/>
      <c r="G637" s="10" t="str">
        <f>SETTINGS!$B$8</f>
        <v>2026/2027</v>
      </c>
      <c r="H637" s="10">
        <f t="shared" si="37"/>
        <v>0</v>
      </c>
      <c r="I637" s="10">
        <f t="shared" si="38"/>
        <v>0</v>
      </c>
      <c r="J637" s="13" t="str">
        <f t="shared" si="39"/>
        <v/>
      </c>
    </row>
    <row r="638" spans="1:10" x14ac:dyDescent="0.2">
      <c r="A638" s="10" t="str">
        <f t="shared" si="36"/>
        <v/>
      </c>
      <c r="B638" s="9"/>
      <c r="C638" s="8"/>
      <c r="D638" s="10" t="str">
        <f ca="1">IFERROR(_xludf.XLOOKUP(C638,STUDENTS!$A$5:$A$204,STUDENTS!$C$5:$C$204,""),"")</f>
        <v/>
      </c>
      <c r="E638" s="10" t="str">
        <f ca="1">IFERROR(_xludf.XLOOKUP(C638,STUDENTS!$A$5:$A$204,STUDENTS!$L$5:$L$204,""),"")</f>
        <v/>
      </c>
      <c r="F638" s="8"/>
      <c r="G638" s="10" t="str">
        <f>SETTINGS!$B$8</f>
        <v>2026/2027</v>
      </c>
      <c r="H638" s="10">
        <f t="shared" si="37"/>
        <v>0</v>
      </c>
      <c r="I638" s="10">
        <f t="shared" si="38"/>
        <v>0</v>
      </c>
      <c r="J638" s="13" t="str">
        <f t="shared" si="39"/>
        <v/>
      </c>
    </row>
    <row r="639" spans="1:10" x14ac:dyDescent="0.2">
      <c r="A639" s="10" t="str">
        <f t="shared" si="36"/>
        <v/>
      </c>
      <c r="B639" s="9"/>
      <c r="C639" s="8"/>
      <c r="D639" s="10" t="str">
        <f ca="1">IFERROR(_xludf.XLOOKUP(C639,STUDENTS!$A$5:$A$204,STUDENTS!$C$5:$C$204,""),"")</f>
        <v/>
      </c>
      <c r="E639" s="10" t="str">
        <f ca="1">IFERROR(_xludf.XLOOKUP(C639,STUDENTS!$A$5:$A$204,STUDENTS!$L$5:$L$204,""),"")</f>
        <v/>
      </c>
      <c r="F639" s="8"/>
      <c r="G639" s="10" t="str">
        <f>SETTINGS!$B$8</f>
        <v>2026/2027</v>
      </c>
      <c r="H639" s="10">
        <f t="shared" si="37"/>
        <v>0</v>
      </c>
      <c r="I639" s="10">
        <f t="shared" si="38"/>
        <v>0</v>
      </c>
      <c r="J639" s="13" t="str">
        <f t="shared" si="39"/>
        <v/>
      </c>
    </row>
    <row r="640" spans="1:10" x14ac:dyDescent="0.2">
      <c r="A640" s="10" t="str">
        <f t="shared" si="36"/>
        <v/>
      </c>
      <c r="B640" s="9"/>
      <c r="C640" s="8"/>
      <c r="D640" s="10" t="str">
        <f ca="1">IFERROR(_xludf.XLOOKUP(C640,STUDENTS!$A$5:$A$204,STUDENTS!$C$5:$C$204,""),"")</f>
        <v/>
      </c>
      <c r="E640" s="10" t="str">
        <f ca="1">IFERROR(_xludf.XLOOKUP(C640,STUDENTS!$A$5:$A$204,STUDENTS!$L$5:$L$204,""),"")</f>
        <v/>
      </c>
      <c r="F640" s="8"/>
      <c r="G640" s="10" t="str">
        <f>SETTINGS!$B$8</f>
        <v>2026/2027</v>
      </c>
      <c r="H640" s="10">
        <f t="shared" si="37"/>
        <v>0</v>
      </c>
      <c r="I640" s="10">
        <f t="shared" si="38"/>
        <v>0</v>
      </c>
      <c r="J640" s="13" t="str">
        <f t="shared" si="39"/>
        <v/>
      </c>
    </row>
    <row r="641" spans="1:10" x14ac:dyDescent="0.2">
      <c r="A641" s="10" t="str">
        <f t="shared" si="36"/>
        <v/>
      </c>
      <c r="B641" s="9"/>
      <c r="C641" s="8"/>
      <c r="D641" s="10" t="str">
        <f ca="1">IFERROR(_xludf.XLOOKUP(C641,STUDENTS!$A$5:$A$204,STUDENTS!$C$5:$C$204,""),"")</f>
        <v/>
      </c>
      <c r="E641" s="10" t="str">
        <f ca="1">IFERROR(_xludf.XLOOKUP(C641,STUDENTS!$A$5:$A$204,STUDENTS!$L$5:$L$204,""),"")</f>
        <v/>
      </c>
      <c r="F641" s="8"/>
      <c r="G641" s="10" t="str">
        <f>SETTINGS!$B$8</f>
        <v>2026/2027</v>
      </c>
      <c r="H641" s="10">
        <f t="shared" si="37"/>
        <v>0</v>
      </c>
      <c r="I641" s="10">
        <f t="shared" si="38"/>
        <v>0</v>
      </c>
      <c r="J641" s="13" t="str">
        <f t="shared" si="39"/>
        <v/>
      </c>
    </row>
    <row r="642" spans="1:10" x14ac:dyDescent="0.2">
      <c r="A642" s="10" t="str">
        <f t="shared" si="36"/>
        <v/>
      </c>
      <c r="B642" s="9"/>
      <c r="C642" s="8"/>
      <c r="D642" s="10" t="str">
        <f ca="1">IFERROR(_xludf.XLOOKUP(C642,STUDENTS!$A$5:$A$204,STUDENTS!$C$5:$C$204,""),"")</f>
        <v/>
      </c>
      <c r="E642" s="10" t="str">
        <f ca="1">IFERROR(_xludf.XLOOKUP(C642,STUDENTS!$A$5:$A$204,STUDENTS!$L$5:$L$204,""),"")</f>
        <v/>
      </c>
      <c r="F642" s="8"/>
      <c r="G642" s="10" t="str">
        <f>SETTINGS!$B$8</f>
        <v>2026/2027</v>
      </c>
      <c r="H642" s="10">
        <f t="shared" si="37"/>
        <v>0</v>
      </c>
      <c r="I642" s="10">
        <f t="shared" si="38"/>
        <v>0</v>
      </c>
      <c r="J642" s="13" t="str">
        <f t="shared" si="39"/>
        <v/>
      </c>
    </row>
    <row r="643" spans="1:10" x14ac:dyDescent="0.2">
      <c r="A643" s="10" t="str">
        <f t="shared" si="36"/>
        <v/>
      </c>
      <c r="B643" s="9"/>
      <c r="C643" s="8"/>
      <c r="D643" s="10" t="str">
        <f ca="1">IFERROR(_xludf.XLOOKUP(C643,STUDENTS!$A$5:$A$204,STUDENTS!$C$5:$C$204,""),"")</f>
        <v/>
      </c>
      <c r="E643" s="10" t="str">
        <f ca="1">IFERROR(_xludf.XLOOKUP(C643,STUDENTS!$A$5:$A$204,STUDENTS!$L$5:$L$204,""),"")</f>
        <v/>
      </c>
      <c r="F643" s="8"/>
      <c r="G643" s="10" t="str">
        <f>SETTINGS!$B$8</f>
        <v>2026/2027</v>
      </c>
      <c r="H643" s="10">
        <f t="shared" si="37"/>
        <v>0</v>
      </c>
      <c r="I643" s="10">
        <f t="shared" si="38"/>
        <v>0</v>
      </c>
      <c r="J643" s="13" t="str">
        <f t="shared" si="39"/>
        <v/>
      </c>
    </row>
    <row r="644" spans="1:10" x14ac:dyDescent="0.2">
      <c r="A644" s="10" t="str">
        <f t="shared" si="36"/>
        <v/>
      </c>
      <c r="B644" s="9"/>
      <c r="C644" s="8"/>
      <c r="D644" s="10" t="str">
        <f ca="1">IFERROR(_xludf.XLOOKUP(C644,STUDENTS!$A$5:$A$204,STUDENTS!$C$5:$C$204,""),"")</f>
        <v/>
      </c>
      <c r="E644" s="10" t="str">
        <f ca="1">IFERROR(_xludf.XLOOKUP(C644,STUDENTS!$A$5:$A$204,STUDENTS!$L$5:$L$204,""),"")</f>
        <v/>
      </c>
      <c r="F644" s="8"/>
      <c r="G644" s="10" t="str">
        <f>SETTINGS!$B$8</f>
        <v>2026/2027</v>
      </c>
      <c r="H644" s="10">
        <f t="shared" si="37"/>
        <v>0</v>
      </c>
      <c r="I644" s="10">
        <f t="shared" si="38"/>
        <v>0</v>
      </c>
      <c r="J644" s="13" t="str">
        <f t="shared" si="39"/>
        <v/>
      </c>
    </row>
    <row r="645" spans="1:10" x14ac:dyDescent="0.2">
      <c r="A645" s="10" t="str">
        <f t="shared" ref="A645:A708" si="40">IF(C645="","","AT-"&amp;TEXT(ROW()-4,"00000"))</f>
        <v/>
      </c>
      <c r="B645" s="9"/>
      <c r="C645" s="8"/>
      <c r="D645" s="10" t="str">
        <f ca="1">IFERROR(_xludf.XLOOKUP(C645,STUDENTS!$A$5:$A$204,STUDENTS!$C$5:$C$204,""),"")</f>
        <v/>
      </c>
      <c r="E645" s="10" t="str">
        <f ca="1">IFERROR(_xludf.XLOOKUP(C645,STUDENTS!$A$5:$A$204,STUDENTS!$L$5:$L$204,""),"")</f>
        <v/>
      </c>
      <c r="F645" s="8"/>
      <c r="G645" s="10" t="str">
        <f>SETTINGS!$B$8</f>
        <v>2026/2027</v>
      </c>
      <c r="H645" s="10">
        <f t="shared" ref="H645:H708" si="41">IF(F645="Present",1,0)</f>
        <v>0</v>
      </c>
      <c r="I645" s="10">
        <f t="shared" ref="I645:I708" si="42">IF(F645="Absent",1,0)</f>
        <v>0</v>
      </c>
      <c r="J645" s="13" t="str">
        <f t="shared" ref="J645:J708" si="43">IF(OR(H645="",I645=""),"",IF(H645+I645=0,"",H645/(H645+I645)))</f>
        <v/>
      </c>
    </row>
    <row r="646" spans="1:10" x14ac:dyDescent="0.2">
      <c r="A646" s="10" t="str">
        <f t="shared" si="40"/>
        <v/>
      </c>
      <c r="B646" s="9"/>
      <c r="C646" s="8"/>
      <c r="D646" s="10" t="str">
        <f ca="1">IFERROR(_xludf.XLOOKUP(C646,STUDENTS!$A$5:$A$204,STUDENTS!$C$5:$C$204,""),"")</f>
        <v/>
      </c>
      <c r="E646" s="10" t="str">
        <f ca="1">IFERROR(_xludf.XLOOKUP(C646,STUDENTS!$A$5:$A$204,STUDENTS!$L$5:$L$204,""),"")</f>
        <v/>
      </c>
      <c r="F646" s="8"/>
      <c r="G646" s="10" t="str">
        <f>SETTINGS!$B$8</f>
        <v>2026/2027</v>
      </c>
      <c r="H646" s="10">
        <f t="shared" si="41"/>
        <v>0</v>
      </c>
      <c r="I646" s="10">
        <f t="shared" si="42"/>
        <v>0</v>
      </c>
      <c r="J646" s="13" t="str">
        <f t="shared" si="43"/>
        <v/>
      </c>
    </row>
    <row r="647" spans="1:10" x14ac:dyDescent="0.2">
      <c r="A647" s="10" t="str">
        <f t="shared" si="40"/>
        <v/>
      </c>
      <c r="B647" s="9"/>
      <c r="C647" s="8"/>
      <c r="D647" s="10" t="str">
        <f ca="1">IFERROR(_xludf.XLOOKUP(C647,STUDENTS!$A$5:$A$204,STUDENTS!$C$5:$C$204,""),"")</f>
        <v/>
      </c>
      <c r="E647" s="10" t="str">
        <f ca="1">IFERROR(_xludf.XLOOKUP(C647,STUDENTS!$A$5:$A$204,STUDENTS!$L$5:$L$204,""),"")</f>
        <v/>
      </c>
      <c r="F647" s="8"/>
      <c r="G647" s="10" t="str">
        <f>SETTINGS!$B$8</f>
        <v>2026/2027</v>
      </c>
      <c r="H647" s="10">
        <f t="shared" si="41"/>
        <v>0</v>
      </c>
      <c r="I647" s="10">
        <f t="shared" si="42"/>
        <v>0</v>
      </c>
      <c r="J647" s="13" t="str">
        <f t="shared" si="43"/>
        <v/>
      </c>
    </row>
    <row r="648" spans="1:10" x14ac:dyDescent="0.2">
      <c r="A648" s="10" t="str">
        <f t="shared" si="40"/>
        <v/>
      </c>
      <c r="B648" s="9"/>
      <c r="C648" s="8"/>
      <c r="D648" s="10" t="str">
        <f ca="1">IFERROR(_xludf.XLOOKUP(C648,STUDENTS!$A$5:$A$204,STUDENTS!$C$5:$C$204,""),"")</f>
        <v/>
      </c>
      <c r="E648" s="10" t="str">
        <f ca="1">IFERROR(_xludf.XLOOKUP(C648,STUDENTS!$A$5:$A$204,STUDENTS!$L$5:$L$204,""),"")</f>
        <v/>
      </c>
      <c r="F648" s="8"/>
      <c r="G648" s="10" t="str">
        <f>SETTINGS!$B$8</f>
        <v>2026/2027</v>
      </c>
      <c r="H648" s="10">
        <f t="shared" si="41"/>
        <v>0</v>
      </c>
      <c r="I648" s="10">
        <f t="shared" si="42"/>
        <v>0</v>
      </c>
      <c r="J648" s="13" t="str">
        <f t="shared" si="43"/>
        <v/>
      </c>
    </row>
    <row r="649" spans="1:10" x14ac:dyDescent="0.2">
      <c r="A649" s="10" t="str">
        <f t="shared" si="40"/>
        <v/>
      </c>
      <c r="B649" s="9"/>
      <c r="C649" s="8"/>
      <c r="D649" s="10" t="str">
        <f ca="1">IFERROR(_xludf.XLOOKUP(C649,STUDENTS!$A$5:$A$204,STUDENTS!$C$5:$C$204,""),"")</f>
        <v/>
      </c>
      <c r="E649" s="10" t="str">
        <f ca="1">IFERROR(_xludf.XLOOKUP(C649,STUDENTS!$A$5:$A$204,STUDENTS!$L$5:$L$204,""),"")</f>
        <v/>
      </c>
      <c r="F649" s="8"/>
      <c r="G649" s="10" t="str">
        <f>SETTINGS!$B$8</f>
        <v>2026/2027</v>
      </c>
      <c r="H649" s="10">
        <f t="shared" si="41"/>
        <v>0</v>
      </c>
      <c r="I649" s="10">
        <f t="shared" si="42"/>
        <v>0</v>
      </c>
      <c r="J649" s="13" t="str">
        <f t="shared" si="43"/>
        <v/>
      </c>
    </row>
    <row r="650" spans="1:10" x14ac:dyDescent="0.2">
      <c r="A650" s="10" t="str">
        <f t="shared" si="40"/>
        <v/>
      </c>
      <c r="B650" s="9"/>
      <c r="C650" s="8"/>
      <c r="D650" s="10" t="str">
        <f ca="1">IFERROR(_xludf.XLOOKUP(C650,STUDENTS!$A$5:$A$204,STUDENTS!$C$5:$C$204,""),"")</f>
        <v/>
      </c>
      <c r="E650" s="10" t="str">
        <f ca="1">IFERROR(_xludf.XLOOKUP(C650,STUDENTS!$A$5:$A$204,STUDENTS!$L$5:$L$204,""),"")</f>
        <v/>
      </c>
      <c r="F650" s="8"/>
      <c r="G650" s="10" t="str">
        <f>SETTINGS!$B$8</f>
        <v>2026/2027</v>
      </c>
      <c r="H650" s="10">
        <f t="shared" si="41"/>
        <v>0</v>
      </c>
      <c r="I650" s="10">
        <f t="shared" si="42"/>
        <v>0</v>
      </c>
      <c r="J650" s="13" t="str">
        <f t="shared" si="43"/>
        <v/>
      </c>
    </row>
    <row r="651" spans="1:10" x14ac:dyDescent="0.2">
      <c r="A651" s="10" t="str">
        <f t="shared" si="40"/>
        <v/>
      </c>
      <c r="B651" s="9"/>
      <c r="C651" s="8"/>
      <c r="D651" s="10" t="str">
        <f ca="1">IFERROR(_xludf.XLOOKUP(C651,STUDENTS!$A$5:$A$204,STUDENTS!$C$5:$C$204,""),"")</f>
        <v/>
      </c>
      <c r="E651" s="10" t="str">
        <f ca="1">IFERROR(_xludf.XLOOKUP(C651,STUDENTS!$A$5:$A$204,STUDENTS!$L$5:$L$204,""),"")</f>
        <v/>
      </c>
      <c r="F651" s="8"/>
      <c r="G651" s="10" t="str">
        <f>SETTINGS!$B$8</f>
        <v>2026/2027</v>
      </c>
      <c r="H651" s="10">
        <f t="shared" si="41"/>
        <v>0</v>
      </c>
      <c r="I651" s="10">
        <f t="shared" si="42"/>
        <v>0</v>
      </c>
      <c r="J651" s="13" t="str">
        <f t="shared" si="43"/>
        <v/>
      </c>
    </row>
    <row r="652" spans="1:10" x14ac:dyDescent="0.2">
      <c r="A652" s="10" t="str">
        <f t="shared" si="40"/>
        <v/>
      </c>
      <c r="B652" s="9"/>
      <c r="C652" s="8"/>
      <c r="D652" s="10" t="str">
        <f ca="1">IFERROR(_xludf.XLOOKUP(C652,STUDENTS!$A$5:$A$204,STUDENTS!$C$5:$C$204,""),"")</f>
        <v/>
      </c>
      <c r="E652" s="10" t="str">
        <f ca="1">IFERROR(_xludf.XLOOKUP(C652,STUDENTS!$A$5:$A$204,STUDENTS!$L$5:$L$204,""),"")</f>
        <v/>
      </c>
      <c r="F652" s="8"/>
      <c r="G652" s="10" t="str">
        <f>SETTINGS!$B$8</f>
        <v>2026/2027</v>
      </c>
      <c r="H652" s="10">
        <f t="shared" si="41"/>
        <v>0</v>
      </c>
      <c r="I652" s="10">
        <f t="shared" si="42"/>
        <v>0</v>
      </c>
      <c r="J652" s="13" t="str">
        <f t="shared" si="43"/>
        <v/>
      </c>
    </row>
    <row r="653" spans="1:10" x14ac:dyDescent="0.2">
      <c r="A653" s="10" t="str">
        <f t="shared" si="40"/>
        <v/>
      </c>
      <c r="B653" s="9"/>
      <c r="C653" s="8"/>
      <c r="D653" s="10" t="str">
        <f ca="1">IFERROR(_xludf.XLOOKUP(C653,STUDENTS!$A$5:$A$204,STUDENTS!$C$5:$C$204,""),"")</f>
        <v/>
      </c>
      <c r="E653" s="10" t="str">
        <f ca="1">IFERROR(_xludf.XLOOKUP(C653,STUDENTS!$A$5:$A$204,STUDENTS!$L$5:$L$204,""),"")</f>
        <v/>
      </c>
      <c r="F653" s="8"/>
      <c r="G653" s="10" t="str">
        <f>SETTINGS!$B$8</f>
        <v>2026/2027</v>
      </c>
      <c r="H653" s="10">
        <f t="shared" si="41"/>
        <v>0</v>
      </c>
      <c r="I653" s="10">
        <f t="shared" si="42"/>
        <v>0</v>
      </c>
      <c r="J653" s="13" t="str">
        <f t="shared" si="43"/>
        <v/>
      </c>
    </row>
    <row r="654" spans="1:10" x14ac:dyDescent="0.2">
      <c r="A654" s="10" t="str">
        <f t="shared" si="40"/>
        <v/>
      </c>
      <c r="B654" s="9"/>
      <c r="C654" s="8"/>
      <c r="D654" s="10" t="str">
        <f ca="1">IFERROR(_xludf.XLOOKUP(C654,STUDENTS!$A$5:$A$204,STUDENTS!$C$5:$C$204,""),"")</f>
        <v/>
      </c>
      <c r="E654" s="10" t="str">
        <f ca="1">IFERROR(_xludf.XLOOKUP(C654,STUDENTS!$A$5:$A$204,STUDENTS!$L$5:$L$204,""),"")</f>
        <v/>
      </c>
      <c r="F654" s="8"/>
      <c r="G654" s="10" t="str">
        <f>SETTINGS!$B$8</f>
        <v>2026/2027</v>
      </c>
      <c r="H654" s="10">
        <f t="shared" si="41"/>
        <v>0</v>
      </c>
      <c r="I654" s="10">
        <f t="shared" si="42"/>
        <v>0</v>
      </c>
      <c r="J654" s="13" t="str">
        <f t="shared" si="43"/>
        <v/>
      </c>
    </row>
    <row r="655" spans="1:10" x14ac:dyDescent="0.2">
      <c r="A655" s="10" t="str">
        <f t="shared" si="40"/>
        <v/>
      </c>
      <c r="B655" s="9"/>
      <c r="C655" s="8"/>
      <c r="D655" s="10" t="str">
        <f ca="1">IFERROR(_xludf.XLOOKUP(C655,STUDENTS!$A$5:$A$204,STUDENTS!$C$5:$C$204,""),"")</f>
        <v/>
      </c>
      <c r="E655" s="10" t="str">
        <f ca="1">IFERROR(_xludf.XLOOKUP(C655,STUDENTS!$A$5:$A$204,STUDENTS!$L$5:$L$204,""),"")</f>
        <v/>
      </c>
      <c r="F655" s="8"/>
      <c r="G655" s="10" t="str">
        <f>SETTINGS!$B$8</f>
        <v>2026/2027</v>
      </c>
      <c r="H655" s="10">
        <f t="shared" si="41"/>
        <v>0</v>
      </c>
      <c r="I655" s="10">
        <f t="shared" si="42"/>
        <v>0</v>
      </c>
      <c r="J655" s="13" t="str">
        <f t="shared" si="43"/>
        <v/>
      </c>
    </row>
    <row r="656" spans="1:10" x14ac:dyDescent="0.2">
      <c r="A656" s="10" t="str">
        <f t="shared" si="40"/>
        <v/>
      </c>
      <c r="B656" s="9"/>
      <c r="C656" s="8"/>
      <c r="D656" s="10" t="str">
        <f ca="1">IFERROR(_xludf.XLOOKUP(C656,STUDENTS!$A$5:$A$204,STUDENTS!$C$5:$C$204,""),"")</f>
        <v/>
      </c>
      <c r="E656" s="10" t="str">
        <f ca="1">IFERROR(_xludf.XLOOKUP(C656,STUDENTS!$A$5:$A$204,STUDENTS!$L$5:$L$204,""),"")</f>
        <v/>
      </c>
      <c r="F656" s="8"/>
      <c r="G656" s="10" t="str">
        <f>SETTINGS!$B$8</f>
        <v>2026/2027</v>
      </c>
      <c r="H656" s="10">
        <f t="shared" si="41"/>
        <v>0</v>
      </c>
      <c r="I656" s="10">
        <f t="shared" si="42"/>
        <v>0</v>
      </c>
      <c r="J656" s="13" t="str">
        <f t="shared" si="43"/>
        <v/>
      </c>
    </row>
    <row r="657" spans="1:10" x14ac:dyDescent="0.2">
      <c r="A657" s="10" t="str">
        <f t="shared" si="40"/>
        <v/>
      </c>
      <c r="B657" s="9"/>
      <c r="C657" s="8"/>
      <c r="D657" s="10" t="str">
        <f ca="1">IFERROR(_xludf.XLOOKUP(C657,STUDENTS!$A$5:$A$204,STUDENTS!$C$5:$C$204,""),"")</f>
        <v/>
      </c>
      <c r="E657" s="10" t="str">
        <f ca="1">IFERROR(_xludf.XLOOKUP(C657,STUDENTS!$A$5:$A$204,STUDENTS!$L$5:$L$204,""),"")</f>
        <v/>
      </c>
      <c r="F657" s="8"/>
      <c r="G657" s="10" t="str">
        <f>SETTINGS!$B$8</f>
        <v>2026/2027</v>
      </c>
      <c r="H657" s="10">
        <f t="shared" si="41"/>
        <v>0</v>
      </c>
      <c r="I657" s="10">
        <f t="shared" si="42"/>
        <v>0</v>
      </c>
      <c r="J657" s="13" t="str">
        <f t="shared" si="43"/>
        <v/>
      </c>
    </row>
    <row r="658" spans="1:10" x14ac:dyDescent="0.2">
      <c r="A658" s="10" t="str">
        <f t="shared" si="40"/>
        <v/>
      </c>
      <c r="B658" s="9"/>
      <c r="C658" s="8"/>
      <c r="D658" s="10" t="str">
        <f ca="1">IFERROR(_xludf.XLOOKUP(C658,STUDENTS!$A$5:$A$204,STUDENTS!$C$5:$C$204,""),"")</f>
        <v/>
      </c>
      <c r="E658" s="10" t="str">
        <f ca="1">IFERROR(_xludf.XLOOKUP(C658,STUDENTS!$A$5:$A$204,STUDENTS!$L$5:$L$204,""),"")</f>
        <v/>
      </c>
      <c r="F658" s="8"/>
      <c r="G658" s="10" t="str">
        <f>SETTINGS!$B$8</f>
        <v>2026/2027</v>
      </c>
      <c r="H658" s="10">
        <f t="shared" si="41"/>
        <v>0</v>
      </c>
      <c r="I658" s="10">
        <f t="shared" si="42"/>
        <v>0</v>
      </c>
      <c r="J658" s="13" t="str">
        <f t="shared" si="43"/>
        <v/>
      </c>
    </row>
    <row r="659" spans="1:10" x14ac:dyDescent="0.2">
      <c r="A659" s="10" t="str">
        <f t="shared" si="40"/>
        <v/>
      </c>
      <c r="B659" s="9"/>
      <c r="C659" s="8"/>
      <c r="D659" s="10" t="str">
        <f ca="1">IFERROR(_xludf.XLOOKUP(C659,STUDENTS!$A$5:$A$204,STUDENTS!$C$5:$C$204,""),"")</f>
        <v/>
      </c>
      <c r="E659" s="10" t="str">
        <f ca="1">IFERROR(_xludf.XLOOKUP(C659,STUDENTS!$A$5:$A$204,STUDENTS!$L$5:$L$204,""),"")</f>
        <v/>
      </c>
      <c r="F659" s="8"/>
      <c r="G659" s="10" t="str">
        <f>SETTINGS!$B$8</f>
        <v>2026/2027</v>
      </c>
      <c r="H659" s="10">
        <f t="shared" si="41"/>
        <v>0</v>
      </c>
      <c r="I659" s="10">
        <f t="shared" si="42"/>
        <v>0</v>
      </c>
      <c r="J659" s="13" t="str">
        <f t="shared" si="43"/>
        <v/>
      </c>
    </row>
    <row r="660" spans="1:10" x14ac:dyDescent="0.2">
      <c r="A660" s="10" t="str">
        <f t="shared" si="40"/>
        <v/>
      </c>
      <c r="B660" s="9"/>
      <c r="C660" s="8"/>
      <c r="D660" s="10" t="str">
        <f ca="1">IFERROR(_xludf.XLOOKUP(C660,STUDENTS!$A$5:$A$204,STUDENTS!$C$5:$C$204,""),"")</f>
        <v/>
      </c>
      <c r="E660" s="10" t="str">
        <f ca="1">IFERROR(_xludf.XLOOKUP(C660,STUDENTS!$A$5:$A$204,STUDENTS!$L$5:$L$204,""),"")</f>
        <v/>
      </c>
      <c r="F660" s="8"/>
      <c r="G660" s="10" t="str">
        <f>SETTINGS!$B$8</f>
        <v>2026/2027</v>
      </c>
      <c r="H660" s="10">
        <f t="shared" si="41"/>
        <v>0</v>
      </c>
      <c r="I660" s="10">
        <f t="shared" si="42"/>
        <v>0</v>
      </c>
      <c r="J660" s="13" t="str">
        <f t="shared" si="43"/>
        <v/>
      </c>
    </row>
    <row r="661" spans="1:10" x14ac:dyDescent="0.2">
      <c r="A661" s="10" t="str">
        <f t="shared" si="40"/>
        <v/>
      </c>
      <c r="B661" s="9"/>
      <c r="C661" s="8"/>
      <c r="D661" s="10" t="str">
        <f ca="1">IFERROR(_xludf.XLOOKUP(C661,STUDENTS!$A$5:$A$204,STUDENTS!$C$5:$C$204,""),"")</f>
        <v/>
      </c>
      <c r="E661" s="10" t="str">
        <f ca="1">IFERROR(_xludf.XLOOKUP(C661,STUDENTS!$A$5:$A$204,STUDENTS!$L$5:$L$204,""),"")</f>
        <v/>
      </c>
      <c r="F661" s="8"/>
      <c r="G661" s="10" t="str">
        <f>SETTINGS!$B$8</f>
        <v>2026/2027</v>
      </c>
      <c r="H661" s="10">
        <f t="shared" si="41"/>
        <v>0</v>
      </c>
      <c r="I661" s="10">
        <f t="shared" si="42"/>
        <v>0</v>
      </c>
      <c r="J661" s="13" t="str">
        <f t="shared" si="43"/>
        <v/>
      </c>
    </row>
    <row r="662" spans="1:10" x14ac:dyDescent="0.2">
      <c r="A662" s="10" t="str">
        <f t="shared" si="40"/>
        <v/>
      </c>
      <c r="B662" s="9"/>
      <c r="C662" s="8"/>
      <c r="D662" s="10" t="str">
        <f ca="1">IFERROR(_xludf.XLOOKUP(C662,STUDENTS!$A$5:$A$204,STUDENTS!$C$5:$C$204,""),"")</f>
        <v/>
      </c>
      <c r="E662" s="10" t="str">
        <f ca="1">IFERROR(_xludf.XLOOKUP(C662,STUDENTS!$A$5:$A$204,STUDENTS!$L$5:$L$204,""),"")</f>
        <v/>
      </c>
      <c r="F662" s="8"/>
      <c r="G662" s="10" t="str">
        <f>SETTINGS!$B$8</f>
        <v>2026/2027</v>
      </c>
      <c r="H662" s="10">
        <f t="shared" si="41"/>
        <v>0</v>
      </c>
      <c r="I662" s="10">
        <f t="shared" si="42"/>
        <v>0</v>
      </c>
      <c r="J662" s="13" t="str">
        <f t="shared" si="43"/>
        <v/>
      </c>
    </row>
    <row r="663" spans="1:10" x14ac:dyDescent="0.2">
      <c r="A663" s="10" t="str">
        <f t="shared" si="40"/>
        <v/>
      </c>
      <c r="B663" s="9"/>
      <c r="C663" s="8"/>
      <c r="D663" s="10" t="str">
        <f ca="1">IFERROR(_xludf.XLOOKUP(C663,STUDENTS!$A$5:$A$204,STUDENTS!$C$5:$C$204,""),"")</f>
        <v/>
      </c>
      <c r="E663" s="10" t="str">
        <f ca="1">IFERROR(_xludf.XLOOKUP(C663,STUDENTS!$A$5:$A$204,STUDENTS!$L$5:$L$204,""),"")</f>
        <v/>
      </c>
      <c r="F663" s="8"/>
      <c r="G663" s="10" t="str">
        <f>SETTINGS!$B$8</f>
        <v>2026/2027</v>
      </c>
      <c r="H663" s="10">
        <f t="shared" si="41"/>
        <v>0</v>
      </c>
      <c r="I663" s="10">
        <f t="shared" si="42"/>
        <v>0</v>
      </c>
      <c r="J663" s="13" t="str">
        <f t="shared" si="43"/>
        <v/>
      </c>
    </row>
    <row r="664" spans="1:10" x14ac:dyDescent="0.2">
      <c r="A664" s="10" t="str">
        <f t="shared" si="40"/>
        <v/>
      </c>
      <c r="B664" s="9"/>
      <c r="C664" s="8"/>
      <c r="D664" s="10" t="str">
        <f ca="1">IFERROR(_xludf.XLOOKUP(C664,STUDENTS!$A$5:$A$204,STUDENTS!$C$5:$C$204,""),"")</f>
        <v/>
      </c>
      <c r="E664" s="10" t="str">
        <f ca="1">IFERROR(_xludf.XLOOKUP(C664,STUDENTS!$A$5:$A$204,STUDENTS!$L$5:$L$204,""),"")</f>
        <v/>
      </c>
      <c r="F664" s="8"/>
      <c r="G664" s="10" t="str">
        <f>SETTINGS!$B$8</f>
        <v>2026/2027</v>
      </c>
      <c r="H664" s="10">
        <f t="shared" si="41"/>
        <v>0</v>
      </c>
      <c r="I664" s="10">
        <f t="shared" si="42"/>
        <v>0</v>
      </c>
      <c r="J664" s="13" t="str">
        <f t="shared" si="43"/>
        <v/>
      </c>
    </row>
    <row r="665" spans="1:10" x14ac:dyDescent="0.2">
      <c r="A665" s="10" t="str">
        <f t="shared" si="40"/>
        <v/>
      </c>
      <c r="B665" s="9"/>
      <c r="C665" s="8"/>
      <c r="D665" s="10" t="str">
        <f ca="1">IFERROR(_xludf.XLOOKUP(C665,STUDENTS!$A$5:$A$204,STUDENTS!$C$5:$C$204,""),"")</f>
        <v/>
      </c>
      <c r="E665" s="10" t="str">
        <f ca="1">IFERROR(_xludf.XLOOKUP(C665,STUDENTS!$A$5:$A$204,STUDENTS!$L$5:$L$204,""),"")</f>
        <v/>
      </c>
      <c r="F665" s="8"/>
      <c r="G665" s="10" t="str">
        <f>SETTINGS!$B$8</f>
        <v>2026/2027</v>
      </c>
      <c r="H665" s="10">
        <f t="shared" si="41"/>
        <v>0</v>
      </c>
      <c r="I665" s="10">
        <f t="shared" si="42"/>
        <v>0</v>
      </c>
      <c r="J665" s="13" t="str">
        <f t="shared" si="43"/>
        <v/>
      </c>
    </row>
    <row r="666" spans="1:10" x14ac:dyDescent="0.2">
      <c r="A666" s="10" t="str">
        <f t="shared" si="40"/>
        <v/>
      </c>
      <c r="B666" s="9"/>
      <c r="C666" s="8"/>
      <c r="D666" s="10" t="str">
        <f ca="1">IFERROR(_xludf.XLOOKUP(C666,STUDENTS!$A$5:$A$204,STUDENTS!$C$5:$C$204,""),"")</f>
        <v/>
      </c>
      <c r="E666" s="10" t="str">
        <f ca="1">IFERROR(_xludf.XLOOKUP(C666,STUDENTS!$A$5:$A$204,STUDENTS!$L$5:$L$204,""),"")</f>
        <v/>
      </c>
      <c r="F666" s="8"/>
      <c r="G666" s="10" t="str">
        <f>SETTINGS!$B$8</f>
        <v>2026/2027</v>
      </c>
      <c r="H666" s="10">
        <f t="shared" si="41"/>
        <v>0</v>
      </c>
      <c r="I666" s="10">
        <f t="shared" si="42"/>
        <v>0</v>
      </c>
      <c r="J666" s="13" t="str">
        <f t="shared" si="43"/>
        <v/>
      </c>
    </row>
    <row r="667" spans="1:10" x14ac:dyDescent="0.2">
      <c r="A667" s="10" t="str">
        <f t="shared" si="40"/>
        <v/>
      </c>
      <c r="B667" s="9"/>
      <c r="C667" s="8"/>
      <c r="D667" s="10" t="str">
        <f ca="1">IFERROR(_xludf.XLOOKUP(C667,STUDENTS!$A$5:$A$204,STUDENTS!$C$5:$C$204,""),"")</f>
        <v/>
      </c>
      <c r="E667" s="10" t="str">
        <f ca="1">IFERROR(_xludf.XLOOKUP(C667,STUDENTS!$A$5:$A$204,STUDENTS!$L$5:$L$204,""),"")</f>
        <v/>
      </c>
      <c r="F667" s="8"/>
      <c r="G667" s="10" t="str">
        <f>SETTINGS!$B$8</f>
        <v>2026/2027</v>
      </c>
      <c r="H667" s="10">
        <f t="shared" si="41"/>
        <v>0</v>
      </c>
      <c r="I667" s="10">
        <f t="shared" si="42"/>
        <v>0</v>
      </c>
      <c r="J667" s="13" t="str">
        <f t="shared" si="43"/>
        <v/>
      </c>
    </row>
    <row r="668" spans="1:10" x14ac:dyDescent="0.2">
      <c r="A668" s="10" t="str">
        <f t="shared" si="40"/>
        <v/>
      </c>
      <c r="B668" s="9"/>
      <c r="C668" s="8"/>
      <c r="D668" s="10" t="str">
        <f ca="1">IFERROR(_xludf.XLOOKUP(C668,STUDENTS!$A$5:$A$204,STUDENTS!$C$5:$C$204,""),"")</f>
        <v/>
      </c>
      <c r="E668" s="10" t="str">
        <f ca="1">IFERROR(_xludf.XLOOKUP(C668,STUDENTS!$A$5:$A$204,STUDENTS!$L$5:$L$204,""),"")</f>
        <v/>
      </c>
      <c r="F668" s="8"/>
      <c r="G668" s="10" t="str">
        <f>SETTINGS!$B$8</f>
        <v>2026/2027</v>
      </c>
      <c r="H668" s="10">
        <f t="shared" si="41"/>
        <v>0</v>
      </c>
      <c r="I668" s="10">
        <f t="shared" si="42"/>
        <v>0</v>
      </c>
      <c r="J668" s="13" t="str">
        <f t="shared" si="43"/>
        <v/>
      </c>
    </row>
    <row r="669" spans="1:10" x14ac:dyDescent="0.2">
      <c r="A669" s="10" t="str">
        <f t="shared" si="40"/>
        <v/>
      </c>
      <c r="B669" s="9"/>
      <c r="C669" s="8"/>
      <c r="D669" s="10" t="str">
        <f ca="1">IFERROR(_xludf.XLOOKUP(C669,STUDENTS!$A$5:$A$204,STUDENTS!$C$5:$C$204,""),"")</f>
        <v/>
      </c>
      <c r="E669" s="10" t="str">
        <f ca="1">IFERROR(_xludf.XLOOKUP(C669,STUDENTS!$A$5:$A$204,STUDENTS!$L$5:$L$204,""),"")</f>
        <v/>
      </c>
      <c r="F669" s="8"/>
      <c r="G669" s="10" t="str">
        <f>SETTINGS!$B$8</f>
        <v>2026/2027</v>
      </c>
      <c r="H669" s="10">
        <f t="shared" si="41"/>
        <v>0</v>
      </c>
      <c r="I669" s="10">
        <f t="shared" si="42"/>
        <v>0</v>
      </c>
      <c r="J669" s="13" t="str">
        <f t="shared" si="43"/>
        <v/>
      </c>
    </row>
    <row r="670" spans="1:10" x14ac:dyDescent="0.2">
      <c r="A670" s="10" t="str">
        <f t="shared" si="40"/>
        <v/>
      </c>
      <c r="B670" s="9"/>
      <c r="C670" s="8"/>
      <c r="D670" s="10" t="str">
        <f ca="1">IFERROR(_xludf.XLOOKUP(C670,STUDENTS!$A$5:$A$204,STUDENTS!$C$5:$C$204,""),"")</f>
        <v/>
      </c>
      <c r="E670" s="10" t="str">
        <f ca="1">IFERROR(_xludf.XLOOKUP(C670,STUDENTS!$A$5:$A$204,STUDENTS!$L$5:$L$204,""),"")</f>
        <v/>
      </c>
      <c r="F670" s="8"/>
      <c r="G670" s="10" t="str">
        <f>SETTINGS!$B$8</f>
        <v>2026/2027</v>
      </c>
      <c r="H670" s="10">
        <f t="shared" si="41"/>
        <v>0</v>
      </c>
      <c r="I670" s="10">
        <f t="shared" si="42"/>
        <v>0</v>
      </c>
      <c r="J670" s="13" t="str">
        <f t="shared" si="43"/>
        <v/>
      </c>
    </row>
    <row r="671" spans="1:10" x14ac:dyDescent="0.2">
      <c r="A671" s="10" t="str">
        <f t="shared" si="40"/>
        <v/>
      </c>
      <c r="B671" s="9"/>
      <c r="C671" s="8"/>
      <c r="D671" s="10" t="str">
        <f ca="1">IFERROR(_xludf.XLOOKUP(C671,STUDENTS!$A$5:$A$204,STUDENTS!$C$5:$C$204,""),"")</f>
        <v/>
      </c>
      <c r="E671" s="10" t="str">
        <f ca="1">IFERROR(_xludf.XLOOKUP(C671,STUDENTS!$A$5:$A$204,STUDENTS!$L$5:$L$204,""),"")</f>
        <v/>
      </c>
      <c r="F671" s="8"/>
      <c r="G671" s="10" t="str">
        <f>SETTINGS!$B$8</f>
        <v>2026/2027</v>
      </c>
      <c r="H671" s="10">
        <f t="shared" si="41"/>
        <v>0</v>
      </c>
      <c r="I671" s="10">
        <f t="shared" si="42"/>
        <v>0</v>
      </c>
      <c r="J671" s="13" t="str">
        <f t="shared" si="43"/>
        <v/>
      </c>
    </row>
    <row r="672" spans="1:10" x14ac:dyDescent="0.2">
      <c r="A672" s="10" t="str">
        <f t="shared" si="40"/>
        <v/>
      </c>
      <c r="B672" s="9"/>
      <c r="C672" s="8"/>
      <c r="D672" s="10" t="str">
        <f ca="1">IFERROR(_xludf.XLOOKUP(C672,STUDENTS!$A$5:$A$204,STUDENTS!$C$5:$C$204,""),"")</f>
        <v/>
      </c>
      <c r="E672" s="10" t="str">
        <f ca="1">IFERROR(_xludf.XLOOKUP(C672,STUDENTS!$A$5:$A$204,STUDENTS!$L$5:$L$204,""),"")</f>
        <v/>
      </c>
      <c r="F672" s="8"/>
      <c r="G672" s="10" t="str">
        <f>SETTINGS!$B$8</f>
        <v>2026/2027</v>
      </c>
      <c r="H672" s="10">
        <f t="shared" si="41"/>
        <v>0</v>
      </c>
      <c r="I672" s="10">
        <f t="shared" si="42"/>
        <v>0</v>
      </c>
      <c r="J672" s="13" t="str">
        <f t="shared" si="43"/>
        <v/>
      </c>
    </row>
    <row r="673" spans="1:10" x14ac:dyDescent="0.2">
      <c r="A673" s="10" t="str">
        <f t="shared" si="40"/>
        <v/>
      </c>
      <c r="B673" s="9"/>
      <c r="C673" s="8"/>
      <c r="D673" s="10" t="str">
        <f ca="1">IFERROR(_xludf.XLOOKUP(C673,STUDENTS!$A$5:$A$204,STUDENTS!$C$5:$C$204,""),"")</f>
        <v/>
      </c>
      <c r="E673" s="10" t="str">
        <f ca="1">IFERROR(_xludf.XLOOKUP(C673,STUDENTS!$A$5:$A$204,STUDENTS!$L$5:$L$204,""),"")</f>
        <v/>
      </c>
      <c r="F673" s="8"/>
      <c r="G673" s="10" t="str">
        <f>SETTINGS!$B$8</f>
        <v>2026/2027</v>
      </c>
      <c r="H673" s="10">
        <f t="shared" si="41"/>
        <v>0</v>
      </c>
      <c r="I673" s="10">
        <f t="shared" si="42"/>
        <v>0</v>
      </c>
      <c r="J673" s="13" t="str">
        <f t="shared" si="43"/>
        <v/>
      </c>
    </row>
    <row r="674" spans="1:10" x14ac:dyDescent="0.2">
      <c r="A674" s="10" t="str">
        <f t="shared" si="40"/>
        <v/>
      </c>
      <c r="B674" s="9"/>
      <c r="C674" s="8"/>
      <c r="D674" s="10" t="str">
        <f ca="1">IFERROR(_xludf.XLOOKUP(C674,STUDENTS!$A$5:$A$204,STUDENTS!$C$5:$C$204,""),"")</f>
        <v/>
      </c>
      <c r="E674" s="10" t="str">
        <f ca="1">IFERROR(_xludf.XLOOKUP(C674,STUDENTS!$A$5:$A$204,STUDENTS!$L$5:$L$204,""),"")</f>
        <v/>
      </c>
      <c r="F674" s="8"/>
      <c r="G674" s="10" t="str">
        <f>SETTINGS!$B$8</f>
        <v>2026/2027</v>
      </c>
      <c r="H674" s="10">
        <f t="shared" si="41"/>
        <v>0</v>
      </c>
      <c r="I674" s="10">
        <f t="shared" si="42"/>
        <v>0</v>
      </c>
      <c r="J674" s="13" t="str">
        <f t="shared" si="43"/>
        <v/>
      </c>
    </row>
    <row r="675" spans="1:10" x14ac:dyDescent="0.2">
      <c r="A675" s="10" t="str">
        <f t="shared" si="40"/>
        <v/>
      </c>
      <c r="B675" s="9"/>
      <c r="C675" s="8"/>
      <c r="D675" s="10" t="str">
        <f ca="1">IFERROR(_xludf.XLOOKUP(C675,STUDENTS!$A$5:$A$204,STUDENTS!$C$5:$C$204,""),"")</f>
        <v/>
      </c>
      <c r="E675" s="10" t="str">
        <f ca="1">IFERROR(_xludf.XLOOKUP(C675,STUDENTS!$A$5:$A$204,STUDENTS!$L$5:$L$204,""),"")</f>
        <v/>
      </c>
      <c r="F675" s="8"/>
      <c r="G675" s="10" t="str">
        <f>SETTINGS!$B$8</f>
        <v>2026/2027</v>
      </c>
      <c r="H675" s="10">
        <f t="shared" si="41"/>
        <v>0</v>
      </c>
      <c r="I675" s="10">
        <f t="shared" si="42"/>
        <v>0</v>
      </c>
      <c r="J675" s="13" t="str">
        <f t="shared" si="43"/>
        <v/>
      </c>
    </row>
    <row r="676" spans="1:10" x14ac:dyDescent="0.2">
      <c r="A676" s="10" t="str">
        <f t="shared" si="40"/>
        <v/>
      </c>
      <c r="B676" s="9"/>
      <c r="C676" s="8"/>
      <c r="D676" s="10" t="str">
        <f ca="1">IFERROR(_xludf.XLOOKUP(C676,STUDENTS!$A$5:$A$204,STUDENTS!$C$5:$C$204,""),"")</f>
        <v/>
      </c>
      <c r="E676" s="10" t="str">
        <f ca="1">IFERROR(_xludf.XLOOKUP(C676,STUDENTS!$A$5:$A$204,STUDENTS!$L$5:$L$204,""),"")</f>
        <v/>
      </c>
      <c r="F676" s="8"/>
      <c r="G676" s="10" t="str">
        <f>SETTINGS!$B$8</f>
        <v>2026/2027</v>
      </c>
      <c r="H676" s="10">
        <f t="shared" si="41"/>
        <v>0</v>
      </c>
      <c r="I676" s="10">
        <f t="shared" si="42"/>
        <v>0</v>
      </c>
      <c r="J676" s="13" t="str">
        <f t="shared" si="43"/>
        <v/>
      </c>
    </row>
    <row r="677" spans="1:10" x14ac:dyDescent="0.2">
      <c r="A677" s="10" t="str">
        <f t="shared" si="40"/>
        <v/>
      </c>
      <c r="B677" s="9"/>
      <c r="C677" s="8"/>
      <c r="D677" s="10" t="str">
        <f ca="1">IFERROR(_xludf.XLOOKUP(C677,STUDENTS!$A$5:$A$204,STUDENTS!$C$5:$C$204,""),"")</f>
        <v/>
      </c>
      <c r="E677" s="10" t="str">
        <f ca="1">IFERROR(_xludf.XLOOKUP(C677,STUDENTS!$A$5:$A$204,STUDENTS!$L$5:$L$204,""),"")</f>
        <v/>
      </c>
      <c r="F677" s="8"/>
      <c r="G677" s="10" t="str">
        <f>SETTINGS!$B$8</f>
        <v>2026/2027</v>
      </c>
      <c r="H677" s="10">
        <f t="shared" si="41"/>
        <v>0</v>
      </c>
      <c r="I677" s="10">
        <f t="shared" si="42"/>
        <v>0</v>
      </c>
      <c r="J677" s="13" t="str">
        <f t="shared" si="43"/>
        <v/>
      </c>
    </row>
    <row r="678" spans="1:10" x14ac:dyDescent="0.2">
      <c r="A678" s="10" t="str">
        <f t="shared" si="40"/>
        <v/>
      </c>
      <c r="B678" s="9"/>
      <c r="C678" s="8"/>
      <c r="D678" s="10" t="str">
        <f ca="1">IFERROR(_xludf.XLOOKUP(C678,STUDENTS!$A$5:$A$204,STUDENTS!$C$5:$C$204,""),"")</f>
        <v/>
      </c>
      <c r="E678" s="10" t="str">
        <f ca="1">IFERROR(_xludf.XLOOKUP(C678,STUDENTS!$A$5:$A$204,STUDENTS!$L$5:$L$204,""),"")</f>
        <v/>
      </c>
      <c r="F678" s="8"/>
      <c r="G678" s="10" t="str">
        <f>SETTINGS!$B$8</f>
        <v>2026/2027</v>
      </c>
      <c r="H678" s="10">
        <f t="shared" si="41"/>
        <v>0</v>
      </c>
      <c r="I678" s="10">
        <f t="shared" si="42"/>
        <v>0</v>
      </c>
      <c r="J678" s="13" t="str">
        <f t="shared" si="43"/>
        <v/>
      </c>
    </row>
    <row r="679" spans="1:10" x14ac:dyDescent="0.2">
      <c r="A679" s="10" t="str">
        <f t="shared" si="40"/>
        <v/>
      </c>
      <c r="B679" s="9"/>
      <c r="C679" s="8"/>
      <c r="D679" s="10" t="str">
        <f ca="1">IFERROR(_xludf.XLOOKUP(C679,STUDENTS!$A$5:$A$204,STUDENTS!$C$5:$C$204,""),"")</f>
        <v/>
      </c>
      <c r="E679" s="10" t="str">
        <f ca="1">IFERROR(_xludf.XLOOKUP(C679,STUDENTS!$A$5:$A$204,STUDENTS!$L$5:$L$204,""),"")</f>
        <v/>
      </c>
      <c r="F679" s="8"/>
      <c r="G679" s="10" t="str">
        <f>SETTINGS!$B$8</f>
        <v>2026/2027</v>
      </c>
      <c r="H679" s="10">
        <f t="shared" si="41"/>
        <v>0</v>
      </c>
      <c r="I679" s="10">
        <f t="shared" si="42"/>
        <v>0</v>
      </c>
      <c r="J679" s="13" t="str">
        <f t="shared" si="43"/>
        <v/>
      </c>
    </row>
    <row r="680" spans="1:10" x14ac:dyDescent="0.2">
      <c r="A680" s="10" t="str">
        <f t="shared" si="40"/>
        <v/>
      </c>
      <c r="B680" s="9"/>
      <c r="C680" s="8"/>
      <c r="D680" s="10" t="str">
        <f ca="1">IFERROR(_xludf.XLOOKUP(C680,STUDENTS!$A$5:$A$204,STUDENTS!$C$5:$C$204,""),"")</f>
        <v/>
      </c>
      <c r="E680" s="10" t="str">
        <f ca="1">IFERROR(_xludf.XLOOKUP(C680,STUDENTS!$A$5:$A$204,STUDENTS!$L$5:$L$204,""),"")</f>
        <v/>
      </c>
      <c r="F680" s="8"/>
      <c r="G680" s="10" t="str">
        <f>SETTINGS!$B$8</f>
        <v>2026/2027</v>
      </c>
      <c r="H680" s="10">
        <f t="shared" si="41"/>
        <v>0</v>
      </c>
      <c r="I680" s="10">
        <f t="shared" si="42"/>
        <v>0</v>
      </c>
      <c r="J680" s="13" t="str">
        <f t="shared" si="43"/>
        <v/>
      </c>
    </row>
    <row r="681" spans="1:10" x14ac:dyDescent="0.2">
      <c r="A681" s="10" t="str">
        <f t="shared" si="40"/>
        <v/>
      </c>
      <c r="B681" s="9"/>
      <c r="C681" s="8"/>
      <c r="D681" s="10" t="str">
        <f ca="1">IFERROR(_xludf.XLOOKUP(C681,STUDENTS!$A$5:$A$204,STUDENTS!$C$5:$C$204,""),"")</f>
        <v/>
      </c>
      <c r="E681" s="10" t="str">
        <f ca="1">IFERROR(_xludf.XLOOKUP(C681,STUDENTS!$A$5:$A$204,STUDENTS!$L$5:$L$204,""),"")</f>
        <v/>
      </c>
      <c r="F681" s="8"/>
      <c r="G681" s="10" t="str">
        <f>SETTINGS!$B$8</f>
        <v>2026/2027</v>
      </c>
      <c r="H681" s="10">
        <f t="shared" si="41"/>
        <v>0</v>
      </c>
      <c r="I681" s="10">
        <f t="shared" si="42"/>
        <v>0</v>
      </c>
      <c r="J681" s="13" t="str">
        <f t="shared" si="43"/>
        <v/>
      </c>
    </row>
    <row r="682" spans="1:10" x14ac:dyDescent="0.2">
      <c r="A682" s="10" t="str">
        <f t="shared" si="40"/>
        <v/>
      </c>
      <c r="B682" s="9"/>
      <c r="C682" s="8"/>
      <c r="D682" s="10" t="str">
        <f ca="1">IFERROR(_xludf.XLOOKUP(C682,STUDENTS!$A$5:$A$204,STUDENTS!$C$5:$C$204,""),"")</f>
        <v/>
      </c>
      <c r="E682" s="10" t="str">
        <f ca="1">IFERROR(_xludf.XLOOKUP(C682,STUDENTS!$A$5:$A$204,STUDENTS!$L$5:$L$204,""),"")</f>
        <v/>
      </c>
      <c r="F682" s="8"/>
      <c r="G682" s="10" t="str">
        <f>SETTINGS!$B$8</f>
        <v>2026/2027</v>
      </c>
      <c r="H682" s="10">
        <f t="shared" si="41"/>
        <v>0</v>
      </c>
      <c r="I682" s="10">
        <f t="shared" si="42"/>
        <v>0</v>
      </c>
      <c r="J682" s="13" t="str">
        <f t="shared" si="43"/>
        <v/>
      </c>
    </row>
    <row r="683" spans="1:10" x14ac:dyDescent="0.2">
      <c r="A683" s="10" t="str">
        <f t="shared" si="40"/>
        <v/>
      </c>
      <c r="B683" s="9"/>
      <c r="C683" s="8"/>
      <c r="D683" s="10" t="str">
        <f ca="1">IFERROR(_xludf.XLOOKUP(C683,STUDENTS!$A$5:$A$204,STUDENTS!$C$5:$C$204,""),"")</f>
        <v/>
      </c>
      <c r="E683" s="10" t="str">
        <f ca="1">IFERROR(_xludf.XLOOKUP(C683,STUDENTS!$A$5:$A$204,STUDENTS!$L$5:$L$204,""),"")</f>
        <v/>
      </c>
      <c r="F683" s="8"/>
      <c r="G683" s="10" t="str">
        <f>SETTINGS!$B$8</f>
        <v>2026/2027</v>
      </c>
      <c r="H683" s="10">
        <f t="shared" si="41"/>
        <v>0</v>
      </c>
      <c r="I683" s="10">
        <f t="shared" si="42"/>
        <v>0</v>
      </c>
      <c r="J683" s="13" t="str">
        <f t="shared" si="43"/>
        <v/>
      </c>
    </row>
    <row r="684" spans="1:10" x14ac:dyDescent="0.2">
      <c r="A684" s="10" t="str">
        <f t="shared" si="40"/>
        <v/>
      </c>
      <c r="B684" s="9"/>
      <c r="C684" s="8"/>
      <c r="D684" s="10" t="str">
        <f ca="1">IFERROR(_xludf.XLOOKUP(C684,STUDENTS!$A$5:$A$204,STUDENTS!$C$5:$C$204,""),"")</f>
        <v/>
      </c>
      <c r="E684" s="10" t="str">
        <f ca="1">IFERROR(_xludf.XLOOKUP(C684,STUDENTS!$A$5:$A$204,STUDENTS!$L$5:$L$204,""),"")</f>
        <v/>
      </c>
      <c r="F684" s="8"/>
      <c r="G684" s="10" t="str">
        <f>SETTINGS!$B$8</f>
        <v>2026/2027</v>
      </c>
      <c r="H684" s="10">
        <f t="shared" si="41"/>
        <v>0</v>
      </c>
      <c r="I684" s="10">
        <f t="shared" si="42"/>
        <v>0</v>
      </c>
      <c r="J684" s="13" t="str">
        <f t="shared" si="43"/>
        <v/>
      </c>
    </row>
    <row r="685" spans="1:10" x14ac:dyDescent="0.2">
      <c r="A685" s="10" t="str">
        <f t="shared" si="40"/>
        <v/>
      </c>
      <c r="B685" s="9"/>
      <c r="C685" s="8"/>
      <c r="D685" s="10" t="str">
        <f ca="1">IFERROR(_xludf.XLOOKUP(C685,STUDENTS!$A$5:$A$204,STUDENTS!$C$5:$C$204,""),"")</f>
        <v/>
      </c>
      <c r="E685" s="10" t="str">
        <f ca="1">IFERROR(_xludf.XLOOKUP(C685,STUDENTS!$A$5:$A$204,STUDENTS!$L$5:$L$204,""),"")</f>
        <v/>
      </c>
      <c r="F685" s="8"/>
      <c r="G685" s="10" t="str">
        <f>SETTINGS!$B$8</f>
        <v>2026/2027</v>
      </c>
      <c r="H685" s="10">
        <f t="shared" si="41"/>
        <v>0</v>
      </c>
      <c r="I685" s="10">
        <f t="shared" si="42"/>
        <v>0</v>
      </c>
      <c r="J685" s="13" t="str">
        <f t="shared" si="43"/>
        <v/>
      </c>
    </row>
    <row r="686" spans="1:10" x14ac:dyDescent="0.2">
      <c r="A686" s="10" t="str">
        <f t="shared" si="40"/>
        <v/>
      </c>
      <c r="B686" s="9"/>
      <c r="C686" s="8"/>
      <c r="D686" s="10" t="str">
        <f ca="1">IFERROR(_xludf.XLOOKUP(C686,STUDENTS!$A$5:$A$204,STUDENTS!$C$5:$C$204,""),"")</f>
        <v/>
      </c>
      <c r="E686" s="10" t="str">
        <f ca="1">IFERROR(_xludf.XLOOKUP(C686,STUDENTS!$A$5:$A$204,STUDENTS!$L$5:$L$204,""),"")</f>
        <v/>
      </c>
      <c r="F686" s="8"/>
      <c r="G686" s="10" t="str">
        <f>SETTINGS!$B$8</f>
        <v>2026/2027</v>
      </c>
      <c r="H686" s="10">
        <f t="shared" si="41"/>
        <v>0</v>
      </c>
      <c r="I686" s="10">
        <f t="shared" si="42"/>
        <v>0</v>
      </c>
      <c r="J686" s="13" t="str">
        <f t="shared" si="43"/>
        <v/>
      </c>
    </row>
    <row r="687" spans="1:10" x14ac:dyDescent="0.2">
      <c r="A687" s="10" t="str">
        <f t="shared" si="40"/>
        <v/>
      </c>
      <c r="B687" s="9"/>
      <c r="C687" s="8"/>
      <c r="D687" s="10" t="str">
        <f ca="1">IFERROR(_xludf.XLOOKUP(C687,STUDENTS!$A$5:$A$204,STUDENTS!$C$5:$C$204,""),"")</f>
        <v/>
      </c>
      <c r="E687" s="10" t="str">
        <f ca="1">IFERROR(_xludf.XLOOKUP(C687,STUDENTS!$A$5:$A$204,STUDENTS!$L$5:$L$204,""),"")</f>
        <v/>
      </c>
      <c r="F687" s="8"/>
      <c r="G687" s="10" t="str">
        <f>SETTINGS!$B$8</f>
        <v>2026/2027</v>
      </c>
      <c r="H687" s="10">
        <f t="shared" si="41"/>
        <v>0</v>
      </c>
      <c r="I687" s="10">
        <f t="shared" si="42"/>
        <v>0</v>
      </c>
      <c r="J687" s="13" t="str">
        <f t="shared" si="43"/>
        <v/>
      </c>
    </row>
    <row r="688" spans="1:10" x14ac:dyDescent="0.2">
      <c r="A688" s="10" t="str">
        <f t="shared" si="40"/>
        <v/>
      </c>
      <c r="B688" s="9"/>
      <c r="C688" s="8"/>
      <c r="D688" s="10" t="str">
        <f ca="1">IFERROR(_xludf.XLOOKUP(C688,STUDENTS!$A$5:$A$204,STUDENTS!$C$5:$C$204,""),"")</f>
        <v/>
      </c>
      <c r="E688" s="10" t="str">
        <f ca="1">IFERROR(_xludf.XLOOKUP(C688,STUDENTS!$A$5:$A$204,STUDENTS!$L$5:$L$204,""),"")</f>
        <v/>
      </c>
      <c r="F688" s="8"/>
      <c r="G688" s="10" t="str">
        <f>SETTINGS!$B$8</f>
        <v>2026/2027</v>
      </c>
      <c r="H688" s="10">
        <f t="shared" si="41"/>
        <v>0</v>
      </c>
      <c r="I688" s="10">
        <f t="shared" si="42"/>
        <v>0</v>
      </c>
      <c r="J688" s="13" t="str">
        <f t="shared" si="43"/>
        <v/>
      </c>
    </row>
    <row r="689" spans="1:10" x14ac:dyDescent="0.2">
      <c r="A689" s="10" t="str">
        <f t="shared" si="40"/>
        <v/>
      </c>
      <c r="B689" s="9"/>
      <c r="C689" s="8"/>
      <c r="D689" s="10" t="str">
        <f ca="1">IFERROR(_xludf.XLOOKUP(C689,STUDENTS!$A$5:$A$204,STUDENTS!$C$5:$C$204,""),"")</f>
        <v/>
      </c>
      <c r="E689" s="10" t="str">
        <f ca="1">IFERROR(_xludf.XLOOKUP(C689,STUDENTS!$A$5:$A$204,STUDENTS!$L$5:$L$204,""),"")</f>
        <v/>
      </c>
      <c r="F689" s="8"/>
      <c r="G689" s="10" t="str">
        <f>SETTINGS!$B$8</f>
        <v>2026/2027</v>
      </c>
      <c r="H689" s="10">
        <f t="shared" si="41"/>
        <v>0</v>
      </c>
      <c r="I689" s="10">
        <f t="shared" si="42"/>
        <v>0</v>
      </c>
      <c r="J689" s="13" t="str">
        <f t="shared" si="43"/>
        <v/>
      </c>
    </row>
    <row r="690" spans="1:10" x14ac:dyDescent="0.2">
      <c r="A690" s="10" t="str">
        <f t="shared" si="40"/>
        <v/>
      </c>
      <c r="B690" s="9"/>
      <c r="C690" s="8"/>
      <c r="D690" s="10" t="str">
        <f ca="1">IFERROR(_xludf.XLOOKUP(C690,STUDENTS!$A$5:$A$204,STUDENTS!$C$5:$C$204,""),"")</f>
        <v/>
      </c>
      <c r="E690" s="10" t="str">
        <f ca="1">IFERROR(_xludf.XLOOKUP(C690,STUDENTS!$A$5:$A$204,STUDENTS!$L$5:$L$204,""),"")</f>
        <v/>
      </c>
      <c r="F690" s="8"/>
      <c r="G690" s="10" t="str">
        <f>SETTINGS!$B$8</f>
        <v>2026/2027</v>
      </c>
      <c r="H690" s="10">
        <f t="shared" si="41"/>
        <v>0</v>
      </c>
      <c r="I690" s="10">
        <f t="shared" si="42"/>
        <v>0</v>
      </c>
      <c r="J690" s="13" t="str">
        <f t="shared" si="43"/>
        <v/>
      </c>
    </row>
    <row r="691" spans="1:10" x14ac:dyDescent="0.2">
      <c r="A691" s="10" t="str">
        <f t="shared" si="40"/>
        <v/>
      </c>
      <c r="B691" s="9"/>
      <c r="C691" s="8"/>
      <c r="D691" s="10" t="str">
        <f ca="1">IFERROR(_xludf.XLOOKUP(C691,STUDENTS!$A$5:$A$204,STUDENTS!$C$5:$C$204,""),"")</f>
        <v/>
      </c>
      <c r="E691" s="10" t="str">
        <f ca="1">IFERROR(_xludf.XLOOKUP(C691,STUDENTS!$A$5:$A$204,STUDENTS!$L$5:$L$204,""),"")</f>
        <v/>
      </c>
      <c r="F691" s="8"/>
      <c r="G691" s="10" t="str">
        <f>SETTINGS!$B$8</f>
        <v>2026/2027</v>
      </c>
      <c r="H691" s="10">
        <f t="shared" si="41"/>
        <v>0</v>
      </c>
      <c r="I691" s="10">
        <f t="shared" si="42"/>
        <v>0</v>
      </c>
      <c r="J691" s="13" t="str">
        <f t="shared" si="43"/>
        <v/>
      </c>
    </row>
    <row r="692" spans="1:10" x14ac:dyDescent="0.2">
      <c r="A692" s="10" t="str">
        <f t="shared" si="40"/>
        <v/>
      </c>
      <c r="B692" s="9"/>
      <c r="C692" s="8"/>
      <c r="D692" s="10" t="str">
        <f ca="1">IFERROR(_xludf.XLOOKUP(C692,STUDENTS!$A$5:$A$204,STUDENTS!$C$5:$C$204,""),"")</f>
        <v/>
      </c>
      <c r="E692" s="10" t="str">
        <f ca="1">IFERROR(_xludf.XLOOKUP(C692,STUDENTS!$A$5:$A$204,STUDENTS!$L$5:$L$204,""),"")</f>
        <v/>
      </c>
      <c r="F692" s="8"/>
      <c r="G692" s="10" t="str">
        <f>SETTINGS!$B$8</f>
        <v>2026/2027</v>
      </c>
      <c r="H692" s="10">
        <f t="shared" si="41"/>
        <v>0</v>
      </c>
      <c r="I692" s="10">
        <f t="shared" si="42"/>
        <v>0</v>
      </c>
      <c r="J692" s="13" t="str">
        <f t="shared" si="43"/>
        <v/>
      </c>
    </row>
    <row r="693" spans="1:10" x14ac:dyDescent="0.2">
      <c r="A693" s="10" t="str">
        <f t="shared" si="40"/>
        <v/>
      </c>
      <c r="B693" s="9"/>
      <c r="C693" s="8"/>
      <c r="D693" s="10" t="str">
        <f ca="1">IFERROR(_xludf.XLOOKUP(C693,STUDENTS!$A$5:$A$204,STUDENTS!$C$5:$C$204,""),"")</f>
        <v/>
      </c>
      <c r="E693" s="10" t="str">
        <f ca="1">IFERROR(_xludf.XLOOKUP(C693,STUDENTS!$A$5:$A$204,STUDENTS!$L$5:$L$204,""),"")</f>
        <v/>
      </c>
      <c r="F693" s="8"/>
      <c r="G693" s="10" t="str">
        <f>SETTINGS!$B$8</f>
        <v>2026/2027</v>
      </c>
      <c r="H693" s="10">
        <f t="shared" si="41"/>
        <v>0</v>
      </c>
      <c r="I693" s="10">
        <f t="shared" si="42"/>
        <v>0</v>
      </c>
      <c r="J693" s="13" t="str">
        <f t="shared" si="43"/>
        <v/>
      </c>
    </row>
    <row r="694" spans="1:10" x14ac:dyDescent="0.2">
      <c r="A694" s="10" t="str">
        <f t="shared" si="40"/>
        <v/>
      </c>
      <c r="B694" s="9"/>
      <c r="C694" s="8"/>
      <c r="D694" s="10" t="str">
        <f ca="1">IFERROR(_xludf.XLOOKUP(C694,STUDENTS!$A$5:$A$204,STUDENTS!$C$5:$C$204,""),"")</f>
        <v/>
      </c>
      <c r="E694" s="10" t="str">
        <f ca="1">IFERROR(_xludf.XLOOKUP(C694,STUDENTS!$A$5:$A$204,STUDENTS!$L$5:$L$204,""),"")</f>
        <v/>
      </c>
      <c r="F694" s="8"/>
      <c r="G694" s="10" t="str">
        <f>SETTINGS!$B$8</f>
        <v>2026/2027</v>
      </c>
      <c r="H694" s="10">
        <f t="shared" si="41"/>
        <v>0</v>
      </c>
      <c r="I694" s="10">
        <f t="shared" si="42"/>
        <v>0</v>
      </c>
      <c r="J694" s="13" t="str">
        <f t="shared" si="43"/>
        <v/>
      </c>
    </row>
    <row r="695" spans="1:10" x14ac:dyDescent="0.2">
      <c r="A695" s="10" t="str">
        <f t="shared" si="40"/>
        <v/>
      </c>
      <c r="B695" s="9"/>
      <c r="C695" s="8"/>
      <c r="D695" s="10" t="str">
        <f ca="1">IFERROR(_xludf.XLOOKUP(C695,STUDENTS!$A$5:$A$204,STUDENTS!$C$5:$C$204,""),"")</f>
        <v/>
      </c>
      <c r="E695" s="10" t="str">
        <f ca="1">IFERROR(_xludf.XLOOKUP(C695,STUDENTS!$A$5:$A$204,STUDENTS!$L$5:$L$204,""),"")</f>
        <v/>
      </c>
      <c r="F695" s="8"/>
      <c r="G695" s="10" t="str">
        <f>SETTINGS!$B$8</f>
        <v>2026/2027</v>
      </c>
      <c r="H695" s="10">
        <f t="shared" si="41"/>
        <v>0</v>
      </c>
      <c r="I695" s="10">
        <f t="shared" si="42"/>
        <v>0</v>
      </c>
      <c r="J695" s="13" t="str">
        <f t="shared" si="43"/>
        <v/>
      </c>
    </row>
    <row r="696" spans="1:10" x14ac:dyDescent="0.2">
      <c r="A696" s="10" t="str">
        <f t="shared" si="40"/>
        <v/>
      </c>
      <c r="B696" s="9"/>
      <c r="C696" s="8"/>
      <c r="D696" s="10" t="str">
        <f ca="1">IFERROR(_xludf.XLOOKUP(C696,STUDENTS!$A$5:$A$204,STUDENTS!$C$5:$C$204,""),"")</f>
        <v/>
      </c>
      <c r="E696" s="10" t="str">
        <f ca="1">IFERROR(_xludf.XLOOKUP(C696,STUDENTS!$A$5:$A$204,STUDENTS!$L$5:$L$204,""),"")</f>
        <v/>
      </c>
      <c r="F696" s="8"/>
      <c r="G696" s="10" t="str">
        <f>SETTINGS!$B$8</f>
        <v>2026/2027</v>
      </c>
      <c r="H696" s="10">
        <f t="shared" si="41"/>
        <v>0</v>
      </c>
      <c r="I696" s="10">
        <f t="shared" si="42"/>
        <v>0</v>
      </c>
      <c r="J696" s="13" t="str">
        <f t="shared" si="43"/>
        <v/>
      </c>
    </row>
    <row r="697" spans="1:10" x14ac:dyDescent="0.2">
      <c r="A697" s="10" t="str">
        <f t="shared" si="40"/>
        <v/>
      </c>
      <c r="B697" s="9"/>
      <c r="C697" s="8"/>
      <c r="D697" s="10" t="str">
        <f ca="1">IFERROR(_xludf.XLOOKUP(C697,STUDENTS!$A$5:$A$204,STUDENTS!$C$5:$C$204,""),"")</f>
        <v/>
      </c>
      <c r="E697" s="10" t="str">
        <f ca="1">IFERROR(_xludf.XLOOKUP(C697,STUDENTS!$A$5:$A$204,STUDENTS!$L$5:$L$204,""),"")</f>
        <v/>
      </c>
      <c r="F697" s="8"/>
      <c r="G697" s="10" t="str">
        <f>SETTINGS!$B$8</f>
        <v>2026/2027</v>
      </c>
      <c r="H697" s="10">
        <f t="shared" si="41"/>
        <v>0</v>
      </c>
      <c r="I697" s="10">
        <f t="shared" si="42"/>
        <v>0</v>
      </c>
      <c r="J697" s="13" t="str">
        <f t="shared" si="43"/>
        <v/>
      </c>
    </row>
    <row r="698" spans="1:10" x14ac:dyDescent="0.2">
      <c r="A698" s="10" t="str">
        <f t="shared" si="40"/>
        <v/>
      </c>
      <c r="B698" s="9"/>
      <c r="C698" s="8"/>
      <c r="D698" s="10" t="str">
        <f ca="1">IFERROR(_xludf.XLOOKUP(C698,STUDENTS!$A$5:$A$204,STUDENTS!$C$5:$C$204,""),"")</f>
        <v/>
      </c>
      <c r="E698" s="10" t="str">
        <f ca="1">IFERROR(_xludf.XLOOKUP(C698,STUDENTS!$A$5:$A$204,STUDENTS!$L$5:$L$204,""),"")</f>
        <v/>
      </c>
      <c r="F698" s="8"/>
      <c r="G698" s="10" t="str">
        <f>SETTINGS!$B$8</f>
        <v>2026/2027</v>
      </c>
      <c r="H698" s="10">
        <f t="shared" si="41"/>
        <v>0</v>
      </c>
      <c r="I698" s="10">
        <f t="shared" si="42"/>
        <v>0</v>
      </c>
      <c r="J698" s="13" t="str">
        <f t="shared" si="43"/>
        <v/>
      </c>
    </row>
    <row r="699" spans="1:10" x14ac:dyDescent="0.2">
      <c r="A699" s="10" t="str">
        <f t="shared" si="40"/>
        <v/>
      </c>
      <c r="B699" s="9"/>
      <c r="C699" s="8"/>
      <c r="D699" s="10" t="str">
        <f ca="1">IFERROR(_xludf.XLOOKUP(C699,STUDENTS!$A$5:$A$204,STUDENTS!$C$5:$C$204,""),"")</f>
        <v/>
      </c>
      <c r="E699" s="10" t="str">
        <f ca="1">IFERROR(_xludf.XLOOKUP(C699,STUDENTS!$A$5:$A$204,STUDENTS!$L$5:$L$204,""),"")</f>
        <v/>
      </c>
      <c r="F699" s="8"/>
      <c r="G699" s="10" t="str">
        <f>SETTINGS!$B$8</f>
        <v>2026/2027</v>
      </c>
      <c r="H699" s="10">
        <f t="shared" si="41"/>
        <v>0</v>
      </c>
      <c r="I699" s="10">
        <f t="shared" si="42"/>
        <v>0</v>
      </c>
      <c r="J699" s="13" t="str">
        <f t="shared" si="43"/>
        <v/>
      </c>
    </row>
    <row r="700" spans="1:10" x14ac:dyDescent="0.2">
      <c r="A700" s="10" t="str">
        <f t="shared" si="40"/>
        <v/>
      </c>
      <c r="B700" s="9"/>
      <c r="C700" s="8"/>
      <c r="D700" s="10" t="str">
        <f ca="1">IFERROR(_xludf.XLOOKUP(C700,STUDENTS!$A$5:$A$204,STUDENTS!$C$5:$C$204,""),"")</f>
        <v/>
      </c>
      <c r="E700" s="10" t="str">
        <f ca="1">IFERROR(_xludf.XLOOKUP(C700,STUDENTS!$A$5:$A$204,STUDENTS!$L$5:$L$204,""),"")</f>
        <v/>
      </c>
      <c r="F700" s="8"/>
      <c r="G700" s="10" t="str">
        <f>SETTINGS!$B$8</f>
        <v>2026/2027</v>
      </c>
      <c r="H700" s="10">
        <f t="shared" si="41"/>
        <v>0</v>
      </c>
      <c r="I700" s="10">
        <f t="shared" si="42"/>
        <v>0</v>
      </c>
      <c r="J700" s="13" t="str">
        <f t="shared" si="43"/>
        <v/>
      </c>
    </row>
    <row r="701" spans="1:10" x14ac:dyDescent="0.2">
      <c r="A701" s="10" t="str">
        <f t="shared" si="40"/>
        <v/>
      </c>
      <c r="B701" s="9"/>
      <c r="C701" s="8"/>
      <c r="D701" s="10" t="str">
        <f ca="1">IFERROR(_xludf.XLOOKUP(C701,STUDENTS!$A$5:$A$204,STUDENTS!$C$5:$C$204,""),"")</f>
        <v/>
      </c>
      <c r="E701" s="10" t="str">
        <f ca="1">IFERROR(_xludf.XLOOKUP(C701,STUDENTS!$A$5:$A$204,STUDENTS!$L$5:$L$204,""),"")</f>
        <v/>
      </c>
      <c r="F701" s="8"/>
      <c r="G701" s="10" t="str">
        <f>SETTINGS!$B$8</f>
        <v>2026/2027</v>
      </c>
      <c r="H701" s="10">
        <f t="shared" si="41"/>
        <v>0</v>
      </c>
      <c r="I701" s="10">
        <f t="shared" si="42"/>
        <v>0</v>
      </c>
      <c r="J701" s="13" t="str">
        <f t="shared" si="43"/>
        <v/>
      </c>
    </row>
    <row r="702" spans="1:10" x14ac:dyDescent="0.2">
      <c r="A702" s="10" t="str">
        <f t="shared" si="40"/>
        <v/>
      </c>
      <c r="B702" s="9"/>
      <c r="C702" s="8"/>
      <c r="D702" s="10" t="str">
        <f ca="1">IFERROR(_xludf.XLOOKUP(C702,STUDENTS!$A$5:$A$204,STUDENTS!$C$5:$C$204,""),"")</f>
        <v/>
      </c>
      <c r="E702" s="10" t="str">
        <f ca="1">IFERROR(_xludf.XLOOKUP(C702,STUDENTS!$A$5:$A$204,STUDENTS!$L$5:$L$204,""),"")</f>
        <v/>
      </c>
      <c r="F702" s="8"/>
      <c r="G702" s="10" t="str">
        <f>SETTINGS!$B$8</f>
        <v>2026/2027</v>
      </c>
      <c r="H702" s="10">
        <f t="shared" si="41"/>
        <v>0</v>
      </c>
      <c r="I702" s="10">
        <f t="shared" si="42"/>
        <v>0</v>
      </c>
      <c r="J702" s="13" t="str">
        <f t="shared" si="43"/>
        <v/>
      </c>
    </row>
    <row r="703" spans="1:10" x14ac:dyDescent="0.2">
      <c r="A703" s="10" t="str">
        <f t="shared" si="40"/>
        <v/>
      </c>
      <c r="B703" s="9"/>
      <c r="C703" s="8"/>
      <c r="D703" s="10" t="str">
        <f ca="1">IFERROR(_xludf.XLOOKUP(C703,STUDENTS!$A$5:$A$204,STUDENTS!$C$5:$C$204,""),"")</f>
        <v/>
      </c>
      <c r="E703" s="10" t="str">
        <f ca="1">IFERROR(_xludf.XLOOKUP(C703,STUDENTS!$A$5:$A$204,STUDENTS!$L$5:$L$204,""),"")</f>
        <v/>
      </c>
      <c r="F703" s="8"/>
      <c r="G703" s="10" t="str">
        <f>SETTINGS!$B$8</f>
        <v>2026/2027</v>
      </c>
      <c r="H703" s="10">
        <f t="shared" si="41"/>
        <v>0</v>
      </c>
      <c r="I703" s="10">
        <f t="shared" si="42"/>
        <v>0</v>
      </c>
      <c r="J703" s="13" t="str">
        <f t="shared" si="43"/>
        <v/>
      </c>
    </row>
    <row r="704" spans="1:10" x14ac:dyDescent="0.2">
      <c r="A704" s="10" t="str">
        <f t="shared" si="40"/>
        <v/>
      </c>
      <c r="B704" s="9"/>
      <c r="C704" s="8"/>
      <c r="D704" s="10" t="str">
        <f ca="1">IFERROR(_xludf.XLOOKUP(C704,STUDENTS!$A$5:$A$204,STUDENTS!$C$5:$C$204,""),"")</f>
        <v/>
      </c>
      <c r="E704" s="10" t="str">
        <f ca="1">IFERROR(_xludf.XLOOKUP(C704,STUDENTS!$A$5:$A$204,STUDENTS!$L$5:$L$204,""),"")</f>
        <v/>
      </c>
      <c r="F704" s="8"/>
      <c r="G704" s="10" t="str">
        <f>SETTINGS!$B$8</f>
        <v>2026/2027</v>
      </c>
      <c r="H704" s="10">
        <f t="shared" si="41"/>
        <v>0</v>
      </c>
      <c r="I704" s="10">
        <f t="shared" si="42"/>
        <v>0</v>
      </c>
      <c r="J704" s="13" t="str">
        <f t="shared" si="43"/>
        <v/>
      </c>
    </row>
    <row r="705" spans="1:10" x14ac:dyDescent="0.2">
      <c r="A705" s="10" t="str">
        <f t="shared" si="40"/>
        <v/>
      </c>
      <c r="B705" s="9"/>
      <c r="C705" s="8"/>
      <c r="D705" s="10" t="str">
        <f ca="1">IFERROR(_xludf.XLOOKUP(C705,STUDENTS!$A$5:$A$204,STUDENTS!$C$5:$C$204,""),"")</f>
        <v/>
      </c>
      <c r="E705" s="10" t="str">
        <f ca="1">IFERROR(_xludf.XLOOKUP(C705,STUDENTS!$A$5:$A$204,STUDENTS!$L$5:$L$204,""),"")</f>
        <v/>
      </c>
      <c r="F705" s="8"/>
      <c r="G705" s="10" t="str">
        <f>SETTINGS!$B$8</f>
        <v>2026/2027</v>
      </c>
      <c r="H705" s="10">
        <f t="shared" si="41"/>
        <v>0</v>
      </c>
      <c r="I705" s="10">
        <f t="shared" si="42"/>
        <v>0</v>
      </c>
      <c r="J705" s="13" t="str">
        <f t="shared" si="43"/>
        <v/>
      </c>
    </row>
    <row r="706" spans="1:10" x14ac:dyDescent="0.2">
      <c r="A706" s="10" t="str">
        <f t="shared" si="40"/>
        <v/>
      </c>
      <c r="B706" s="9"/>
      <c r="C706" s="8"/>
      <c r="D706" s="10" t="str">
        <f ca="1">IFERROR(_xludf.XLOOKUP(C706,STUDENTS!$A$5:$A$204,STUDENTS!$C$5:$C$204,""),"")</f>
        <v/>
      </c>
      <c r="E706" s="10" t="str">
        <f ca="1">IFERROR(_xludf.XLOOKUP(C706,STUDENTS!$A$5:$A$204,STUDENTS!$L$5:$L$204,""),"")</f>
        <v/>
      </c>
      <c r="F706" s="8"/>
      <c r="G706" s="10" t="str">
        <f>SETTINGS!$B$8</f>
        <v>2026/2027</v>
      </c>
      <c r="H706" s="10">
        <f t="shared" si="41"/>
        <v>0</v>
      </c>
      <c r="I706" s="10">
        <f t="shared" si="42"/>
        <v>0</v>
      </c>
      <c r="J706" s="13" t="str">
        <f t="shared" si="43"/>
        <v/>
      </c>
    </row>
    <row r="707" spans="1:10" x14ac:dyDescent="0.2">
      <c r="A707" s="10" t="str">
        <f t="shared" si="40"/>
        <v/>
      </c>
      <c r="B707" s="9"/>
      <c r="C707" s="8"/>
      <c r="D707" s="10" t="str">
        <f ca="1">IFERROR(_xludf.XLOOKUP(C707,STUDENTS!$A$5:$A$204,STUDENTS!$C$5:$C$204,""),"")</f>
        <v/>
      </c>
      <c r="E707" s="10" t="str">
        <f ca="1">IFERROR(_xludf.XLOOKUP(C707,STUDENTS!$A$5:$A$204,STUDENTS!$L$5:$L$204,""),"")</f>
        <v/>
      </c>
      <c r="F707" s="8"/>
      <c r="G707" s="10" t="str">
        <f>SETTINGS!$B$8</f>
        <v>2026/2027</v>
      </c>
      <c r="H707" s="10">
        <f t="shared" si="41"/>
        <v>0</v>
      </c>
      <c r="I707" s="10">
        <f t="shared" si="42"/>
        <v>0</v>
      </c>
      <c r="J707" s="13" t="str">
        <f t="shared" si="43"/>
        <v/>
      </c>
    </row>
    <row r="708" spans="1:10" x14ac:dyDescent="0.2">
      <c r="A708" s="10" t="str">
        <f t="shared" si="40"/>
        <v/>
      </c>
      <c r="B708" s="9"/>
      <c r="C708" s="8"/>
      <c r="D708" s="10" t="str">
        <f ca="1">IFERROR(_xludf.XLOOKUP(C708,STUDENTS!$A$5:$A$204,STUDENTS!$C$5:$C$204,""),"")</f>
        <v/>
      </c>
      <c r="E708" s="10" t="str">
        <f ca="1">IFERROR(_xludf.XLOOKUP(C708,STUDENTS!$A$5:$A$204,STUDENTS!$L$5:$L$204,""),"")</f>
        <v/>
      </c>
      <c r="F708" s="8"/>
      <c r="G708" s="10" t="str">
        <f>SETTINGS!$B$8</f>
        <v>2026/2027</v>
      </c>
      <c r="H708" s="10">
        <f t="shared" si="41"/>
        <v>0</v>
      </c>
      <c r="I708" s="10">
        <f t="shared" si="42"/>
        <v>0</v>
      </c>
      <c r="J708" s="13" t="str">
        <f t="shared" si="43"/>
        <v/>
      </c>
    </row>
    <row r="709" spans="1:10" x14ac:dyDescent="0.2">
      <c r="A709" s="10" t="str">
        <f t="shared" ref="A709:A772" si="44">IF(C709="","","AT-"&amp;TEXT(ROW()-4,"00000"))</f>
        <v/>
      </c>
      <c r="B709" s="9"/>
      <c r="C709" s="8"/>
      <c r="D709" s="10" t="str">
        <f ca="1">IFERROR(_xludf.XLOOKUP(C709,STUDENTS!$A$5:$A$204,STUDENTS!$C$5:$C$204,""),"")</f>
        <v/>
      </c>
      <c r="E709" s="10" t="str">
        <f ca="1">IFERROR(_xludf.XLOOKUP(C709,STUDENTS!$A$5:$A$204,STUDENTS!$L$5:$L$204,""),"")</f>
        <v/>
      </c>
      <c r="F709" s="8"/>
      <c r="G709" s="10" t="str">
        <f>SETTINGS!$B$8</f>
        <v>2026/2027</v>
      </c>
      <c r="H709" s="10">
        <f t="shared" ref="H709:H772" si="45">IF(F709="Present",1,0)</f>
        <v>0</v>
      </c>
      <c r="I709" s="10">
        <f t="shared" ref="I709:I772" si="46">IF(F709="Absent",1,0)</f>
        <v>0</v>
      </c>
      <c r="J709" s="13" t="str">
        <f t="shared" ref="J709:J772" si="47">IF(OR(H709="",I709=""),"",IF(H709+I709=0,"",H709/(H709+I709)))</f>
        <v/>
      </c>
    </row>
    <row r="710" spans="1:10" x14ac:dyDescent="0.2">
      <c r="A710" s="10" t="str">
        <f t="shared" si="44"/>
        <v/>
      </c>
      <c r="B710" s="9"/>
      <c r="C710" s="8"/>
      <c r="D710" s="10" t="str">
        <f ca="1">IFERROR(_xludf.XLOOKUP(C710,STUDENTS!$A$5:$A$204,STUDENTS!$C$5:$C$204,""),"")</f>
        <v/>
      </c>
      <c r="E710" s="10" t="str">
        <f ca="1">IFERROR(_xludf.XLOOKUP(C710,STUDENTS!$A$5:$A$204,STUDENTS!$L$5:$L$204,""),"")</f>
        <v/>
      </c>
      <c r="F710" s="8"/>
      <c r="G710" s="10" t="str">
        <f>SETTINGS!$B$8</f>
        <v>2026/2027</v>
      </c>
      <c r="H710" s="10">
        <f t="shared" si="45"/>
        <v>0</v>
      </c>
      <c r="I710" s="10">
        <f t="shared" si="46"/>
        <v>0</v>
      </c>
      <c r="J710" s="13" t="str">
        <f t="shared" si="47"/>
        <v/>
      </c>
    </row>
    <row r="711" spans="1:10" x14ac:dyDescent="0.2">
      <c r="A711" s="10" t="str">
        <f t="shared" si="44"/>
        <v/>
      </c>
      <c r="B711" s="9"/>
      <c r="C711" s="8"/>
      <c r="D711" s="10" t="str">
        <f ca="1">IFERROR(_xludf.XLOOKUP(C711,STUDENTS!$A$5:$A$204,STUDENTS!$C$5:$C$204,""),"")</f>
        <v/>
      </c>
      <c r="E711" s="10" t="str">
        <f ca="1">IFERROR(_xludf.XLOOKUP(C711,STUDENTS!$A$5:$A$204,STUDENTS!$L$5:$L$204,""),"")</f>
        <v/>
      </c>
      <c r="F711" s="8"/>
      <c r="G711" s="10" t="str">
        <f>SETTINGS!$B$8</f>
        <v>2026/2027</v>
      </c>
      <c r="H711" s="10">
        <f t="shared" si="45"/>
        <v>0</v>
      </c>
      <c r="I711" s="10">
        <f t="shared" si="46"/>
        <v>0</v>
      </c>
      <c r="J711" s="13" t="str">
        <f t="shared" si="47"/>
        <v/>
      </c>
    </row>
    <row r="712" spans="1:10" x14ac:dyDescent="0.2">
      <c r="A712" s="10" t="str">
        <f t="shared" si="44"/>
        <v/>
      </c>
      <c r="B712" s="9"/>
      <c r="C712" s="8"/>
      <c r="D712" s="10" t="str">
        <f ca="1">IFERROR(_xludf.XLOOKUP(C712,STUDENTS!$A$5:$A$204,STUDENTS!$C$5:$C$204,""),"")</f>
        <v/>
      </c>
      <c r="E712" s="10" t="str">
        <f ca="1">IFERROR(_xludf.XLOOKUP(C712,STUDENTS!$A$5:$A$204,STUDENTS!$L$5:$L$204,""),"")</f>
        <v/>
      </c>
      <c r="F712" s="8"/>
      <c r="G712" s="10" t="str">
        <f>SETTINGS!$B$8</f>
        <v>2026/2027</v>
      </c>
      <c r="H712" s="10">
        <f t="shared" si="45"/>
        <v>0</v>
      </c>
      <c r="I712" s="10">
        <f t="shared" si="46"/>
        <v>0</v>
      </c>
      <c r="J712" s="13" t="str">
        <f t="shared" si="47"/>
        <v/>
      </c>
    </row>
    <row r="713" spans="1:10" x14ac:dyDescent="0.2">
      <c r="A713" s="10" t="str">
        <f t="shared" si="44"/>
        <v/>
      </c>
      <c r="B713" s="9"/>
      <c r="C713" s="8"/>
      <c r="D713" s="10" t="str">
        <f ca="1">IFERROR(_xludf.XLOOKUP(C713,STUDENTS!$A$5:$A$204,STUDENTS!$C$5:$C$204,""),"")</f>
        <v/>
      </c>
      <c r="E713" s="10" t="str">
        <f ca="1">IFERROR(_xludf.XLOOKUP(C713,STUDENTS!$A$5:$A$204,STUDENTS!$L$5:$L$204,""),"")</f>
        <v/>
      </c>
      <c r="F713" s="8"/>
      <c r="G713" s="10" t="str">
        <f>SETTINGS!$B$8</f>
        <v>2026/2027</v>
      </c>
      <c r="H713" s="10">
        <f t="shared" si="45"/>
        <v>0</v>
      </c>
      <c r="I713" s="10">
        <f t="shared" si="46"/>
        <v>0</v>
      </c>
      <c r="J713" s="13" t="str">
        <f t="shared" si="47"/>
        <v/>
      </c>
    </row>
    <row r="714" spans="1:10" x14ac:dyDescent="0.2">
      <c r="A714" s="10" t="str">
        <f t="shared" si="44"/>
        <v/>
      </c>
      <c r="B714" s="9"/>
      <c r="C714" s="8"/>
      <c r="D714" s="10" t="str">
        <f ca="1">IFERROR(_xludf.XLOOKUP(C714,STUDENTS!$A$5:$A$204,STUDENTS!$C$5:$C$204,""),"")</f>
        <v/>
      </c>
      <c r="E714" s="10" t="str">
        <f ca="1">IFERROR(_xludf.XLOOKUP(C714,STUDENTS!$A$5:$A$204,STUDENTS!$L$5:$L$204,""),"")</f>
        <v/>
      </c>
      <c r="F714" s="8"/>
      <c r="G714" s="10" t="str">
        <f>SETTINGS!$B$8</f>
        <v>2026/2027</v>
      </c>
      <c r="H714" s="10">
        <f t="shared" si="45"/>
        <v>0</v>
      </c>
      <c r="I714" s="10">
        <f t="shared" si="46"/>
        <v>0</v>
      </c>
      <c r="J714" s="13" t="str">
        <f t="shared" si="47"/>
        <v/>
      </c>
    </row>
    <row r="715" spans="1:10" x14ac:dyDescent="0.2">
      <c r="A715" s="10" t="str">
        <f t="shared" si="44"/>
        <v/>
      </c>
      <c r="B715" s="9"/>
      <c r="C715" s="8"/>
      <c r="D715" s="10" t="str">
        <f ca="1">IFERROR(_xludf.XLOOKUP(C715,STUDENTS!$A$5:$A$204,STUDENTS!$C$5:$C$204,""),"")</f>
        <v/>
      </c>
      <c r="E715" s="10" t="str">
        <f ca="1">IFERROR(_xludf.XLOOKUP(C715,STUDENTS!$A$5:$A$204,STUDENTS!$L$5:$L$204,""),"")</f>
        <v/>
      </c>
      <c r="F715" s="8"/>
      <c r="G715" s="10" t="str">
        <f>SETTINGS!$B$8</f>
        <v>2026/2027</v>
      </c>
      <c r="H715" s="10">
        <f t="shared" si="45"/>
        <v>0</v>
      </c>
      <c r="I715" s="10">
        <f t="shared" si="46"/>
        <v>0</v>
      </c>
      <c r="J715" s="13" t="str">
        <f t="shared" si="47"/>
        <v/>
      </c>
    </row>
    <row r="716" spans="1:10" x14ac:dyDescent="0.2">
      <c r="A716" s="10" t="str">
        <f t="shared" si="44"/>
        <v/>
      </c>
      <c r="B716" s="9"/>
      <c r="C716" s="8"/>
      <c r="D716" s="10" t="str">
        <f ca="1">IFERROR(_xludf.XLOOKUP(C716,STUDENTS!$A$5:$A$204,STUDENTS!$C$5:$C$204,""),"")</f>
        <v/>
      </c>
      <c r="E716" s="10" t="str">
        <f ca="1">IFERROR(_xludf.XLOOKUP(C716,STUDENTS!$A$5:$A$204,STUDENTS!$L$5:$L$204,""),"")</f>
        <v/>
      </c>
      <c r="F716" s="8"/>
      <c r="G716" s="10" t="str">
        <f>SETTINGS!$B$8</f>
        <v>2026/2027</v>
      </c>
      <c r="H716" s="10">
        <f t="shared" si="45"/>
        <v>0</v>
      </c>
      <c r="I716" s="10">
        <f t="shared" si="46"/>
        <v>0</v>
      </c>
      <c r="J716" s="13" t="str">
        <f t="shared" si="47"/>
        <v/>
      </c>
    </row>
    <row r="717" spans="1:10" x14ac:dyDescent="0.2">
      <c r="A717" s="10" t="str">
        <f t="shared" si="44"/>
        <v/>
      </c>
      <c r="B717" s="9"/>
      <c r="C717" s="8"/>
      <c r="D717" s="10" t="str">
        <f ca="1">IFERROR(_xludf.XLOOKUP(C717,STUDENTS!$A$5:$A$204,STUDENTS!$C$5:$C$204,""),"")</f>
        <v/>
      </c>
      <c r="E717" s="10" t="str">
        <f ca="1">IFERROR(_xludf.XLOOKUP(C717,STUDENTS!$A$5:$A$204,STUDENTS!$L$5:$L$204,""),"")</f>
        <v/>
      </c>
      <c r="F717" s="8"/>
      <c r="G717" s="10" t="str">
        <f>SETTINGS!$B$8</f>
        <v>2026/2027</v>
      </c>
      <c r="H717" s="10">
        <f t="shared" si="45"/>
        <v>0</v>
      </c>
      <c r="I717" s="10">
        <f t="shared" si="46"/>
        <v>0</v>
      </c>
      <c r="J717" s="13" t="str">
        <f t="shared" si="47"/>
        <v/>
      </c>
    </row>
    <row r="718" spans="1:10" x14ac:dyDescent="0.2">
      <c r="A718" s="10" t="str">
        <f t="shared" si="44"/>
        <v/>
      </c>
      <c r="B718" s="9"/>
      <c r="C718" s="8"/>
      <c r="D718" s="10" t="str">
        <f ca="1">IFERROR(_xludf.XLOOKUP(C718,STUDENTS!$A$5:$A$204,STUDENTS!$C$5:$C$204,""),"")</f>
        <v/>
      </c>
      <c r="E718" s="10" t="str">
        <f ca="1">IFERROR(_xludf.XLOOKUP(C718,STUDENTS!$A$5:$A$204,STUDENTS!$L$5:$L$204,""),"")</f>
        <v/>
      </c>
      <c r="F718" s="8"/>
      <c r="G718" s="10" t="str">
        <f>SETTINGS!$B$8</f>
        <v>2026/2027</v>
      </c>
      <c r="H718" s="10">
        <f t="shared" si="45"/>
        <v>0</v>
      </c>
      <c r="I718" s="10">
        <f t="shared" si="46"/>
        <v>0</v>
      </c>
      <c r="J718" s="13" t="str">
        <f t="shared" si="47"/>
        <v/>
      </c>
    </row>
    <row r="719" spans="1:10" x14ac:dyDescent="0.2">
      <c r="A719" s="10" t="str">
        <f t="shared" si="44"/>
        <v/>
      </c>
      <c r="B719" s="9"/>
      <c r="C719" s="8"/>
      <c r="D719" s="10" t="str">
        <f ca="1">IFERROR(_xludf.XLOOKUP(C719,STUDENTS!$A$5:$A$204,STUDENTS!$C$5:$C$204,""),"")</f>
        <v/>
      </c>
      <c r="E719" s="10" t="str">
        <f ca="1">IFERROR(_xludf.XLOOKUP(C719,STUDENTS!$A$5:$A$204,STUDENTS!$L$5:$L$204,""),"")</f>
        <v/>
      </c>
      <c r="F719" s="8"/>
      <c r="G719" s="10" t="str">
        <f>SETTINGS!$B$8</f>
        <v>2026/2027</v>
      </c>
      <c r="H719" s="10">
        <f t="shared" si="45"/>
        <v>0</v>
      </c>
      <c r="I719" s="10">
        <f t="shared" si="46"/>
        <v>0</v>
      </c>
      <c r="J719" s="13" t="str">
        <f t="shared" si="47"/>
        <v/>
      </c>
    </row>
    <row r="720" spans="1:10" x14ac:dyDescent="0.2">
      <c r="A720" s="10" t="str">
        <f t="shared" si="44"/>
        <v/>
      </c>
      <c r="B720" s="9"/>
      <c r="C720" s="8"/>
      <c r="D720" s="10" t="str">
        <f ca="1">IFERROR(_xludf.XLOOKUP(C720,STUDENTS!$A$5:$A$204,STUDENTS!$C$5:$C$204,""),"")</f>
        <v/>
      </c>
      <c r="E720" s="10" t="str">
        <f ca="1">IFERROR(_xludf.XLOOKUP(C720,STUDENTS!$A$5:$A$204,STUDENTS!$L$5:$L$204,""),"")</f>
        <v/>
      </c>
      <c r="F720" s="8"/>
      <c r="G720" s="10" t="str">
        <f>SETTINGS!$B$8</f>
        <v>2026/2027</v>
      </c>
      <c r="H720" s="10">
        <f t="shared" si="45"/>
        <v>0</v>
      </c>
      <c r="I720" s="10">
        <f t="shared" si="46"/>
        <v>0</v>
      </c>
      <c r="J720" s="13" t="str">
        <f t="shared" si="47"/>
        <v/>
      </c>
    </row>
    <row r="721" spans="1:10" x14ac:dyDescent="0.2">
      <c r="A721" s="10" t="str">
        <f t="shared" si="44"/>
        <v/>
      </c>
      <c r="B721" s="9"/>
      <c r="C721" s="8"/>
      <c r="D721" s="10" t="str">
        <f ca="1">IFERROR(_xludf.XLOOKUP(C721,STUDENTS!$A$5:$A$204,STUDENTS!$C$5:$C$204,""),"")</f>
        <v/>
      </c>
      <c r="E721" s="10" t="str">
        <f ca="1">IFERROR(_xludf.XLOOKUP(C721,STUDENTS!$A$5:$A$204,STUDENTS!$L$5:$L$204,""),"")</f>
        <v/>
      </c>
      <c r="F721" s="8"/>
      <c r="G721" s="10" t="str">
        <f>SETTINGS!$B$8</f>
        <v>2026/2027</v>
      </c>
      <c r="H721" s="10">
        <f t="shared" si="45"/>
        <v>0</v>
      </c>
      <c r="I721" s="10">
        <f t="shared" si="46"/>
        <v>0</v>
      </c>
      <c r="J721" s="13" t="str">
        <f t="shared" si="47"/>
        <v/>
      </c>
    </row>
    <row r="722" spans="1:10" x14ac:dyDescent="0.2">
      <c r="A722" s="10" t="str">
        <f t="shared" si="44"/>
        <v/>
      </c>
      <c r="B722" s="9"/>
      <c r="C722" s="8"/>
      <c r="D722" s="10" t="str">
        <f ca="1">IFERROR(_xludf.XLOOKUP(C722,STUDENTS!$A$5:$A$204,STUDENTS!$C$5:$C$204,""),"")</f>
        <v/>
      </c>
      <c r="E722" s="10" t="str">
        <f ca="1">IFERROR(_xludf.XLOOKUP(C722,STUDENTS!$A$5:$A$204,STUDENTS!$L$5:$L$204,""),"")</f>
        <v/>
      </c>
      <c r="F722" s="8"/>
      <c r="G722" s="10" t="str">
        <f>SETTINGS!$B$8</f>
        <v>2026/2027</v>
      </c>
      <c r="H722" s="10">
        <f t="shared" si="45"/>
        <v>0</v>
      </c>
      <c r="I722" s="10">
        <f t="shared" si="46"/>
        <v>0</v>
      </c>
      <c r="J722" s="13" t="str">
        <f t="shared" si="47"/>
        <v/>
      </c>
    </row>
    <row r="723" spans="1:10" x14ac:dyDescent="0.2">
      <c r="A723" s="10" t="str">
        <f t="shared" si="44"/>
        <v/>
      </c>
      <c r="B723" s="9"/>
      <c r="C723" s="8"/>
      <c r="D723" s="10" t="str">
        <f ca="1">IFERROR(_xludf.XLOOKUP(C723,STUDENTS!$A$5:$A$204,STUDENTS!$C$5:$C$204,""),"")</f>
        <v/>
      </c>
      <c r="E723" s="10" t="str">
        <f ca="1">IFERROR(_xludf.XLOOKUP(C723,STUDENTS!$A$5:$A$204,STUDENTS!$L$5:$L$204,""),"")</f>
        <v/>
      </c>
      <c r="F723" s="8"/>
      <c r="G723" s="10" t="str">
        <f>SETTINGS!$B$8</f>
        <v>2026/2027</v>
      </c>
      <c r="H723" s="10">
        <f t="shared" si="45"/>
        <v>0</v>
      </c>
      <c r="I723" s="10">
        <f t="shared" si="46"/>
        <v>0</v>
      </c>
      <c r="J723" s="13" t="str">
        <f t="shared" si="47"/>
        <v/>
      </c>
    </row>
    <row r="724" spans="1:10" x14ac:dyDescent="0.2">
      <c r="A724" s="10" t="str">
        <f t="shared" si="44"/>
        <v/>
      </c>
      <c r="B724" s="9"/>
      <c r="C724" s="8"/>
      <c r="D724" s="10" t="str">
        <f ca="1">IFERROR(_xludf.XLOOKUP(C724,STUDENTS!$A$5:$A$204,STUDENTS!$C$5:$C$204,""),"")</f>
        <v/>
      </c>
      <c r="E724" s="10" t="str">
        <f ca="1">IFERROR(_xludf.XLOOKUP(C724,STUDENTS!$A$5:$A$204,STUDENTS!$L$5:$L$204,""),"")</f>
        <v/>
      </c>
      <c r="F724" s="8"/>
      <c r="G724" s="10" t="str">
        <f>SETTINGS!$B$8</f>
        <v>2026/2027</v>
      </c>
      <c r="H724" s="10">
        <f t="shared" si="45"/>
        <v>0</v>
      </c>
      <c r="I724" s="10">
        <f t="shared" si="46"/>
        <v>0</v>
      </c>
      <c r="J724" s="13" t="str">
        <f t="shared" si="47"/>
        <v/>
      </c>
    </row>
    <row r="725" spans="1:10" x14ac:dyDescent="0.2">
      <c r="A725" s="10" t="str">
        <f t="shared" si="44"/>
        <v/>
      </c>
      <c r="B725" s="9"/>
      <c r="C725" s="8"/>
      <c r="D725" s="10" t="str">
        <f ca="1">IFERROR(_xludf.XLOOKUP(C725,STUDENTS!$A$5:$A$204,STUDENTS!$C$5:$C$204,""),"")</f>
        <v/>
      </c>
      <c r="E725" s="10" t="str">
        <f ca="1">IFERROR(_xludf.XLOOKUP(C725,STUDENTS!$A$5:$A$204,STUDENTS!$L$5:$L$204,""),"")</f>
        <v/>
      </c>
      <c r="F725" s="8"/>
      <c r="G725" s="10" t="str">
        <f>SETTINGS!$B$8</f>
        <v>2026/2027</v>
      </c>
      <c r="H725" s="10">
        <f t="shared" si="45"/>
        <v>0</v>
      </c>
      <c r="I725" s="10">
        <f t="shared" si="46"/>
        <v>0</v>
      </c>
      <c r="J725" s="13" t="str">
        <f t="shared" si="47"/>
        <v/>
      </c>
    </row>
    <row r="726" spans="1:10" x14ac:dyDescent="0.2">
      <c r="A726" s="10" t="str">
        <f t="shared" si="44"/>
        <v/>
      </c>
      <c r="B726" s="9"/>
      <c r="C726" s="8"/>
      <c r="D726" s="10" t="str">
        <f ca="1">IFERROR(_xludf.XLOOKUP(C726,STUDENTS!$A$5:$A$204,STUDENTS!$C$5:$C$204,""),"")</f>
        <v/>
      </c>
      <c r="E726" s="10" t="str">
        <f ca="1">IFERROR(_xludf.XLOOKUP(C726,STUDENTS!$A$5:$A$204,STUDENTS!$L$5:$L$204,""),"")</f>
        <v/>
      </c>
      <c r="F726" s="8"/>
      <c r="G726" s="10" t="str">
        <f>SETTINGS!$B$8</f>
        <v>2026/2027</v>
      </c>
      <c r="H726" s="10">
        <f t="shared" si="45"/>
        <v>0</v>
      </c>
      <c r="I726" s="10">
        <f t="shared" si="46"/>
        <v>0</v>
      </c>
      <c r="J726" s="13" t="str">
        <f t="shared" si="47"/>
        <v/>
      </c>
    </row>
    <row r="727" spans="1:10" x14ac:dyDescent="0.2">
      <c r="A727" s="10" t="str">
        <f t="shared" si="44"/>
        <v/>
      </c>
      <c r="B727" s="9"/>
      <c r="C727" s="8"/>
      <c r="D727" s="10" t="str">
        <f ca="1">IFERROR(_xludf.XLOOKUP(C727,STUDENTS!$A$5:$A$204,STUDENTS!$C$5:$C$204,""),"")</f>
        <v/>
      </c>
      <c r="E727" s="10" t="str">
        <f ca="1">IFERROR(_xludf.XLOOKUP(C727,STUDENTS!$A$5:$A$204,STUDENTS!$L$5:$L$204,""),"")</f>
        <v/>
      </c>
      <c r="F727" s="8"/>
      <c r="G727" s="10" t="str">
        <f>SETTINGS!$B$8</f>
        <v>2026/2027</v>
      </c>
      <c r="H727" s="10">
        <f t="shared" si="45"/>
        <v>0</v>
      </c>
      <c r="I727" s="10">
        <f t="shared" si="46"/>
        <v>0</v>
      </c>
      <c r="J727" s="13" t="str">
        <f t="shared" si="47"/>
        <v/>
      </c>
    </row>
    <row r="728" spans="1:10" x14ac:dyDescent="0.2">
      <c r="A728" s="10" t="str">
        <f t="shared" si="44"/>
        <v/>
      </c>
      <c r="B728" s="9"/>
      <c r="C728" s="8"/>
      <c r="D728" s="10" t="str">
        <f ca="1">IFERROR(_xludf.XLOOKUP(C728,STUDENTS!$A$5:$A$204,STUDENTS!$C$5:$C$204,""),"")</f>
        <v/>
      </c>
      <c r="E728" s="10" t="str">
        <f ca="1">IFERROR(_xludf.XLOOKUP(C728,STUDENTS!$A$5:$A$204,STUDENTS!$L$5:$L$204,""),"")</f>
        <v/>
      </c>
      <c r="F728" s="8"/>
      <c r="G728" s="10" t="str">
        <f>SETTINGS!$B$8</f>
        <v>2026/2027</v>
      </c>
      <c r="H728" s="10">
        <f t="shared" si="45"/>
        <v>0</v>
      </c>
      <c r="I728" s="10">
        <f t="shared" si="46"/>
        <v>0</v>
      </c>
      <c r="J728" s="13" t="str">
        <f t="shared" si="47"/>
        <v/>
      </c>
    </row>
    <row r="729" spans="1:10" x14ac:dyDescent="0.2">
      <c r="A729" s="10" t="str">
        <f t="shared" si="44"/>
        <v/>
      </c>
      <c r="B729" s="9"/>
      <c r="C729" s="8"/>
      <c r="D729" s="10" t="str">
        <f ca="1">IFERROR(_xludf.XLOOKUP(C729,STUDENTS!$A$5:$A$204,STUDENTS!$C$5:$C$204,""),"")</f>
        <v/>
      </c>
      <c r="E729" s="10" t="str">
        <f ca="1">IFERROR(_xludf.XLOOKUP(C729,STUDENTS!$A$5:$A$204,STUDENTS!$L$5:$L$204,""),"")</f>
        <v/>
      </c>
      <c r="F729" s="8"/>
      <c r="G729" s="10" t="str">
        <f>SETTINGS!$B$8</f>
        <v>2026/2027</v>
      </c>
      <c r="H729" s="10">
        <f t="shared" si="45"/>
        <v>0</v>
      </c>
      <c r="I729" s="10">
        <f t="shared" si="46"/>
        <v>0</v>
      </c>
      <c r="J729" s="13" t="str">
        <f t="shared" si="47"/>
        <v/>
      </c>
    </row>
    <row r="730" spans="1:10" x14ac:dyDescent="0.2">
      <c r="A730" s="10" t="str">
        <f t="shared" si="44"/>
        <v/>
      </c>
      <c r="B730" s="9"/>
      <c r="C730" s="8"/>
      <c r="D730" s="10" t="str">
        <f ca="1">IFERROR(_xludf.XLOOKUP(C730,STUDENTS!$A$5:$A$204,STUDENTS!$C$5:$C$204,""),"")</f>
        <v/>
      </c>
      <c r="E730" s="10" t="str">
        <f ca="1">IFERROR(_xludf.XLOOKUP(C730,STUDENTS!$A$5:$A$204,STUDENTS!$L$5:$L$204,""),"")</f>
        <v/>
      </c>
      <c r="F730" s="8"/>
      <c r="G730" s="10" t="str">
        <f>SETTINGS!$B$8</f>
        <v>2026/2027</v>
      </c>
      <c r="H730" s="10">
        <f t="shared" si="45"/>
        <v>0</v>
      </c>
      <c r="I730" s="10">
        <f t="shared" si="46"/>
        <v>0</v>
      </c>
      <c r="J730" s="13" t="str">
        <f t="shared" si="47"/>
        <v/>
      </c>
    </row>
    <row r="731" spans="1:10" x14ac:dyDescent="0.2">
      <c r="A731" s="10" t="str">
        <f t="shared" si="44"/>
        <v/>
      </c>
      <c r="B731" s="9"/>
      <c r="C731" s="8"/>
      <c r="D731" s="10" t="str">
        <f ca="1">IFERROR(_xludf.XLOOKUP(C731,STUDENTS!$A$5:$A$204,STUDENTS!$C$5:$C$204,""),"")</f>
        <v/>
      </c>
      <c r="E731" s="10" t="str">
        <f ca="1">IFERROR(_xludf.XLOOKUP(C731,STUDENTS!$A$5:$A$204,STUDENTS!$L$5:$L$204,""),"")</f>
        <v/>
      </c>
      <c r="F731" s="8"/>
      <c r="G731" s="10" t="str">
        <f>SETTINGS!$B$8</f>
        <v>2026/2027</v>
      </c>
      <c r="H731" s="10">
        <f t="shared" si="45"/>
        <v>0</v>
      </c>
      <c r="I731" s="10">
        <f t="shared" si="46"/>
        <v>0</v>
      </c>
      <c r="J731" s="13" t="str">
        <f t="shared" si="47"/>
        <v/>
      </c>
    </row>
    <row r="732" spans="1:10" x14ac:dyDescent="0.2">
      <c r="A732" s="10" t="str">
        <f t="shared" si="44"/>
        <v/>
      </c>
      <c r="B732" s="9"/>
      <c r="C732" s="8"/>
      <c r="D732" s="10" t="str">
        <f ca="1">IFERROR(_xludf.XLOOKUP(C732,STUDENTS!$A$5:$A$204,STUDENTS!$C$5:$C$204,""),"")</f>
        <v/>
      </c>
      <c r="E732" s="10" t="str">
        <f ca="1">IFERROR(_xludf.XLOOKUP(C732,STUDENTS!$A$5:$A$204,STUDENTS!$L$5:$L$204,""),"")</f>
        <v/>
      </c>
      <c r="F732" s="8"/>
      <c r="G732" s="10" t="str">
        <f>SETTINGS!$B$8</f>
        <v>2026/2027</v>
      </c>
      <c r="H732" s="10">
        <f t="shared" si="45"/>
        <v>0</v>
      </c>
      <c r="I732" s="10">
        <f t="shared" si="46"/>
        <v>0</v>
      </c>
      <c r="J732" s="13" t="str">
        <f t="shared" si="47"/>
        <v/>
      </c>
    </row>
    <row r="733" spans="1:10" x14ac:dyDescent="0.2">
      <c r="A733" s="10" t="str">
        <f t="shared" si="44"/>
        <v/>
      </c>
      <c r="B733" s="9"/>
      <c r="C733" s="8"/>
      <c r="D733" s="10" t="str">
        <f ca="1">IFERROR(_xludf.XLOOKUP(C733,STUDENTS!$A$5:$A$204,STUDENTS!$C$5:$C$204,""),"")</f>
        <v/>
      </c>
      <c r="E733" s="10" t="str">
        <f ca="1">IFERROR(_xludf.XLOOKUP(C733,STUDENTS!$A$5:$A$204,STUDENTS!$L$5:$L$204,""),"")</f>
        <v/>
      </c>
      <c r="F733" s="8"/>
      <c r="G733" s="10" t="str">
        <f>SETTINGS!$B$8</f>
        <v>2026/2027</v>
      </c>
      <c r="H733" s="10">
        <f t="shared" si="45"/>
        <v>0</v>
      </c>
      <c r="I733" s="10">
        <f t="shared" si="46"/>
        <v>0</v>
      </c>
      <c r="J733" s="13" t="str">
        <f t="shared" si="47"/>
        <v/>
      </c>
    </row>
    <row r="734" spans="1:10" x14ac:dyDescent="0.2">
      <c r="A734" s="10" t="str">
        <f t="shared" si="44"/>
        <v/>
      </c>
      <c r="B734" s="9"/>
      <c r="C734" s="8"/>
      <c r="D734" s="10" t="str">
        <f ca="1">IFERROR(_xludf.XLOOKUP(C734,STUDENTS!$A$5:$A$204,STUDENTS!$C$5:$C$204,""),"")</f>
        <v/>
      </c>
      <c r="E734" s="10" t="str">
        <f ca="1">IFERROR(_xludf.XLOOKUP(C734,STUDENTS!$A$5:$A$204,STUDENTS!$L$5:$L$204,""),"")</f>
        <v/>
      </c>
      <c r="F734" s="8"/>
      <c r="G734" s="10" t="str">
        <f>SETTINGS!$B$8</f>
        <v>2026/2027</v>
      </c>
      <c r="H734" s="10">
        <f t="shared" si="45"/>
        <v>0</v>
      </c>
      <c r="I734" s="10">
        <f t="shared" si="46"/>
        <v>0</v>
      </c>
      <c r="J734" s="13" t="str">
        <f t="shared" si="47"/>
        <v/>
      </c>
    </row>
    <row r="735" spans="1:10" x14ac:dyDescent="0.2">
      <c r="A735" s="10" t="str">
        <f t="shared" si="44"/>
        <v/>
      </c>
      <c r="B735" s="9"/>
      <c r="C735" s="8"/>
      <c r="D735" s="10" t="str">
        <f ca="1">IFERROR(_xludf.XLOOKUP(C735,STUDENTS!$A$5:$A$204,STUDENTS!$C$5:$C$204,""),"")</f>
        <v/>
      </c>
      <c r="E735" s="10" t="str">
        <f ca="1">IFERROR(_xludf.XLOOKUP(C735,STUDENTS!$A$5:$A$204,STUDENTS!$L$5:$L$204,""),"")</f>
        <v/>
      </c>
      <c r="F735" s="8"/>
      <c r="G735" s="10" t="str">
        <f>SETTINGS!$B$8</f>
        <v>2026/2027</v>
      </c>
      <c r="H735" s="10">
        <f t="shared" si="45"/>
        <v>0</v>
      </c>
      <c r="I735" s="10">
        <f t="shared" si="46"/>
        <v>0</v>
      </c>
      <c r="J735" s="13" t="str">
        <f t="shared" si="47"/>
        <v/>
      </c>
    </row>
    <row r="736" spans="1:10" x14ac:dyDescent="0.2">
      <c r="A736" s="10" t="str">
        <f t="shared" si="44"/>
        <v/>
      </c>
      <c r="B736" s="9"/>
      <c r="C736" s="8"/>
      <c r="D736" s="10" t="str">
        <f ca="1">IFERROR(_xludf.XLOOKUP(C736,STUDENTS!$A$5:$A$204,STUDENTS!$C$5:$C$204,""),"")</f>
        <v/>
      </c>
      <c r="E736" s="10" t="str">
        <f ca="1">IFERROR(_xludf.XLOOKUP(C736,STUDENTS!$A$5:$A$204,STUDENTS!$L$5:$L$204,""),"")</f>
        <v/>
      </c>
      <c r="F736" s="8"/>
      <c r="G736" s="10" t="str">
        <f>SETTINGS!$B$8</f>
        <v>2026/2027</v>
      </c>
      <c r="H736" s="10">
        <f t="shared" si="45"/>
        <v>0</v>
      </c>
      <c r="I736" s="10">
        <f t="shared" si="46"/>
        <v>0</v>
      </c>
      <c r="J736" s="13" t="str">
        <f t="shared" si="47"/>
        <v/>
      </c>
    </row>
    <row r="737" spans="1:10" x14ac:dyDescent="0.2">
      <c r="A737" s="10" t="str">
        <f t="shared" si="44"/>
        <v/>
      </c>
      <c r="B737" s="9"/>
      <c r="C737" s="8"/>
      <c r="D737" s="10" t="str">
        <f ca="1">IFERROR(_xludf.XLOOKUP(C737,STUDENTS!$A$5:$A$204,STUDENTS!$C$5:$C$204,""),"")</f>
        <v/>
      </c>
      <c r="E737" s="10" t="str">
        <f ca="1">IFERROR(_xludf.XLOOKUP(C737,STUDENTS!$A$5:$A$204,STUDENTS!$L$5:$L$204,""),"")</f>
        <v/>
      </c>
      <c r="F737" s="8"/>
      <c r="G737" s="10" t="str">
        <f>SETTINGS!$B$8</f>
        <v>2026/2027</v>
      </c>
      <c r="H737" s="10">
        <f t="shared" si="45"/>
        <v>0</v>
      </c>
      <c r="I737" s="10">
        <f t="shared" si="46"/>
        <v>0</v>
      </c>
      <c r="J737" s="13" t="str">
        <f t="shared" si="47"/>
        <v/>
      </c>
    </row>
    <row r="738" spans="1:10" x14ac:dyDescent="0.2">
      <c r="A738" s="10" t="str">
        <f t="shared" si="44"/>
        <v/>
      </c>
      <c r="B738" s="9"/>
      <c r="C738" s="8"/>
      <c r="D738" s="10" t="str">
        <f ca="1">IFERROR(_xludf.XLOOKUP(C738,STUDENTS!$A$5:$A$204,STUDENTS!$C$5:$C$204,""),"")</f>
        <v/>
      </c>
      <c r="E738" s="10" t="str">
        <f ca="1">IFERROR(_xludf.XLOOKUP(C738,STUDENTS!$A$5:$A$204,STUDENTS!$L$5:$L$204,""),"")</f>
        <v/>
      </c>
      <c r="F738" s="8"/>
      <c r="G738" s="10" t="str">
        <f>SETTINGS!$B$8</f>
        <v>2026/2027</v>
      </c>
      <c r="H738" s="10">
        <f t="shared" si="45"/>
        <v>0</v>
      </c>
      <c r="I738" s="10">
        <f t="shared" si="46"/>
        <v>0</v>
      </c>
      <c r="J738" s="13" t="str">
        <f t="shared" si="47"/>
        <v/>
      </c>
    </row>
    <row r="739" spans="1:10" x14ac:dyDescent="0.2">
      <c r="A739" s="10" t="str">
        <f t="shared" si="44"/>
        <v/>
      </c>
      <c r="B739" s="9"/>
      <c r="C739" s="8"/>
      <c r="D739" s="10" t="str">
        <f ca="1">IFERROR(_xludf.XLOOKUP(C739,STUDENTS!$A$5:$A$204,STUDENTS!$C$5:$C$204,""),"")</f>
        <v/>
      </c>
      <c r="E739" s="10" t="str">
        <f ca="1">IFERROR(_xludf.XLOOKUP(C739,STUDENTS!$A$5:$A$204,STUDENTS!$L$5:$L$204,""),"")</f>
        <v/>
      </c>
      <c r="F739" s="8"/>
      <c r="G739" s="10" t="str">
        <f>SETTINGS!$B$8</f>
        <v>2026/2027</v>
      </c>
      <c r="H739" s="10">
        <f t="shared" si="45"/>
        <v>0</v>
      </c>
      <c r="I739" s="10">
        <f t="shared" si="46"/>
        <v>0</v>
      </c>
      <c r="J739" s="13" t="str">
        <f t="shared" si="47"/>
        <v/>
      </c>
    </row>
    <row r="740" spans="1:10" x14ac:dyDescent="0.2">
      <c r="A740" s="10" t="str">
        <f t="shared" si="44"/>
        <v/>
      </c>
      <c r="B740" s="9"/>
      <c r="C740" s="8"/>
      <c r="D740" s="10" t="str">
        <f ca="1">IFERROR(_xludf.XLOOKUP(C740,STUDENTS!$A$5:$A$204,STUDENTS!$C$5:$C$204,""),"")</f>
        <v/>
      </c>
      <c r="E740" s="10" t="str">
        <f ca="1">IFERROR(_xludf.XLOOKUP(C740,STUDENTS!$A$5:$A$204,STUDENTS!$L$5:$L$204,""),"")</f>
        <v/>
      </c>
      <c r="F740" s="8"/>
      <c r="G740" s="10" t="str">
        <f>SETTINGS!$B$8</f>
        <v>2026/2027</v>
      </c>
      <c r="H740" s="10">
        <f t="shared" si="45"/>
        <v>0</v>
      </c>
      <c r="I740" s="10">
        <f t="shared" si="46"/>
        <v>0</v>
      </c>
      <c r="J740" s="13" t="str">
        <f t="shared" si="47"/>
        <v/>
      </c>
    </row>
    <row r="741" spans="1:10" x14ac:dyDescent="0.2">
      <c r="A741" s="10" t="str">
        <f t="shared" si="44"/>
        <v/>
      </c>
      <c r="B741" s="9"/>
      <c r="C741" s="8"/>
      <c r="D741" s="10" t="str">
        <f ca="1">IFERROR(_xludf.XLOOKUP(C741,STUDENTS!$A$5:$A$204,STUDENTS!$C$5:$C$204,""),"")</f>
        <v/>
      </c>
      <c r="E741" s="10" t="str">
        <f ca="1">IFERROR(_xludf.XLOOKUP(C741,STUDENTS!$A$5:$A$204,STUDENTS!$L$5:$L$204,""),"")</f>
        <v/>
      </c>
      <c r="F741" s="8"/>
      <c r="G741" s="10" t="str">
        <f>SETTINGS!$B$8</f>
        <v>2026/2027</v>
      </c>
      <c r="H741" s="10">
        <f t="shared" si="45"/>
        <v>0</v>
      </c>
      <c r="I741" s="10">
        <f t="shared" si="46"/>
        <v>0</v>
      </c>
      <c r="J741" s="13" t="str">
        <f t="shared" si="47"/>
        <v/>
      </c>
    </row>
    <row r="742" spans="1:10" x14ac:dyDescent="0.2">
      <c r="A742" s="10" t="str">
        <f t="shared" si="44"/>
        <v/>
      </c>
      <c r="B742" s="9"/>
      <c r="C742" s="8"/>
      <c r="D742" s="10" t="str">
        <f ca="1">IFERROR(_xludf.XLOOKUP(C742,STUDENTS!$A$5:$A$204,STUDENTS!$C$5:$C$204,""),"")</f>
        <v/>
      </c>
      <c r="E742" s="10" t="str">
        <f ca="1">IFERROR(_xludf.XLOOKUP(C742,STUDENTS!$A$5:$A$204,STUDENTS!$L$5:$L$204,""),"")</f>
        <v/>
      </c>
      <c r="F742" s="8"/>
      <c r="G742" s="10" t="str">
        <f>SETTINGS!$B$8</f>
        <v>2026/2027</v>
      </c>
      <c r="H742" s="10">
        <f t="shared" si="45"/>
        <v>0</v>
      </c>
      <c r="I742" s="10">
        <f t="shared" si="46"/>
        <v>0</v>
      </c>
      <c r="J742" s="13" t="str">
        <f t="shared" si="47"/>
        <v/>
      </c>
    </row>
    <row r="743" spans="1:10" x14ac:dyDescent="0.2">
      <c r="A743" s="10" t="str">
        <f t="shared" si="44"/>
        <v/>
      </c>
      <c r="B743" s="9"/>
      <c r="C743" s="8"/>
      <c r="D743" s="10" t="str">
        <f ca="1">IFERROR(_xludf.XLOOKUP(C743,STUDENTS!$A$5:$A$204,STUDENTS!$C$5:$C$204,""),"")</f>
        <v/>
      </c>
      <c r="E743" s="10" t="str">
        <f ca="1">IFERROR(_xludf.XLOOKUP(C743,STUDENTS!$A$5:$A$204,STUDENTS!$L$5:$L$204,""),"")</f>
        <v/>
      </c>
      <c r="F743" s="8"/>
      <c r="G743" s="10" t="str">
        <f>SETTINGS!$B$8</f>
        <v>2026/2027</v>
      </c>
      <c r="H743" s="10">
        <f t="shared" si="45"/>
        <v>0</v>
      </c>
      <c r="I743" s="10">
        <f t="shared" si="46"/>
        <v>0</v>
      </c>
      <c r="J743" s="13" t="str">
        <f t="shared" si="47"/>
        <v/>
      </c>
    </row>
    <row r="744" spans="1:10" x14ac:dyDescent="0.2">
      <c r="A744" s="10" t="str">
        <f t="shared" si="44"/>
        <v/>
      </c>
      <c r="B744" s="9"/>
      <c r="C744" s="8"/>
      <c r="D744" s="10" t="str">
        <f ca="1">IFERROR(_xludf.XLOOKUP(C744,STUDENTS!$A$5:$A$204,STUDENTS!$C$5:$C$204,""),"")</f>
        <v/>
      </c>
      <c r="E744" s="10" t="str">
        <f ca="1">IFERROR(_xludf.XLOOKUP(C744,STUDENTS!$A$5:$A$204,STUDENTS!$L$5:$L$204,""),"")</f>
        <v/>
      </c>
      <c r="F744" s="8"/>
      <c r="G744" s="10" t="str">
        <f>SETTINGS!$B$8</f>
        <v>2026/2027</v>
      </c>
      <c r="H744" s="10">
        <f t="shared" si="45"/>
        <v>0</v>
      </c>
      <c r="I744" s="10">
        <f t="shared" si="46"/>
        <v>0</v>
      </c>
      <c r="J744" s="13" t="str">
        <f t="shared" si="47"/>
        <v/>
      </c>
    </row>
    <row r="745" spans="1:10" x14ac:dyDescent="0.2">
      <c r="A745" s="10" t="str">
        <f t="shared" si="44"/>
        <v/>
      </c>
      <c r="B745" s="9"/>
      <c r="C745" s="8"/>
      <c r="D745" s="10" t="str">
        <f ca="1">IFERROR(_xludf.XLOOKUP(C745,STUDENTS!$A$5:$A$204,STUDENTS!$C$5:$C$204,""),"")</f>
        <v/>
      </c>
      <c r="E745" s="10" t="str">
        <f ca="1">IFERROR(_xludf.XLOOKUP(C745,STUDENTS!$A$5:$A$204,STUDENTS!$L$5:$L$204,""),"")</f>
        <v/>
      </c>
      <c r="F745" s="8"/>
      <c r="G745" s="10" t="str">
        <f>SETTINGS!$B$8</f>
        <v>2026/2027</v>
      </c>
      <c r="H745" s="10">
        <f t="shared" si="45"/>
        <v>0</v>
      </c>
      <c r="I745" s="10">
        <f t="shared" si="46"/>
        <v>0</v>
      </c>
      <c r="J745" s="13" t="str">
        <f t="shared" si="47"/>
        <v/>
      </c>
    </row>
    <row r="746" spans="1:10" x14ac:dyDescent="0.2">
      <c r="A746" s="10" t="str">
        <f t="shared" si="44"/>
        <v/>
      </c>
      <c r="B746" s="9"/>
      <c r="C746" s="8"/>
      <c r="D746" s="10" t="str">
        <f ca="1">IFERROR(_xludf.XLOOKUP(C746,STUDENTS!$A$5:$A$204,STUDENTS!$C$5:$C$204,""),"")</f>
        <v/>
      </c>
      <c r="E746" s="10" t="str">
        <f ca="1">IFERROR(_xludf.XLOOKUP(C746,STUDENTS!$A$5:$A$204,STUDENTS!$L$5:$L$204,""),"")</f>
        <v/>
      </c>
      <c r="F746" s="8"/>
      <c r="G746" s="10" t="str">
        <f>SETTINGS!$B$8</f>
        <v>2026/2027</v>
      </c>
      <c r="H746" s="10">
        <f t="shared" si="45"/>
        <v>0</v>
      </c>
      <c r="I746" s="10">
        <f t="shared" si="46"/>
        <v>0</v>
      </c>
      <c r="J746" s="13" t="str">
        <f t="shared" si="47"/>
        <v/>
      </c>
    </row>
    <row r="747" spans="1:10" x14ac:dyDescent="0.2">
      <c r="A747" s="10" t="str">
        <f t="shared" si="44"/>
        <v/>
      </c>
      <c r="B747" s="9"/>
      <c r="C747" s="8"/>
      <c r="D747" s="10" t="str">
        <f ca="1">IFERROR(_xludf.XLOOKUP(C747,STUDENTS!$A$5:$A$204,STUDENTS!$C$5:$C$204,""),"")</f>
        <v/>
      </c>
      <c r="E747" s="10" t="str">
        <f ca="1">IFERROR(_xludf.XLOOKUP(C747,STUDENTS!$A$5:$A$204,STUDENTS!$L$5:$L$204,""),"")</f>
        <v/>
      </c>
      <c r="F747" s="8"/>
      <c r="G747" s="10" t="str">
        <f>SETTINGS!$B$8</f>
        <v>2026/2027</v>
      </c>
      <c r="H747" s="10">
        <f t="shared" si="45"/>
        <v>0</v>
      </c>
      <c r="I747" s="10">
        <f t="shared" si="46"/>
        <v>0</v>
      </c>
      <c r="J747" s="13" t="str">
        <f t="shared" si="47"/>
        <v/>
      </c>
    </row>
    <row r="748" spans="1:10" x14ac:dyDescent="0.2">
      <c r="A748" s="10" t="str">
        <f t="shared" si="44"/>
        <v/>
      </c>
      <c r="B748" s="9"/>
      <c r="C748" s="8"/>
      <c r="D748" s="10" t="str">
        <f ca="1">IFERROR(_xludf.XLOOKUP(C748,STUDENTS!$A$5:$A$204,STUDENTS!$C$5:$C$204,""),"")</f>
        <v/>
      </c>
      <c r="E748" s="10" t="str">
        <f ca="1">IFERROR(_xludf.XLOOKUP(C748,STUDENTS!$A$5:$A$204,STUDENTS!$L$5:$L$204,""),"")</f>
        <v/>
      </c>
      <c r="F748" s="8"/>
      <c r="G748" s="10" t="str">
        <f>SETTINGS!$B$8</f>
        <v>2026/2027</v>
      </c>
      <c r="H748" s="10">
        <f t="shared" si="45"/>
        <v>0</v>
      </c>
      <c r="I748" s="10">
        <f t="shared" si="46"/>
        <v>0</v>
      </c>
      <c r="J748" s="13" t="str">
        <f t="shared" si="47"/>
        <v/>
      </c>
    </row>
    <row r="749" spans="1:10" x14ac:dyDescent="0.2">
      <c r="A749" s="10" t="str">
        <f t="shared" si="44"/>
        <v/>
      </c>
      <c r="B749" s="9"/>
      <c r="C749" s="8"/>
      <c r="D749" s="10" t="str">
        <f ca="1">IFERROR(_xludf.XLOOKUP(C749,STUDENTS!$A$5:$A$204,STUDENTS!$C$5:$C$204,""),"")</f>
        <v/>
      </c>
      <c r="E749" s="10" t="str">
        <f ca="1">IFERROR(_xludf.XLOOKUP(C749,STUDENTS!$A$5:$A$204,STUDENTS!$L$5:$L$204,""),"")</f>
        <v/>
      </c>
      <c r="F749" s="8"/>
      <c r="G749" s="10" t="str">
        <f>SETTINGS!$B$8</f>
        <v>2026/2027</v>
      </c>
      <c r="H749" s="10">
        <f t="shared" si="45"/>
        <v>0</v>
      </c>
      <c r="I749" s="10">
        <f t="shared" si="46"/>
        <v>0</v>
      </c>
      <c r="J749" s="13" t="str">
        <f t="shared" si="47"/>
        <v/>
      </c>
    </row>
    <row r="750" spans="1:10" x14ac:dyDescent="0.2">
      <c r="A750" s="10" t="str">
        <f t="shared" si="44"/>
        <v/>
      </c>
      <c r="B750" s="9"/>
      <c r="C750" s="8"/>
      <c r="D750" s="10" t="str">
        <f ca="1">IFERROR(_xludf.XLOOKUP(C750,STUDENTS!$A$5:$A$204,STUDENTS!$C$5:$C$204,""),"")</f>
        <v/>
      </c>
      <c r="E750" s="10" t="str">
        <f ca="1">IFERROR(_xludf.XLOOKUP(C750,STUDENTS!$A$5:$A$204,STUDENTS!$L$5:$L$204,""),"")</f>
        <v/>
      </c>
      <c r="F750" s="8"/>
      <c r="G750" s="10" t="str">
        <f>SETTINGS!$B$8</f>
        <v>2026/2027</v>
      </c>
      <c r="H750" s="10">
        <f t="shared" si="45"/>
        <v>0</v>
      </c>
      <c r="I750" s="10">
        <f t="shared" si="46"/>
        <v>0</v>
      </c>
      <c r="J750" s="13" t="str">
        <f t="shared" si="47"/>
        <v/>
      </c>
    </row>
    <row r="751" spans="1:10" x14ac:dyDescent="0.2">
      <c r="A751" s="10" t="str">
        <f t="shared" si="44"/>
        <v/>
      </c>
      <c r="B751" s="9"/>
      <c r="C751" s="8"/>
      <c r="D751" s="10" t="str">
        <f ca="1">IFERROR(_xludf.XLOOKUP(C751,STUDENTS!$A$5:$A$204,STUDENTS!$C$5:$C$204,""),"")</f>
        <v/>
      </c>
      <c r="E751" s="10" t="str">
        <f ca="1">IFERROR(_xludf.XLOOKUP(C751,STUDENTS!$A$5:$A$204,STUDENTS!$L$5:$L$204,""),"")</f>
        <v/>
      </c>
      <c r="F751" s="8"/>
      <c r="G751" s="10" t="str">
        <f>SETTINGS!$B$8</f>
        <v>2026/2027</v>
      </c>
      <c r="H751" s="10">
        <f t="shared" si="45"/>
        <v>0</v>
      </c>
      <c r="I751" s="10">
        <f t="shared" si="46"/>
        <v>0</v>
      </c>
      <c r="J751" s="13" t="str">
        <f t="shared" si="47"/>
        <v/>
      </c>
    </row>
    <row r="752" spans="1:10" x14ac:dyDescent="0.2">
      <c r="A752" s="10" t="str">
        <f t="shared" si="44"/>
        <v/>
      </c>
      <c r="B752" s="9"/>
      <c r="C752" s="8"/>
      <c r="D752" s="10" t="str">
        <f ca="1">IFERROR(_xludf.XLOOKUP(C752,STUDENTS!$A$5:$A$204,STUDENTS!$C$5:$C$204,""),"")</f>
        <v/>
      </c>
      <c r="E752" s="10" t="str">
        <f ca="1">IFERROR(_xludf.XLOOKUP(C752,STUDENTS!$A$5:$A$204,STUDENTS!$L$5:$L$204,""),"")</f>
        <v/>
      </c>
      <c r="F752" s="8"/>
      <c r="G752" s="10" t="str">
        <f>SETTINGS!$B$8</f>
        <v>2026/2027</v>
      </c>
      <c r="H752" s="10">
        <f t="shared" si="45"/>
        <v>0</v>
      </c>
      <c r="I752" s="10">
        <f t="shared" si="46"/>
        <v>0</v>
      </c>
      <c r="J752" s="13" t="str">
        <f t="shared" si="47"/>
        <v/>
      </c>
    </row>
    <row r="753" spans="1:10" x14ac:dyDescent="0.2">
      <c r="A753" s="10" t="str">
        <f t="shared" si="44"/>
        <v/>
      </c>
      <c r="B753" s="9"/>
      <c r="C753" s="8"/>
      <c r="D753" s="10" t="str">
        <f ca="1">IFERROR(_xludf.XLOOKUP(C753,STUDENTS!$A$5:$A$204,STUDENTS!$C$5:$C$204,""),"")</f>
        <v/>
      </c>
      <c r="E753" s="10" t="str">
        <f ca="1">IFERROR(_xludf.XLOOKUP(C753,STUDENTS!$A$5:$A$204,STUDENTS!$L$5:$L$204,""),"")</f>
        <v/>
      </c>
      <c r="F753" s="8"/>
      <c r="G753" s="10" t="str">
        <f>SETTINGS!$B$8</f>
        <v>2026/2027</v>
      </c>
      <c r="H753" s="10">
        <f t="shared" si="45"/>
        <v>0</v>
      </c>
      <c r="I753" s="10">
        <f t="shared" si="46"/>
        <v>0</v>
      </c>
      <c r="J753" s="13" t="str">
        <f t="shared" si="47"/>
        <v/>
      </c>
    </row>
    <row r="754" spans="1:10" x14ac:dyDescent="0.2">
      <c r="A754" s="10" t="str">
        <f t="shared" si="44"/>
        <v/>
      </c>
      <c r="B754" s="9"/>
      <c r="C754" s="8"/>
      <c r="D754" s="10" t="str">
        <f ca="1">IFERROR(_xludf.XLOOKUP(C754,STUDENTS!$A$5:$A$204,STUDENTS!$C$5:$C$204,""),"")</f>
        <v/>
      </c>
      <c r="E754" s="10" t="str">
        <f ca="1">IFERROR(_xludf.XLOOKUP(C754,STUDENTS!$A$5:$A$204,STUDENTS!$L$5:$L$204,""),"")</f>
        <v/>
      </c>
      <c r="F754" s="8"/>
      <c r="G754" s="10" t="str">
        <f>SETTINGS!$B$8</f>
        <v>2026/2027</v>
      </c>
      <c r="H754" s="10">
        <f t="shared" si="45"/>
        <v>0</v>
      </c>
      <c r="I754" s="10">
        <f t="shared" si="46"/>
        <v>0</v>
      </c>
      <c r="J754" s="13" t="str">
        <f t="shared" si="47"/>
        <v/>
      </c>
    </row>
    <row r="755" spans="1:10" x14ac:dyDescent="0.2">
      <c r="A755" s="10" t="str">
        <f t="shared" si="44"/>
        <v/>
      </c>
      <c r="B755" s="9"/>
      <c r="C755" s="8"/>
      <c r="D755" s="10" t="str">
        <f ca="1">IFERROR(_xludf.XLOOKUP(C755,STUDENTS!$A$5:$A$204,STUDENTS!$C$5:$C$204,""),"")</f>
        <v/>
      </c>
      <c r="E755" s="10" t="str">
        <f ca="1">IFERROR(_xludf.XLOOKUP(C755,STUDENTS!$A$5:$A$204,STUDENTS!$L$5:$L$204,""),"")</f>
        <v/>
      </c>
      <c r="F755" s="8"/>
      <c r="G755" s="10" t="str">
        <f>SETTINGS!$B$8</f>
        <v>2026/2027</v>
      </c>
      <c r="H755" s="10">
        <f t="shared" si="45"/>
        <v>0</v>
      </c>
      <c r="I755" s="10">
        <f t="shared" si="46"/>
        <v>0</v>
      </c>
      <c r="J755" s="13" t="str">
        <f t="shared" si="47"/>
        <v/>
      </c>
    </row>
    <row r="756" spans="1:10" x14ac:dyDescent="0.2">
      <c r="A756" s="10" t="str">
        <f t="shared" si="44"/>
        <v/>
      </c>
      <c r="B756" s="9"/>
      <c r="C756" s="8"/>
      <c r="D756" s="10" t="str">
        <f ca="1">IFERROR(_xludf.XLOOKUP(C756,STUDENTS!$A$5:$A$204,STUDENTS!$C$5:$C$204,""),"")</f>
        <v/>
      </c>
      <c r="E756" s="10" t="str">
        <f ca="1">IFERROR(_xludf.XLOOKUP(C756,STUDENTS!$A$5:$A$204,STUDENTS!$L$5:$L$204,""),"")</f>
        <v/>
      </c>
      <c r="F756" s="8"/>
      <c r="G756" s="10" t="str">
        <f>SETTINGS!$B$8</f>
        <v>2026/2027</v>
      </c>
      <c r="H756" s="10">
        <f t="shared" si="45"/>
        <v>0</v>
      </c>
      <c r="I756" s="10">
        <f t="shared" si="46"/>
        <v>0</v>
      </c>
      <c r="J756" s="13" t="str">
        <f t="shared" si="47"/>
        <v/>
      </c>
    </row>
    <row r="757" spans="1:10" x14ac:dyDescent="0.2">
      <c r="A757" s="10" t="str">
        <f t="shared" si="44"/>
        <v/>
      </c>
      <c r="B757" s="9"/>
      <c r="C757" s="8"/>
      <c r="D757" s="10" t="str">
        <f ca="1">IFERROR(_xludf.XLOOKUP(C757,STUDENTS!$A$5:$A$204,STUDENTS!$C$5:$C$204,""),"")</f>
        <v/>
      </c>
      <c r="E757" s="10" t="str">
        <f ca="1">IFERROR(_xludf.XLOOKUP(C757,STUDENTS!$A$5:$A$204,STUDENTS!$L$5:$L$204,""),"")</f>
        <v/>
      </c>
      <c r="F757" s="8"/>
      <c r="G757" s="10" t="str">
        <f>SETTINGS!$B$8</f>
        <v>2026/2027</v>
      </c>
      <c r="H757" s="10">
        <f t="shared" si="45"/>
        <v>0</v>
      </c>
      <c r="I757" s="10">
        <f t="shared" si="46"/>
        <v>0</v>
      </c>
      <c r="J757" s="13" t="str">
        <f t="shared" si="47"/>
        <v/>
      </c>
    </row>
    <row r="758" spans="1:10" x14ac:dyDescent="0.2">
      <c r="A758" s="10" t="str">
        <f t="shared" si="44"/>
        <v/>
      </c>
      <c r="B758" s="9"/>
      <c r="C758" s="8"/>
      <c r="D758" s="10" t="str">
        <f ca="1">IFERROR(_xludf.XLOOKUP(C758,STUDENTS!$A$5:$A$204,STUDENTS!$C$5:$C$204,""),"")</f>
        <v/>
      </c>
      <c r="E758" s="10" t="str">
        <f ca="1">IFERROR(_xludf.XLOOKUP(C758,STUDENTS!$A$5:$A$204,STUDENTS!$L$5:$L$204,""),"")</f>
        <v/>
      </c>
      <c r="F758" s="8"/>
      <c r="G758" s="10" t="str">
        <f>SETTINGS!$B$8</f>
        <v>2026/2027</v>
      </c>
      <c r="H758" s="10">
        <f t="shared" si="45"/>
        <v>0</v>
      </c>
      <c r="I758" s="10">
        <f t="shared" si="46"/>
        <v>0</v>
      </c>
      <c r="J758" s="13" t="str">
        <f t="shared" si="47"/>
        <v/>
      </c>
    </row>
    <row r="759" spans="1:10" x14ac:dyDescent="0.2">
      <c r="A759" s="10" t="str">
        <f t="shared" si="44"/>
        <v/>
      </c>
      <c r="B759" s="9"/>
      <c r="C759" s="8"/>
      <c r="D759" s="10" t="str">
        <f ca="1">IFERROR(_xludf.XLOOKUP(C759,STUDENTS!$A$5:$A$204,STUDENTS!$C$5:$C$204,""),"")</f>
        <v/>
      </c>
      <c r="E759" s="10" t="str">
        <f ca="1">IFERROR(_xludf.XLOOKUP(C759,STUDENTS!$A$5:$A$204,STUDENTS!$L$5:$L$204,""),"")</f>
        <v/>
      </c>
      <c r="F759" s="8"/>
      <c r="G759" s="10" t="str">
        <f>SETTINGS!$B$8</f>
        <v>2026/2027</v>
      </c>
      <c r="H759" s="10">
        <f t="shared" si="45"/>
        <v>0</v>
      </c>
      <c r="I759" s="10">
        <f t="shared" si="46"/>
        <v>0</v>
      </c>
      <c r="J759" s="13" t="str">
        <f t="shared" si="47"/>
        <v/>
      </c>
    </row>
    <row r="760" spans="1:10" x14ac:dyDescent="0.2">
      <c r="A760" s="10" t="str">
        <f t="shared" si="44"/>
        <v/>
      </c>
      <c r="B760" s="9"/>
      <c r="C760" s="8"/>
      <c r="D760" s="10" t="str">
        <f ca="1">IFERROR(_xludf.XLOOKUP(C760,STUDENTS!$A$5:$A$204,STUDENTS!$C$5:$C$204,""),"")</f>
        <v/>
      </c>
      <c r="E760" s="10" t="str">
        <f ca="1">IFERROR(_xludf.XLOOKUP(C760,STUDENTS!$A$5:$A$204,STUDENTS!$L$5:$L$204,""),"")</f>
        <v/>
      </c>
      <c r="F760" s="8"/>
      <c r="G760" s="10" t="str">
        <f>SETTINGS!$B$8</f>
        <v>2026/2027</v>
      </c>
      <c r="H760" s="10">
        <f t="shared" si="45"/>
        <v>0</v>
      </c>
      <c r="I760" s="10">
        <f t="shared" si="46"/>
        <v>0</v>
      </c>
      <c r="J760" s="13" t="str">
        <f t="shared" si="47"/>
        <v/>
      </c>
    </row>
    <row r="761" spans="1:10" x14ac:dyDescent="0.2">
      <c r="A761" s="10" t="str">
        <f t="shared" si="44"/>
        <v/>
      </c>
      <c r="B761" s="9"/>
      <c r="C761" s="8"/>
      <c r="D761" s="10" t="str">
        <f ca="1">IFERROR(_xludf.XLOOKUP(C761,STUDENTS!$A$5:$A$204,STUDENTS!$C$5:$C$204,""),"")</f>
        <v/>
      </c>
      <c r="E761" s="10" t="str">
        <f ca="1">IFERROR(_xludf.XLOOKUP(C761,STUDENTS!$A$5:$A$204,STUDENTS!$L$5:$L$204,""),"")</f>
        <v/>
      </c>
      <c r="F761" s="8"/>
      <c r="G761" s="10" t="str">
        <f>SETTINGS!$B$8</f>
        <v>2026/2027</v>
      </c>
      <c r="H761" s="10">
        <f t="shared" si="45"/>
        <v>0</v>
      </c>
      <c r="I761" s="10">
        <f t="shared" si="46"/>
        <v>0</v>
      </c>
      <c r="J761" s="13" t="str">
        <f t="shared" si="47"/>
        <v/>
      </c>
    </row>
    <row r="762" spans="1:10" x14ac:dyDescent="0.2">
      <c r="A762" s="10" t="str">
        <f t="shared" si="44"/>
        <v/>
      </c>
      <c r="B762" s="9"/>
      <c r="C762" s="8"/>
      <c r="D762" s="10" t="str">
        <f ca="1">IFERROR(_xludf.XLOOKUP(C762,STUDENTS!$A$5:$A$204,STUDENTS!$C$5:$C$204,""),"")</f>
        <v/>
      </c>
      <c r="E762" s="10" t="str">
        <f ca="1">IFERROR(_xludf.XLOOKUP(C762,STUDENTS!$A$5:$A$204,STUDENTS!$L$5:$L$204,""),"")</f>
        <v/>
      </c>
      <c r="F762" s="8"/>
      <c r="G762" s="10" t="str">
        <f>SETTINGS!$B$8</f>
        <v>2026/2027</v>
      </c>
      <c r="H762" s="10">
        <f t="shared" si="45"/>
        <v>0</v>
      </c>
      <c r="I762" s="10">
        <f t="shared" si="46"/>
        <v>0</v>
      </c>
      <c r="J762" s="13" t="str">
        <f t="shared" si="47"/>
        <v/>
      </c>
    </row>
    <row r="763" spans="1:10" x14ac:dyDescent="0.2">
      <c r="A763" s="10" t="str">
        <f t="shared" si="44"/>
        <v/>
      </c>
      <c r="B763" s="9"/>
      <c r="C763" s="8"/>
      <c r="D763" s="10" t="str">
        <f ca="1">IFERROR(_xludf.XLOOKUP(C763,STUDENTS!$A$5:$A$204,STUDENTS!$C$5:$C$204,""),"")</f>
        <v/>
      </c>
      <c r="E763" s="10" t="str">
        <f ca="1">IFERROR(_xludf.XLOOKUP(C763,STUDENTS!$A$5:$A$204,STUDENTS!$L$5:$L$204,""),"")</f>
        <v/>
      </c>
      <c r="F763" s="8"/>
      <c r="G763" s="10" t="str">
        <f>SETTINGS!$B$8</f>
        <v>2026/2027</v>
      </c>
      <c r="H763" s="10">
        <f t="shared" si="45"/>
        <v>0</v>
      </c>
      <c r="I763" s="10">
        <f t="shared" si="46"/>
        <v>0</v>
      </c>
      <c r="J763" s="13" t="str">
        <f t="shared" si="47"/>
        <v/>
      </c>
    </row>
    <row r="764" spans="1:10" x14ac:dyDescent="0.2">
      <c r="A764" s="10" t="str">
        <f t="shared" si="44"/>
        <v/>
      </c>
      <c r="B764" s="9"/>
      <c r="C764" s="8"/>
      <c r="D764" s="10" t="str">
        <f ca="1">IFERROR(_xludf.XLOOKUP(C764,STUDENTS!$A$5:$A$204,STUDENTS!$C$5:$C$204,""),"")</f>
        <v/>
      </c>
      <c r="E764" s="10" t="str">
        <f ca="1">IFERROR(_xludf.XLOOKUP(C764,STUDENTS!$A$5:$A$204,STUDENTS!$L$5:$L$204,""),"")</f>
        <v/>
      </c>
      <c r="F764" s="8"/>
      <c r="G764" s="10" t="str">
        <f>SETTINGS!$B$8</f>
        <v>2026/2027</v>
      </c>
      <c r="H764" s="10">
        <f t="shared" si="45"/>
        <v>0</v>
      </c>
      <c r="I764" s="10">
        <f t="shared" si="46"/>
        <v>0</v>
      </c>
      <c r="J764" s="13" t="str">
        <f t="shared" si="47"/>
        <v/>
      </c>
    </row>
    <row r="765" spans="1:10" x14ac:dyDescent="0.2">
      <c r="A765" s="10" t="str">
        <f t="shared" si="44"/>
        <v/>
      </c>
      <c r="B765" s="9"/>
      <c r="C765" s="8"/>
      <c r="D765" s="10" t="str">
        <f ca="1">IFERROR(_xludf.XLOOKUP(C765,STUDENTS!$A$5:$A$204,STUDENTS!$C$5:$C$204,""),"")</f>
        <v/>
      </c>
      <c r="E765" s="10" t="str">
        <f ca="1">IFERROR(_xludf.XLOOKUP(C765,STUDENTS!$A$5:$A$204,STUDENTS!$L$5:$L$204,""),"")</f>
        <v/>
      </c>
      <c r="F765" s="8"/>
      <c r="G765" s="10" t="str">
        <f>SETTINGS!$B$8</f>
        <v>2026/2027</v>
      </c>
      <c r="H765" s="10">
        <f t="shared" si="45"/>
        <v>0</v>
      </c>
      <c r="I765" s="10">
        <f t="shared" si="46"/>
        <v>0</v>
      </c>
      <c r="J765" s="13" t="str">
        <f t="shared" si="47"/>
        <v/>
      </c>
    </row>
    <row r="766" spans="1:10" x14ac:dyDescent="0.2">
      <c r="A766" s="10" t="str">
        <f t="shared" si="44"/>
        <v/>
      </c>
      <c r="B766" s="9"/>
      <c r="C766" s="8"/>
      <c r="D766" s="10" t="str">
        <f ca="1">IFERROR(_xludf.XLOOKUP(C766,STUDENTS!$A$5:$A$204,STUDENTS!$C$5:$C$204,""),"")</f>
        <v/>
      </c>
      <c r="E766" s="10" t="str">
        <f ca="1">IFERROR(_xludf.XLOOKUP(C766,STUDENTS!$A$5:$A$204,STUDENTS!$L$5:$L$204,""),"")</f>
        <v/>
      </c>
      <c r="F766" s="8"/>
      <c r="G766" s="10" t="str">
        <f>SETTINGS!$B$8</f>
        <v>2026/2027</v>
      </c>
      <c r="H766" s="10">
        <f t="shared" si="45"/>
        <v>0</v>
      </c>
      <c r="I766" s="10">
        <f t="shared" si="46"/>
        <v>0</v>
      </c>
      <c r="J766" s="13" t="str">
        <f t="shared" si="47"/>
        <v/>
      </c>
    </row>
    <row r="767" spans="1:10" x14ac:dyDescent="0.2">
      <c r="A767" s="10" t="str">
        <f t="shared" si="44"/>
        <v/>
      </c>
      <c r="B767" s="9"/>
      <c r="C767" s="8"/>
      <c r="D767" s="10" t="str">
        <f ca="1">IFERROR(_xludf.XLOOKUP(C767,STUDENTS!$A$5:$A$204,STUDENTS!$C$5:$C$204,""),"")</f>
        <v/>
      </c>
      <c r="E767" s="10" t="str">
        <f ca="1">IFERROR(_xludf.XLOOKUP(C767,STUDENTS!$A$5:$A$204,STUDENTS!$L$5:$L$204,""),"")</f>
        <v/>
      </c>
      <c r="F767" s="8"/>
      <c r="G767" s="10" t="str">
        <f>SETTINGS!$B$8</f>
        <v>2026/2027</v>
      </c>
      <c r="H767" s="10">
        <f t="shared" si="45"/>
        <v>0</v>
      </c>
      <c r="I767" s="10">
        <f t="shared" si="46"/>
        <v>0</v>
      </c>
      <c r="J767" s="13" t="str">
        <f t="shared" si="47"/>
        <v/>
      </c>
    </row>
    <row r="768" spans="1:10" x14ac:dyDescent="0.2">
      <c r="A768" s="10" t="str">
        <f t="shared" si="44"/>
        <v/>
      </c>
      <c r="B768" s="9"/>
      <c r="C768" s="8"/>
      <c r="D768" s="10" t="str">
        <f ca="1">IFERROR(_xludf.XLOOKUP(C768,STUDENTS!$A$5:$A$204,STUDENTS!$C$5:$C$204,""),"")</f>
        <v/>
      </c>
      <c r="E768" s="10" t="str">
        <f ca="1">IFERROR(_xludf.XLOOKUP(C768,STUDENTS!$A$5:$A$204,STUDENTS!$L$5:$L$204,""),"")</f>
        <v/>
      </c>
      <c r="F768" s="8"/>
      <c r="G768" s="10" t="str">
        <f>SETTINGS!$B$8</f>
        <v>2026/2027</v>
      </c>
      <c r="H768" s="10">
        <f t="shared" si="45"/>
        <v>0</v>
      </c>
      <c r="I768" s="10">
        <f t="shared" si="46"/>
        <v>0</v>
      </c>
      <c r="J768" s="13" t="str">
        <f t="shared" si="47"/>
        <v/>
      </c>
    </row>
    <row r="769" spans="1:10" x14ac:dyDescent="0.2">
      <c r="A769" s="10" t="str">
        <f t="shared" si="44"/>
        <v/>
      </c>
      <c r="B769" s="9"/>
      <c r="C769" s="8"/>
      <c r="D769" s="10" t="str">
        <f ca="1">IFERROR(_xludf.XLOOKUP(C769,STUDENTS!$A$5:$A$204,STUDENTS!$C$5:$C$204,""),"")</f>
        <v/>
      </c>
      <c r="E769" s="10" t="str">
        <f ca="1">IFERROR(_xludf.XLOOKUP(C769,STUDENTS!$A$5:$A$204,STUDENTS!$L$5:$L$204,""),"")</f>
        <v/>
      </c>
      <c r="F769" s="8"/>
      <c r="G769" s="10" t="str">
        <f>SETTINGS!$B$8</f>
        <v>2026/2027</v>
      </c>
      <c r="H769" s="10">
        <f t="shared" si="45"/>
        <v>0</v>
      </c>
      <c r="I769" s="10">
        <f t="shared" si="46"/>
        <v>0</v>
      </c>
      <c r="J769" s="13" t="str">
        <f t="shared" si="47"/>
        <v/>
      </c>
    </row>
    <row r="770" spans="1:10" x14ac:dyDescent="0.2">
      <c r="A770" s="10" t="str">
        <f t="shared" si="44"/>
        <v/>
      </c>
      <c r="B770" s="9"/>
      <c r="C770" s="8"/>
      <c r="D770" s="10" t="str">
        <f ca="1">IFERROR(_xludf.XLOOKUP(C770,STUDENTS!$A$5:$A$204,STUDENTS!$C$5:$C$204,""),"")</f>
        <v/>
      </c>
      <c r="E770" s="10" t="str">
        <f ca="1">IFERROR(_xludf.XLOOKUP(C770,STUDENTS!$A$5:$A$204,STUDENTS!$L$5:$L$204,""),"")</f>
        <v/>
      </c>
      <c r="F770" s="8"/>
      <c r="G770" s="10" t="str">
        <f>SETTINGS!$B$8</f>
        <v>2026/2027</v>
      </c>
      <c r="H770" s="10">
        <f t="shared" si="45"/>
        <v>0</v>
      </c>
      <c r="I770" s="10">
        <f t="shared" si="46"/>
        <v>0</v>
      </c>
      <c r="J770" s="13" t="str">
        <f t="shared" si="47"/>
        <v/>
      </c>
    </row>
    <row r="771" spans="1:10" x14ac:dyDescent="0.2">
      <c r="A771" s="10" t="str">
        <f t="shared" si="44"/>
        <v/>
      </c>
      <c r="B771" s="9"/>
      <c r="C771" s="8"/>
      <c r="D771" s="10" t="str">
        <f ca="1">IFERROR(_xludf.XLOOKUP(C771,STUDENTS!$A$5:$A$204,STUDENTS!$C$5:$C$204,""),"")</f>
        <v/>
      </c>
      <c r="E771" s="10" t="str">
        <f ca="1">IFERROR(_xludf.XLOOKUP(C771,STUDENTS!$A$5:$A$204,STUDENTS!$L$5:$L$204,""),"")</f>
        <v/>
      </c>
      <c r="F771" s="8"/>
      <c r="G771" s="10" t="str">
        <f>SETTINGS!$B$8</f>
        <v>2026/2027</v>
      </c>
      <c r="H771" s="10">
        <f t="shared" si="45"/>
        <v>0</v>
      </c>
      <c r="I771" s="10">
        <f t="shared" si="46"/>
        <v>0</v>
      </c>
      <c r="J771" s="13" t="str">
        <f t="shared" si="47"/>
        <v/>
      </c>
    </row>
    <row r="772" spans="1:10" x14ac:dyDescent="0.2">
      <c r="A772" s="10" t="str">
        <f t="shared" si="44"/>
        <v/>
      </c>
      <c r="B772" s="9"/>
      <c r="C772" s="8"/>
      <c r="D772" s="10" t="str">
        <f ca="1">IFERROR(_xludf.XLOOKUP(C772,STUDENTS!$A$5:$A$204,STUDENTS!$C$5:$C$204,""),"")</f>
        <v/>
      </c>
      <c r="E772" s="10" t="str">
        <f ca="1">IFERROR(_xludf.XLOOKUP(C772,STUDENTS!$A$5:$A$204,STUDENTS!$L$5:$L$204,""),"")</f>
        <v/>
      </c>
      <c r="F772" s="8"/>
      <c r="G772" s="10" t="str">
        <f>SETTINGS!$B$8</f>
        <v>2026/2027</v>
      </c>
      <c r="H772" s="10">
        <f t="shared" si="45"/>
        <v>0</v>
      </c>
      <c r="I772" s="10">
        <f t="shared" si="46"/>
        <v>0</v>
      </c>
      <c r="J772" s="13" t="str">
        <f t="shared" si="47"/>
        <v/>
      </c>
    </row>
    <row r="773" spans="1:10" x14ac:dyDescent="0.2">
      <c r="A773" s="10" t="str">
        <f t="shared" ref="A773:A836" si="48">IF(C773="","","AT-"&amp;TEXT(ROW()-4,"00000"))</f>
        <v/>
      </c>
      <c r="B773" s="9"/>
      <c r="C773" s="8"/>
      <c r="D773" s="10" t="str">
        <f ca="1">IFERROR(_xludf.XLOOKUP(C773,STUDENTS!$A$5:$A$204,STUDENTS!$C$5:$C$204,""),"")</f>
        <v/>
      </c>
      <c r="E773" s="10" t="str">
        <f ca="1">IFERROR(_xludf.XLOOKUP(C773,STUDENTS!$A$5:$A$204,STUDENTS!$L$5:$L$204,""),"")</f>
        <v/>
      </c>
      <c r="F773" s="8"/>
      <c r="G773" s="10" t="str">
        <f>SETTINGS!$B$8</f>
        <v>2026/2027</v>
      </c>
      <c r="H773" s="10">
        <f t="shared" ref="H773:H836" si="49">IF(F773="Present",1,0)</f>
        <v>0</v>
      </c>
      <c r="I773" s="10">
        <f t="shared" ref="I773:I836" si="50">IF(F773="Absent",1,0)</f>
        <v>0</v>
      </c>
      <c r="J773" s="13" t="str">
        <f t="shared" ref="J773:J836" si="51">IF(OR(H773="",I773=""),"",IF(H773+I773=0,"",H773/(H773+I773)))</f>
        <v/>
      </c>
    </row>
    <row r="774" spans="1:10" x14ac:dyDescent="0.2">
      <c r="A774" s="10" t="str">
        <f t="shared" si="48"/>
        <v/>
      </c>
      <c r="B774" s="9"/>
      <c r="C774" s="8"/>
      <c r="D774" s="10" t="str">
        <f ca="1">IFERROR(_xludf.XLOOKUP(C774,STUDENTS!$A$5:$A$204,STUDENTS!$C$5:$C$204,""),"")</f>
        <v/>
      </c>
      <c r="E774" s="10" t="str">
        <f ca="1">IFERROR(_xludf.XLOOKUP(C774,STUDENTS!$A$5:$A$204,STUDENTS!$L$5:$L$204,""),"")</f>
        <v/>
      </c>
      <c r="F774" s="8"/>
      <c r="G774" s="10" t="str">
        <f>SETTINGS!$B$8</f>
        <v>2026/2027</v>
      </c>
      <c r="H774" s="10">
        <f t="shared" si="49"/>
        <v>0</v>
      </c>
      <c r="I774" s="10">
        <f t="shared" si="50"/>
        <v>0</v>
      </c>
      <c r="J774" s="13" t="str">
        <f t="shared" si="51"/>
        <v/>
      </c>
    </row>
    <row r="775" spans="1:10" x14ac:dyDescent="0.2">
      <c r="A775" s="10" t="str">
        <f t="shared" si="48"/>
        <v/>
      </c>
      <c r="B775" s="9"/>
      <c r="C775" s="8"/>
      <c r="D775" s="10" t="str">
        <f ca="1">IFERROR(_xludf.XLOOKUP(C775,STUDENTS!$A$5:$A$204,STUDENTS!$C$5:$C$204,""),"")</f>
        <v/>
      </c>
      <c r="E775" s="10" t="str">
        <f ca="1">IFERROR(_xludf.XLOOKUP(C775,STUDENTS!$A$5:$A$204,STUDENTS!$L$5:$L$204,""),"")</f>
        <v/>
      </c>
      <c r="F775" s="8"/>
      <c r="G775" s="10" t="str">
        <f>SETTINGS!$B$8</f>
        <v>2026/2027</v>
      </c>
      <c r="H775" s="10">
        <f t="shared" si="49"/>
        <v>0</v>
      </c>
      <c r="I775" s="10">
        <f t="shared" si="50"/>
        <v>0</v>
      </c>
      <c r="J775" s="13" t="str">
        <f t="shared" si="51"/>
        <v/>
      </c>
    </row>
    <row r="776" spans="1:10" x14ac:dyDescent="0.2">
      <c r="A776" s="10" t="str">
        <f t="shared" si="48"/>
        <v/>
      </c>
      <c r="B776" s="9"/>
      <c r="C776" s="8"/>
      <c r="D776" s="10" t="str">
        <f ca="1">IFERROR(_xludf.XLOOKUP(C776,STUDENTS!$A$5:$A$204,STUDENTS!$C$5:$C$204,""),"")</f>
        <v/>
      </c>
      <c r="E776" s="10" t="str">
        <f ca="1">IFERROR(_xludf.XLOOKUP(C776,STUDENTS!$A$5:$A$204,STUDENTS!$L$5:$L$204,""),"")</f>
        <v/>
      </c>
      <c r="F776" s="8"/>
      <c r="G776" s="10" t="str">
        <f>SETTINGS!$B$8</f>
        <v>2026/2027</v>
      </c>
      <c r="H776" s="10">
        <f t="shared" si="49"/>
        <v>0</v>
      </c>
      <c r="I776" s="10">
        <f t="shared" si="50"/>
        <v>0</v>
      </c>
      <c r="J776" s="13" t="str">
        <f t="shared" si="51"/>
        <v/>
      </c>
    </row>
    <row r="777" spans="1:10" x14ac:dyDescent="0.2">
      <c r="A777" s="10" t="str">
        <f t="shared" si="48"/>
        <v/>
      </c>
      <c r="B777" s="9"/>
      <c r="C777" s="8"/>
      <c r="D777" s="10" t="str">
        <f ca="1">IFERROR(_xludf.XLOOKUP(C777,STUDENTS!$A$5:$A$204,STUDENTS!$C$5:$C$204,""),"")</f>
        <v/>
      </c>
      <c r="E777" s="10" t="str">
        <f ca="1">IFERROR(_xludf.XLOOKUP(C777,STUDENTS!$A$5:$A$204,STUDENTS!$L$5:$L$204,""),"")</f>
        <v/>
      </c>
      <c r="F777" s="8"/>
      <c r="G777" s="10" t="str">
        <f>SETTINGS!$B$8</f>
        <v>2026/2027</v>
      </c>
      <c r="H777" s="10">
        <f t="shared" si="49"/>
        <v>0</v>
      </c>
      <c r="I777" s="10">
        <f t="shared" si="50"/>
        <v>0</v>
      </c>
      <c r="J777" s="13" t="str">
        <f t="shared" si="51"/>
        <v/>
      </c>
    </row>
    <row r="778" spans="1:10" x14ac:dyDescent="0.2">
      <c r="A778" s="10" t="str">
        <f t="shared" si="48"/>
        <v/>
      </c>
      <c r="B778" s="9"/>
      <c r="C778" s="8"/>
      <c r="D778" s="10" t="str">
        <f ca="1">IFERROR(_xludf.XLOOKUP(C778,STUDENTS!$A$5:$A$204,STUDENTS!$C$5:$C$204,""),"")</f>
        <v/>
      </c>
      <c r="E778" s="10" t="str">
        <f ca="1">IFERROR(_xludf.XLOOKUP(C778,STUDENTS!$A$5:$A$204,STUDENTS!$L$5:$L$204,""),"")</f>
        <v/>
      </c>
      <c r="F778" s="8"/>
      <c r="G778" s="10" t="str">
        <f>SETTINGS!$B$8</f>
        <v>2026/2027</v>
      </c>
      <c r="H778" s="10">
        <f t="shared" si="49"/>
        <v>0</v>
      </c>
      <c r="I778" s="10">
        <f t="shared" si="50"/>
        <v>0</v>
      </c>
      <c r="J778" s="13" t="str">
        <f t="shared" si="51"/>
        <v/>
      </c>
    </row>
    <row r="779" spans="1:10" x14ac:dyDescent="0.2">
      <c r="A779" s="10" t="str">
        <f t="shared" si="48"/>
        <v/>
      </c>
      <c r="B779" s="9"/>
      <c r="C779" s="8"/>
      <c r="D779" s="10" t="str">
        <f ca="1">IFERROR(_xludf.XLOOKUP(C779,STUDENTS!$A$5:$A$204,STUDENTS!$C$5:$C$204,""),"")</f>
        <v/>
      </c>
      <c r="E779" s="10" t="str">
        <f ca="1">IFERROR(_xludf.XLOOKUP(C779,STUDENTS!$A$5:$A$204,STUDENTS!$L$5:$L$204,""),"")</f>
        <v/>
      </c>
      <c r="F779" s="8"/>
      <c r="G779" s="10" t="str">
        <f>SETTINGS!$B$8</f>
        <v>2026/2027</v>
      </c>
      <c r="H779" s="10">
        <f t="shared" si="49"/>
        <v>0</v>
      </c>
      <c r="I779" s="10">
        <f t="shared" si="50"/>
        <v>0</v>
      </c>
      <c r="J779" s="13" t="str">
        <f t="shared" si="51"/>
        <v/>
      </c>
    </row>
    <row r="780" spans="1:10" x14ac:dyDescent="0.2">
      <c r="A780" s="10" t="str">
        <f t="shared" si="48"/>
        <v/>
      </c>
      <c r="B780" s="9"/>
      <c r="C780" s="8"/>
      <c r="D780" s="10" t="str">
        <f ca="1">IFERROR(_xludf.XLOOKUP(C780,STUDENTS!$A$5:$A$204,STUDENTS!$C$5:$C$204,""),"")</f>
        <v/>
      </c>
      <c r="E780" s="10" t="str">
        <f ca="1">IFERROR(_xludf.XLOOKUP(C780,STUDENTS!$A$5:$A$204,STUDENTS!$L$5:$L$204,""),"")</f>
        <v/>
      </c>
      <c r="F780" s="8"/>
      <c r="G780" s="10" t="str">
        <f>SETTINGS!$B$8</f>
        <v>2026/2027</v>
      </c>
      <c r="H780" s="10">
        <f t="shared" si="49"/>
        <v>0</v>
      </c>
      <c r="I780" s="10">
        <f t="shared" si="50"/>
        <v>0</v>
      </c>
      <c r="J780" s="13" t="str">
        <f t="shared" si="51"/>
        <v/>
      </c>
    </row>
    <row r="781" spans="1:10" x14ac:dyDescent="0.2">
      <c r="A781" s="10" t="str">
        <f t="shared" si="48"/>
        <v/>
      </c>
      <c r="B781" s="9"/>
      <c r="C781" s="8"/>
      <c r="D781" s="10" t="str">
        <f ca="1">IFERROR(_xludf.XLOOKUP(C781,STUDENTS!$A$5:$A$204,STUDENTS!$C$5:$C$204,""),"")</f>
        <v/>
      </c>
      <c r="E781" s="10" t="str">
        <f ca="1">IFERROR(_xludf.XLOOKUP(C781,STUDENTS!$A$5:$A$204,STUDENTS!$L$5:$L$204,""),"")</f>
        <v/>
      </c>
      <c r="F781" s="8"/>
      <c r="G781" s="10" t="str">
        <f>SETTINGS!$B$8</f>
        <v>2026/2027</v>
      </c>
      <c r="H781" s="10">
        <f t="shared" si="49"/>
        <v>0</v>
      </c>
      <c r="I781" s="10">
        <f t="shared" si="50"/>
        <v>0</v>
      </c>
      <c r="J781" s="13" t="str">
        <f t="shared" si="51"/>
        <v/>
      </c>
    </row>
    <row r="782" spans="1:10" x14ac:dyDescent="0.2">
      <c r="A782" s="10" t="str">
        <f t="shared" si="48"/>
        <v/>
      </c>
      <c r="B782" s="9"/>
      <c r="C782" s="8"/>
      <c r="D782" s="10" t="str">
        <f ca="1">IFERROR(_xludf.XLOOKUP(C782,STUDENTS!$A$5:$A$204,STUDENTS!$C$5:$C$204,""),"")</f>
        <v/>
      </c>
      <c r="E782" s="10" t="str">
        <f ca="1">IFERROR(_xludf.XLOOKUP(C782,STUDENTS!$A$5:$A$204,STUDENTS!$L$5:$L$204,""),"")</f>
        <v/>
      </c>
      <c r="F782" s="8"/>
      <c r="G782" s="10" t="str">
        <f>SETTINGS!$B$8</f>
        <v>2026/2027</v>
      </c>
      <c r="H782" s="10">
        <f t="shared" si="49"/>
        <v>0</v>
      </c>
      <c r="I782" s="10">
        <f t="shared" si="50"/>
        <v>0</v>
      </c>
      <c r="J782" s="13" t="str">
        <f t="shared" si="51"/>
        <v/>
      </c>
    </row>
    <row r="783" spans="1:10" x14ac:dyDescent="0.2">
      <c r="A783" s="10" t="str">
        <f t="shared" si="48"/>
        <v/>
      </c>
      <c r="B783" s="9"/>
      <c r="C783" s="8"/>
      <c r="D783" s="10" t="str">
        <f ca="1">IFERROR(_xludf.XLOOKUP(C783,STUDENTS!$A$5:$A$204,STUDENTS!$C$5:$C$204,""),"")</f>
        <v/>
      </c>
      <c r="E783" s="10" t="str">
        <f ca="1">IFERROR(_xludf.XLOOKUP(C783,STUDENTS!$A$5:$A$204,STUDENTS!$L$5:$L$204,""),"")</f>
        <v/>
      </c>
      <c r="F783" s="8"/>
      <c r="G783" s="10" t="str">
        <f>SETTINGS!$B$8</f>
        <v>2026/2027</v>
      </c>
      <c r="H783" s="10">
        <f t="shared" si="49"/>
        <v>0</v>
      </c>
      <c r="I783" s="10">
        <f t="shared" si="50"/>
        <v>0</v>
      </c>
      <c r="J783" s="13" t="str">
        <f t="shared" si="51"/>
        <v/>
      </c>
    </row>
    <row r="784" spans="1:10" x14ac:dyDescent="0.2">
      <c r="A784" s="10" t="str">
        <f t="shared" si="48"/>
        <v/>
      </c>
      <c r="B784" s="9"/>
      <c r="C784" s="8"/>
      <c r="D784" s="10" t="str">
        <f ca="1">IFERROR(_xludf.XLOOKUP(C784,STUDENTS!$A$5:$A$204,STUDENTS!$C$5:$C$204,""),"")</f>
        <v/>
      </c>
      <c r="E784" s="10" t="str">
        <f ca="1">IFERROR(_xludf.XLOOKUP(C784,STUDENTS!$A$5:$A$204,STUDENTS!$L$5:$L$204,""),"")</f>
        <v/>
      </c>
      <c r="F784" s="8"/>
      <c r="G784" s="10" t="str">
        <f>SETTINGS!$B$8</f>
        <v>2026/2027</v>
      </c>
      <c r="H784" s="10">
        <f t="shared" si="49"/>
        <v>0</v>
      </c>
      <c r="I784" s="10">
        <f t="shared" si="50"/>
        <v>0</v>
      </c>
      <c r="J784" s="13" t="str">
        <f t="shared" si="51"/>
        <v/>
      </c>
    </row>
    <row r="785" spans="1:10" x14ac:dyDescent="0.2">
      <c r="A785" s="10" t="str">
        <f t="shared" si="48"/>
        <v/>
      </c>
      <c r="B785" s="9"/>
      <c r="C785" s="8"/>
      <c r="D785" s="10" t="str">
        <f ca="1">IFERROR(_xludf.XLOOKUP(C785,STUDENTS!$A$5:$A$204,STUDENTS!$C$5:$C$204,""),"")</f>
        <v/>
      </c>
      <c r="E785" s="10" t="str">
        <f ca="1">IFERROR(_xludf.XLOOKUP(C785,STUDENTS!$A$5:$A$204,STUDENTS!$L$5:$L$204,""),"")</f>
        <v/>
      </c>
      <c r="F785" s="8"/>
      <c r="G785" s="10" t="str">
        <f>SETTINGS!$B$8</f>
        <v>2026/2027</v>
      </c>
      <c r="H785" s="10">
        <f t="shared" si="49"/>
        <v>0</v>
      </c>
      <c r="I785" s="10">
        <f t="shared" si="50"/>
        <v>0</v>
      </c>
      <c r="J785" s="13" t="str">
        <f t="shared" si="51"/>
        <v/>
      </c>
    </row>
    <row r="786" spans="1:10" x14ac:dyDescent="0.2">
      <c r="A786" s="10" t="str">
        <f t="shared" si="48"/>
        <v/>
      </c>
      <c r="B786" s="9"/>
      <c r="C786" s="8"/>
      <c r="D786" s="10" t="str">
        <f ca="1">IFERROR(_xludf.XLOOKUP(C786,STUDENTS!$A$5:$A$204,STUDENTS!$C$5:$C$204,""),"")</f>
        <v/>
      </c>
      <c r="E786" s="10" t="str">
        <f ca="1">IFERROR(_xludf.XLOOKUP(C786,STUDENTS!$A$5:$A$204,STUDENTS!$L$5:$L$204,""),"")</f>
        <v/>
      </c>
      <c r="F786" s="8"/>
      <c r="G786" s="10" t="str">
        <f>SETTINGS!$B$8</f>
        <v>2026/2027</v>
      </c>
      <c r="H786" s="10">
        <f t="shared" si="49"/>
        <v>0</v>
      </c>
      <c r="I786" s="10">
        <f t="shared" si="50"/>
        <v>0</v>
      </c>
      <c r="J786" s="13" t="str">
        <f t="shared" si="51"/>
        <v/>
      </c>
    </row>
    <row r="787" spans="1:10" x14ac:dyDescent="0.2">
      <c r="A787" s="10" t="str">
        <f t="shared" si="48"/>
        <v/>
      </c>
      <c r="B787" s="9"/>
      <c r="C787" s="8"/>
      <c r="D787" s="10" t="str">
        <f ca="1">IFERROR(_xludf.XLOOKUP(C787,STUDENTS!$A$5:$A$204,STUDENTS!$C$5:$C$204,""),"")</f>
        <v/>
      </c>
      <c r="E787" s="10" t="str">
        <f ca="1">IFERROR(_xludf.XLOOKUP(C787,STUDENTS!$A$5:$A$204,STUDENTS!$L$5:$L$204,""),"")</f>
        <v/>
      </c>
      <c r="F787" s="8"/>
      <c r="G787" s="10" t="str">
        <f>SETTINGS!$B$8</f>
        <v>2026/2027</v>
      </c>
      <c r="H787" s="10">
        <f t="shared" si="49"/>
        <v>0</v>
      </c>
      <c r="I787" s="10">
        <f t="shared" si="50"/>
        <v>0</v>
      </c>
      <c r="J787" s="13" t="str">
        <f t="shared" si="51"/>
        <v/>
      </c>
    </row>
    <row r="788" spans="1:10" x14ac:dyDescent="0.2">
      <c r="A788" s="10" t="str">
        <f t="shared" si="48"/>
        <v/>
      </c>
      <c r="B788" s="9"/>
      <c r="C788" s="8"/>
      <c r="D788" s="10" t="str">
        <f ca="1">IFERROR(_xludf.XLOOKUP(C788,STUDENTS!$A$5:$A$204,STUDENTS!$C$5:$C$204,""),"")</f>
        <v/>
      </c>
      <c r="E788" s="10" t="str">
        <f ca="1">IFERROR(_xludf.XLOOKUP(C788,STUDENTS!$A$5:$A$204,STUDENTS!$L$5:$L$204,""),"")</f>
        <v/>
      </c>
      <c r="F788" s="8"/>
      <c r="G788" s="10" t="str">
        <f>SETTINGS!$B$8</f>
        <v>2026/2027</v>
      </c>
      <c r="H788" s="10">
        <f t="shared" si="49"/>
        <v>0</v>
      </c>
      <c r="I788" s="10">
        <f t="shared" si="50"/>
        <v>0</v>
      </c>
      <c r="J788" s="13" t="str">
        <f t="shared" si="51"/>
        <v/>
      </c>
    </row>
    <row r="789" spans="1:10" x14ac:dyDescent="0.2">
      <c r="A789" s="10" t="str">
        <f t="shared" si="48"/>
        <v/>
      </c>
      <c r="B789" s="9"/>
      <c r="C789" s="8"/>
      <c r="D789" s="10" t="str">
        <f ca="1">IFERROR(_xludf.XLOOKUP(C789,STUDENTS!$A$5:$A$204,STUDENTS!$C$5:$C$204,""),"")</f>
        <v/>
      </c>
      <c r="E789" s="10" t="str">
        <f ca="1">IFERROR(_xludf.XLOOKUP(C789,STUDENTS!$A$5:$A$204,STUDENTS!$L$5:$L$204,""),"")</f>
        <v/>
      </c>
      <c r="F789" s="8"/>
      <c r="G789" s="10" t="str">
        <f>SETTINGS!$B$8</f>
        <v>2026/2027</v>
      </c>
      <c r="H789" s="10">
        <f t="shared" si="49"/>
        <v>0</v>
      </c>
      <c r="I789" s="10">
        <f t="shared" si="50"/>
        <v>0</v>
      </c>
      <c r="J789" s="13" t="str">
        <f t="shared" si="51"/>
        <v/>
      </c>
    </row>
    <row r="790" spans="1:10" x14ac:dyDescent="0.2">
      <c r="A790" s="10" t="str">
        <f t="shared" si="48"/>
        <v/>
      </c>
      <c r="B790" s="9"/>
      <c r="C790" s="8"/>
      <c r="D790" s="10" t="str">
        <f ca="1">IFERROR(_xludf.XLOOKUP(C790,STUDENTS!$A$5:$A$204,STUDENTS!$C$5:$C$204,""),"")</f>
        <v/>
      </c>
      <c r="E790" s="10" t="str">
        <f ca="1">IFERROR(_xludf.XLOOKUP(C790,STUDENTS!$A$5:$A$204,STUDENTS!$L$5:$L$204,""),"")</f>
        <v/>
      </c>
      <c r="F790" s="8"/>
      <c r="G790" s="10" t="str">
        <f>SETTINGS!$B$8</f>
        <v>2026/2027</v>
      </c>
      <c r="H790" s="10">
        <f t="shared" si="49"/>
        <v>0</v>
      </c>
      <c r="I790" s="10">
        <f t="shared" si="50"/>
        <v>0</v>
      </c>
      <c r="J790" s="13" t="str">
        <f t="shared" si="51"/>
        <v/>
      </c>
    </row>
    <row r="791" spans="1:10" x14ac:dyDescent="0.2">
      <c r="A791" s="10" t="str">
        <f t="shared" si="48"/>
        <v/>
      </c>
      <c r="B791" s="9"/>
      <c r="C791" s="8"/>
      <c r="D791" s="10" t="str">
        <f ca="1">IFERROR(_xludf.XLOOKUP(C791,STUDENTS!$A$5:$A$204,STUDENTS!$C$5:$C$204,""),"")</f>
        <v/>
      </c>
      <c r="E791" s="10" t="str">
        <f ca="1">IFERROR(_xludf.XLOOKUP(C791,STUDENTS!$A$5:$A$204,STUDENTS!$L$5:$L$204,""),"")</f>
        <v/>
      </c>
      <c r="F791" s="8"/>
      <c r="G791" s="10" t="str">
        <f>SETTINGS!$B$8</f>
        <v>2026/2027</v>
      </c>
      <c r="H791" s="10">
        <f t="shared" si="49"/>
        <v>0</v>
      </c>
      <c r="I791" s="10">
        <f t="shared" si="50"/>
        <v>0</v>
      </c>
      <c r="J791" s="13" t="str">
        <f t="shared" si="51"/>
        <v/>
      </c>
    </row>
    <row r="792" spans="1:10" x14ac:dyDescent="0.2">
      <c r="A792" s="10" t="str">
        <f t="shared" si="48"/>
        <v/>
      </c>
      <c r="B792" s="9"/>
      <c r="C792" s="8"/>
      <c r="D792" s="10" t="str">
        <f ca="1">IFERROR(_xludf.XLOOKUP(C792,STUDENTS!$A$5:$A$204,STUDENTS!$C$5:$C$204,""),"")</f>
        <v/>
      </c>
      <c r="E792" s="10" t="str">
        <f ca="1">IFERROR(_xludf.XLOOKUP(C792,STUDENTS!$A$5:$A$204,STUDENTS!$L$5:$L$204,""),"")</f>
        <v/>
      </c>
      <c r="F792" s="8"/>
      <c r="G792" s="10" t="str">
        <f>SETTINGS!$B$8</f>
        <v>2026/2027</v>
      </c>
      <c r="H792" s="10">
        <f t="shared" si="49"/>
        <v>0</v>
      </c>
      <c r="I792" s="10">
        <f t="shared" si="50"/>
        <v>0</v>
      </c>
      <c r="J792" s="13" t="str">
        <f t="shared" si="51"/>
        <v/>
      </c>
    </row>
    <row r="793" spans="1:10" x14ac:dyDescent="0.2">
      <c r="A793" s="10" t="str">
        <f t="shared" si="48"/>
        <v/>
      </c>
      <c r="B793" s="9"/>
      <c r="C793" s="8"/>
      <c r="D793" s="10" t="str">
        <f ca="1">IFERROR(_xludf.XLOOKUP(C793,STUDENTS!$A$5:$A$204,STUDENTS!$C$5:$C$204,""),"")</f>
        <v/>
      </c>
      <c r="E793" s="10" t="str">
        <f ca="1">IFERROR(_xludf.XLOOKUP(C793,STUDENTS!$A$5:$A$204,STUDENTS!$L$5:$L$204,""),"")</f>
        <v/>
      </c>
      <c r="F793" s="8"/>
      <c r="G793" s="10" t="str">
        <f>SETTINGS!$B$8</f>
        <v>2026/2027</v>
      </c>
      <c r="H793" s="10">
        <f t="shared" si="49"/>
        <v>0</v>
      </c>
      <c r="I793" s="10">
        <f t="shared" si="50"/>
        <v>0</v>
      </c>
      <c r="J793" s="13" t="str">
        <f t="shared" si="51"/>
        <v/>
      </c>
    </row>
    <row r="794" spans="1:10" x14ac:dyDescent="0.2">
      <c r="A794" s="10" t="str">
        <f t="shared" si="48"/>
        <v/>
      </c>
      <c r="B794" s="9"/>
      <c r="C794" s="8"/>
      <c r="D794" s="10" t="str">
        <f ca="1">IFERROR(_xludf.XLOOKUP(C794,STUDENTS!$A$5:$A$204,STUDENTS!$C$5:$C$204,""),"")</f>
        <v/>
      </c>
      <c r="E794" s="10" t="str">
        <f ca="1">IFERROR(_xludf.XLOOKUP(C794,STUDENTS!$A$5:$A$204,STUDENTS!$L$5:$L$204,""),"")</f>
        <v/>
      </c>
      <c r="F794" s="8"/>
      <c r="G794" s="10" t="str">
        <f>SETTINGS!$B$8</f>
        <v>2026/2027</v>
      </c>
      <c r="H794" s="10">
        <f t="shared" si="49"/>
        <v>0</v>
      </c>
      <c r="I794" s="10">
        <f t="shared" si="50"/>
        <v>0</v>
      </c>
      <c r="J794" s="13" t="str">
        <f t="shared" si="51"/>
        <v/>
      </c>
    </row>
    <row r="795" spans="1:10" x14ac:dyDescent="0.2">
      <c r="A795" s="10" t="str">
        <f t="shared" si="48"/>
        <v/>
      </c>
      <c r="B795" s="9"/>
      <c r="C795" s="8"/>
      <c r="D795" s="10" t="str">
        <f ca="1">IFERROR(_xludf.XLOOKUP(C795,STUDENTS!$A$5:$A$204,STUDENTS!$C$5:$C$204,""),"")</f>
        <v/>
      </c>
      <c r="E795" s="10" t="str">
        <f ca="1">IFERROR(_xludf.XLOOKUP(C795,STUDENTS!$A$5:$A$204,STUDENTS!$L$5:$L$204,""),"")</f>
        <v/>
      </c>
      <c r="F795" s="8"/>
      <c r="G795" s="10" t="str">
        <f>SETTINGS!$B$8</f>
        <v>2026/2027</v>
      </c>
      <c r="H795" s="10">
        <f t="shared" si="49"/>
        <v>0</v>
      </c>
      <c r="I795" s="10">
        <f t="shared" si="50"/>
        <v>0</v>
      </c>
      <c r="J795" s="13" t="str">
        <f t="shared" si="51"/>
        <v/>
      </c>
    </row>
    <row r="796" spans="1:10" x14ac:dyDescent="0.2">
      <c r="A796" s="10" t="str">
        <f t="shared" si="48"/>
        <v/>
      </c>
      <c r="B796" s="9"/>
      <c r="C796" s="8"/>
      <c r="D796" s="10" t="str">
        <f ca="1">IFERROR(_xludf.XLOOKUP(C796,STUDENTS!$A$5:$A$204,STUDENTS!$C$5:$C$204,""),"")</f>
        <v/>
      </c>
      <c r="E796" s="10" t="str">
        <f ca="1">IFERROR(_xludf.XLOOKUP(C796,STUDENTS!$A$5:$A$204,STUDENTS!$L$5:$L$204,""),"")</f>
        <v/>
      </c>
      <c r="F796" s="8"/>
      <c r="G796" s="10" t="str">
        <f>SETTINGS!$B$8</f>
        <v>2026/2027</v>
      </c>
      <c r="H796" s="10">
        <f t="shared" si="49"/>
        <v>0</v>
      </c>
      <c r="I796" s="10">
        <f t="shared" si="50"/>
        <v>0</v>
      </c>
      <c r="J796" s="13" t="str">
        <f t="shared" si="51"/>
        <v/>
      </c>
    </row>
    <row r="797" spans="1:10" x14ac:dyDescent="0.2">
      <c r="A797" s="10" t="str">
        <f t="shared" si="48"/>
        <v/>
      </c>
      <c r="B797" s="9"/>
      <c r="C797" s="8"/>
      <c r="D797" s="10" t="str">
        <f ca="1">IFERROR(_xludf.XLOOKUP(C797,STUDENTS!$A$5:$A$204,STUDENTS!$C$5:$C$204,""),"")</f>
        <v/>
      </c>
      <c r="E797" s="10" t="str">
        <f ca="1">IFERROR(_xludf.XLOOKUP(C797,STUDENTS!$A$5:$A$204,STUDENTS!$L$5:$L$204,""),"")</f>
        <v/>
      </c>
      <c r="F797" s="8"/>
      <c r="G797" s="10" t="str">
        <f>SETTINGS!$B$8</f>
        <v>2026/2027</v>
      </c>
      <c r="H797" s="10">
        <f t="shared" si="49"/>
        <v>0</v>
      </c>
      <c r="I797" s="10">
        <f t="shared" si="50"/>
        <v>0</v>
      </c>
      <c r="J797" s="13" t="str">
        <f t="shared" si="51"/>
        <v/>
      </c>
    </row>
    <row r="798" spans="1:10" x14ac:dyDescent="0.2">
      <c r="A798" s="10" t="str">
        <f t="shared" si="48"/>
        <v/>
      </c>
      <c r="B798" s="9"/>
      <c r="C798" s="8"/>
      <c r="D798" s="10" t="str">
        <f ca="1">IFERROR(_xludf.XLOOKUP(C798,STUDENTS!$A$5:$A$204,STUDENTS!$C$5:$C$204,""),"")</f>
        <v/>
      </c>
      <c r="E798" s="10" t="str">
        <f ca="1">IFERROR(_xludf.XLOOKUP(C798,STUDENTS!$A$5:$A$204,STUDENTS!$L$5:$L$204,""),"")</f>
        <v/>
      </c>
      <c r="F798" s="8"/>
      <c r="G798" s="10" t="str">
        <f>SETTINGS!$B$8</f>
        <v>2026/2027</v>
      </c>
      <c r="H798" s="10">
        <f t="shared" si="49"/>
        <v>0</v>
      </c>
      <c r="I798" s="10">
        <f t="shared" si="50"/>
        <v>0</v>
      </c>
      <c r="J798" s="13" t="str">
        <f t="shared" si="51"/>
        <v/>
      </c>
    </row>
    <row r="799" spans="1:10" x14ac:dyDescent="0.2">
      <c r="A799" s="10" t="str">
        <f t="shared" si="48"/>
        <v/>
      </c>
      <c r="B799" s="9"/>
      <c r="C799" s="8"/>
      <c r="D799" s="10" t="str">
        <f ca="1">IFERROR(_xludf.XLOOKUP(C799,STUDENTS!$A$5:$A$204,STUDENTS!$C$5:$C$204,""),"")</f>
        <v/>
      </c>
      <c r="E799" s="10" t="str">
        <f ca="1">IFERROR(_xludf.XLOOKUP(C799,STUDENTS!$A$5:$A$204,STUDENTS!$L$5:$L$204,""),"")</f>
        <v/>
      </c>
      <c r="F799" s="8"/>
      <c r="G799" s="10" t="str">
        <f>SETTINGS!$B$8</f>
        <v>2026/2027</v>
      </c>
      <c r="H799" s="10">
        <f t="shared" si="49"/>
        <v>0</v>
      </c>
      <c r="I799" s="10">
        <f t="shared" si="50"/>
        <v>0</v>
      </c>
      <c r="J799" s="13" t="str">
        <f t="shared" si="51"/>
        <v/>
      </c>
    </row>
    <row r="800" spans="1:10" x14ac:dyDescent="0.2">
      <c r="A800" s="10" t="str">
        <f t="shared" si="48"/>
        <v/>
      </c>
      <c r="B800" s="9"/>
      <c r="C800" s="8"/>
      <c r="D800" s="10" t="str">
        <f ca="1">IFERROR(_xludf.XLOOKUP(C800,STUDENTS!$A$5:$A$204,STUDENTS!$C$5:$C$204,""),"")</f>
        <v/>
      </c>
      <c r="E800" s="10" t="str">
        <f ca="1">IFERROR(_xludf.XLOOKUP(C800,STUDENTS!$A$5:$A$204,STUDENTS!$L$5:$L$204,""),"")</f>
        <v/>
      </c>
      <c r="F800" s="8"/>
      <c r="G800" s="10" t="str">
        <f>SETTINGS!$B$8</f>
        <v>2026/2027</v>
      </c>
      <c r="H800" s="10">
        <f t="shared" si="49"/>
        <v>0</v>
      </c>
      <c r="I800" s="10">
        <f t="shared" si="50"/>
        <v>0</v>
      </c>
      <c r="J800" s="13" t="str">
        <f t="shared" si="51"/>
        <v/>
      </c>
    </row>
    <row r="801" spans="1:10" x14ac:dyDescent="0.2">
      <c r="A801" s="10" t="str">
        <f t="shared" si="48"/>
        <v/>
      </c>
      <c r="B801" s="9"/>
      <c r="C801" s="8"/>
      <c r="D801" s="10" t="str">
        <f ca="1">IFERROR(_xludf.XLOOKUP(C801,STUDENTS!$A$5:$A$204,STUDENTS!$C$5:$C$204,""),"")</f>
        <v/>
      </c>
      <c r="E801" s="10" t="str">
        <f ca="1">IFERROR(_xludf.XLOOKUP(C801,STUDENTS!$A$5:$A$204,STUDENTS!$L$5:$L$204,""),"")</f>
        <v/>
      </c>
      <c r="F801" s="8"/>
      <c r="G801" s="10" t="str">
        <f>SETTINGS!$B$8</f>
        <v>2026/2027</v>
      </c>
      <c r="H801" s="10">
        <f t="shared" si="49"/>
        <v>0</v>
      </c>
      <c r="I801" s="10">
        <f t="shared" si="50"/>
        <v>0</v>
      </c>
      <c r="J801" s="13" t="str">
        <f t="shared" si="51"/>
        <v/>
      </c>
    </row>
    <row r="802" spans="1:10" x14ac:dyDescent="0.2">
      <c r="A802" s="10" t="str">
        <f t="shared" si="48"/>
        <v/>
      </c>
      <c r="B802" s="9"/>
      <c r="C802" s="8"/>
      <c r="D802" s="10" t="str">
        <f ca="1">IFERROR(_xludf.XLOOKUP(C802,STUDENTS!$A$5:$A$204,STUDENTS!$C$5:$C$204,""),"")</f>
        <v/>
      </c>
      <c r="E802" s="10" t="str">
        <f ca="1">IFERROR(_xludf.XLOOKUP(C802,STUDENTS!$A$5:$A$204,STUDENTS!$L$5:$L$204,""),"")</f>
        <v/>
      </c>
      <c r="F802" s="8"/>
      <c r="G802" s="10" t="str">
        <f>SETTINGS!$B$8</f>
        <v>2026/2027</v>
      </c>
      <c r="H802" s="10">
        <f t="shared" si="49"/>
        <v>0</v>
      </c>
      <c r="I802" s="10">
        <f t="shared" si="50"/>
        <v>0</v>
      </c>
      <c r="J802" s="13" t="str">
        <f t="shared" si="51"/>
        <v/>
      </c>
    </row>
    <row r="803" spans="1:10" x14ac:dyDescent="0.2">
      <c r="A803" s="10" t="str">
        <f t="shared" si="48"/>
        <v/>
      </c>
      <c r="B803" s="9"/>
      <c r="C803" s="8"/>
      <c r="D803" s="10" t="str">
        <f ca="1">IFERROR(_xludf.XLOOKUP(C803,STUDENTS!$A$5:$A$204,STUDENTS!$C$5:$C$204,""),"")</f>
        <v/>
      </c>
      <c r="E803" s="10" t="str">
        <f ca="1">IFERROR(_xludf.XLOOKUP(C803,STUDENTS!$A$5:$A$204,STUDENTS!$L$5:$L$204,""),"")</f>
        <v/>
      </c>
      <c r="F803" s="8"/>
      <c r="G803" s="10" t="str">
        <f>SETTINGS!$B$8</f>
        <v>2026/2027</v>
      </c>
      <c r="H803" s="10">
        <f t="shared" si="49"/>
        <v>0</v>
      </c>
      <c r="I803" s="10">
        <f t="shared" si="50"/>
        <v>0</v>
      </c>
      <c r="J803" s="13" t="str">
        <f t="shared" si="51"/>
        <v/>
      </c>
    </row>
    <row r="804" spans="1:10" x14ac:dyDescent="0.2">
      <c r="A804" s="10" t="str">
        <f t="shared" si="48"/>
        <v/>
      </c>
      <c r="B804" s="9"/>
      <c r="C804" s="8"/>
      <c r="D804" s="10" t="str">
        <f ca="1">IFERROR(_xludf.XLOOKUP(C804,STUDENTS!$A$5:$A$204,STUDENTS!$C$5:$C$204,""),"")</f>
        <v/>
      </c>
      <c r="E804" s="10" t="str">
        <f ca="1">IFERROR(_xludf.XLOOKUP(C804,STUDENTS!$A$5:$A$204,STUDENTS!$L$5:$L$204,""),"")</f>
        <v/>
      </c>
      <c r="F804" s="8"/>
      <c r="G804" s="10" t="str">
        <f>SETTINGS!$B$8</f>
        <v>2026/2027</v>
      </c>
      <c r="H804" s="10">
        <f t="shared" si="49"/>
        <v>0</v>
      </c>
      <c r="I804" s="10">
        <f t="shared" si="50"/>
        <v>0</v>
      </c>
      <c r="J804" s="13" t="str">
        <f t="shared" si="51"/>
        <v/>
      </c>
    </row>
    <row r="805" spans="1:10" x14ac:dyDescent="0.2">
      <c r="A805" s="10" t="str">
        <f t="shared" si="48"/>
        <v/>
      </c>
      <c r="B805" s="9"/>
      <c r="C805" s="8"/>
      <c r="D805" s="10" t="str">
        <f ca="1">IFERROR(_xludf.XLOOKUP(C805,STUDENTS!$A$5:$A$204,STUDENTS!$C$5:$C$204,""),"")</f>
        <v/>
      </c>
      <c r="E805" s="10" t="str">
        <f ca="1">IFERROR(_xludf.XLOOKUP(C805,STUDENTS!$A$5:$A$204,STUDENTS!$L$5:$L$204,""),"")</f>
        <v/>
      </c>
      <c r="F805" s="8"/>
      <c r="G805" s="10" t="str">
        <f>SETTINGS!$B$8</f>
        <v>2026/2027</v>
      </c>
      <c r="H805" s="10">
        <f t="shared" si="49"/>
        <v>0</v>
      </c>
      <c r="I805" s="10">
        <f t="shared" si="50"/>
        <v>0</v>
      </c>
      <c r="J805" s="13" t="str">
        <f t="shared" si="51"/>
        <v/>
      </c>
    </row>
    <row r="806" spans="1:10" x14ac:dyDescent="0.2">
      <c r="A806" s="10" t="str">
        <f t="shared" si="48"/>
        <v/>
      </c>
      <c r="B806" s="9"/>
      <c r="C806" s="8"/>
      <c r="D806" s="10" t="str">
        <f ca="1">IFERROR(_xludf.XLOOKUP(C806,STUDENTS!$A$5:$A$204,STUDENTS!$C$5:$C$204,""),"")</f>
        <v/>
      </c>
      <c r="E806" s="10" t="str">
        <f ca="1">IFERROR(_xludf.XLOOKUP(C806,STUDENTS!$A$5:$A$204,STUDENTS!$L$5:$L$204,""),"")</f>
        <v/>
      </c>
      <c r="F806" s="8"/>
      <c r="G806" s="10" t="str">
        <f>SETTINGS!$B$8</f>
        <v>2026/2027</v>
      </c>
      <c r="H806" s="10">
        <f t="shared" si="49"/>
        <v>0</v>
      </c>
      <c r="I806" s="10">
        <f t="shared" si="50"/>
        <v>0</v>
      </c>
      <c r="J806" s="13" t="str">
        <f t="shared" si="51"/>
        <v/>
      </c>
    </row>
    <row r="807" spans="1:10" x14ac:dyDescent="0.2">
      <c r="A807" s="10" t="str">
        <f t="shared" si="48"/>
        <v/>
      </c>
      <c r="B807" s="9"/>
      <c r="C807" s="8"/>
      <c r="D807" s="10" t="str">
        <f ca="1">IFERROR(_xludf.XLOOKUP(C807,STUDENTS!$A$5:$A$204,STUDENTS!$C$5:$C$204,""),"")</f>
        <v/>
      </c>
      <c r="E807" s="10" t="str">
        <f ca="1">IFERROR(_xludf.XLOOKUP(C807,STUDENTS!$A$5:$A$204,STUDENTS!$L$5:$L$204,""),"")</f>
        <v/>
      </c>
      <c r="F807" s="8"/>
      <c r="G807" s="10" t="str">
        <f>SETTINGS!$B$8</f>
        <v>2026/2027</v>
      </c>
      <c r="H807" s="10">
        <f t="shared" si="49"/>
        <v>0</v>
      </c>
      <c r="I807" s="10">
        <f t="shared" si="50"/>
        <v>0</v>
      </c>
      <c r="J807" s="13" t="str">
        <f t="shared" si="51"/>
        <v/>
      </c>
    </row>
    <row r="808" spans="1:10" x14ac:dyDescent="0.2">
      <c r="A808" s="10" t="str">
        <f t="shared" si="48"/>
        <v/>
      </c>
      <c r="B808" s="9"/>
      <c r="C808" s="8"/>
      <c r="D808" s="10" t="str">
        <f ca="1">IFERROR(_xludf.XLOOKUP(C808,STUDENTS!$A$5:$A$204,STUDENTS!$C$5:$C$204,""),"")</f>
        <v/>
      </c>
      <c r="E808" s="10" t="str">
        <f ca="1">IFERROR(_xludf.XLOOKUP(C808,STUDENTS!$A$5:$A$204,STUDENTS!$L$5:$L$204,""),"")</f>
        <v/>
      </c>
      <c r="F808" s="8"/>
      <c r="G808" s="10" t="str">
        <f>SETTINGS!$B$8</f>
        <v>2026/2027</v>
      </c>
      <c r="H808" s="10">
        <f t="shared" si="49"/>
        <v>0</v>
      </c>
      <c r="I808" s="10">
        <f t="shared" si="50"/>
        <v>0</v>
      </c>
      <c r="J808" s="13" t="str">
        <f t="shared" si="51"/>
        <v/>
      </c>
    </row>
    <row r="809" spans="1:10" x14ac:dyDescent="0.2">
      <c r="A809" s="10" t="str">
        <f t="shared" si="48"/>
        <v/>
      </c>
      <c r="B809" s="9"/>
      <c r="C809" s="8"/>
      <c r="D809" s="10" t="str">
        <f ca="1">IFERROR(_xludf.XLOOKUP(C809,STUDENTS!$A$5:$A$204,STUDENTS!$C$5:$C$204,""),"")</f>
        <v/>
      </c>
      <c r="E809" s="10" t="str">
        <f ca="1">IFERROR(_xludf.XLOOKUP(C809,STUDENTS!$A$5:$A$204,STUDENTS!$L$5:$L$204,""),"")</f>
        <v/>
      </c>
      <c r="F809" s="8"/>
      <c r="G809" s="10" t="str">
        <f>SETTINGS!$B$8</f>
        <v>2026/2027</v>
      </c>
      <c r="H809" s="10">
        <f t="shared" si="49"/>
        <v>0</v>
      </c>
      <c r="I809" s="10">
        <f t="shared" si="50"/>
        <v>0</v>
      </c>
      <c r="J809" s="13" t="str">
        <f t="shared" si="51"/>
        <v/>
      </c>
    </row>
    <row r="810" spans="1:10" x14ac:dyDescent="0.2">
      <c r="A810" s="10" t="str">
        <f t="shared" si="48"/>
        <v/>
      </c>
      <c r="B810" s="9"/>
      <c r="C810" s="8"/>
      <c r="D810" s="10" t="str">
        <f ca="1">IFERROR(_xludf.XLOOKUP(C810,STUDENTS!$A$5:$A$204,STUDENTS!$C$5:$C$204,""),"")</f>
        <v/>
      </c>
      <c r="E810" s="10" t="str">
        <f ca="1">IFERROR(_xludf.XLOOKUP(C810,STUDENTS!$A$5:$A$204,STUDENTS!$L$5:$L$204,""),"")</f>
        <v/>
      </c>
      <c r="F810" s="8"/>
      <c r="G810" s="10" t="str">
        <f>SETTINGS!$B$8</f>
        <v>2026/2027</v>
      </c>
      <c r="H810" s="10">
        <f t="shared" si="49"/>
        <v>0</v>
      </c>
      <c r="I810" s="10">
        <f t="shared" si="50"/>
        <v>0</v>
      </c>
      <c r="J810" s="13" t="str">
        <f t="shared" si="51"/>
        <v/>
      </c>
    </row>
    <row r="811" spans="1:10" x14ac:dyDescent="0.2">
      <c r="A811" s="10" t="str">
        <f t="shared" si="48"/>
        <v/>
      </c>
      <c r="B811" s="9"/>
      <c r="C811" s="8"/>
      <c r="D811" s="10" t="str">
        <f ca="1">IFERROR(_xludf.XLOOKUP(C811,STUDENTS!$A$5:$A$204,STUDENTS!$C$5:$C$204,""),"")</f>
        <v/>
      </c>
      <c r="E811" s="10" t="str">
        <f ca="1">IFERROR(_xludf.XLOOKUP(C811,STUDENTS!$A$5:$A$204,STUDENTS!$L$5:$L$204,""),"")</f>
        <v/>
      </c>
      <c r="F811" s="8"/>
      <c r="G811" s="10" t="str">
        <f>SETTINGS!$B$8</f>
        <v>2026/2027</v>
      </c>
      <c r="H811" s="10">
        <f t="shared" si="49"/>
        <v>0</v>
      </c>
      <c r="I811" s="10">
        <f t="shared" si="50"/>
        <v>0</v>
      </c>
      <c r="J811" s="13" t="str">
        <f t="shared" si="51"/>
        <v/>
      </c>
    </row>
    <row r="812" spans="1:10" x14ac:dyDescent="0.2">
      <c r="A812" s="10" t="str">
        <f t="shared" si="48"/>
        <v/>
      </c>
      <c r="B812" s="9"/>
      <c r="C812" s="8"/>
      <c r="D812" s="10" t="str">
        <f ca="1">IFERROR(_xludf.XLOOKUP(C812,STUDENTS!$A$5:$A$204,STUDENTS!$C$5:$C$204,""),"")</f>
        <v/>
      </c>
      <c r="E812" s="10" t="str">
        <f ca="1">IFERROR(_xludf.XLOOKUP(C812,STUDENTS!$A$5:$A$204,STUDENTS!$L$5:$L$204,""),"")</f>
        <v/>
      </c>
      <c r="F812" s="8"/>
      <c r="G812" s="10" t="str">
        <f>SETTINGS!$B$8</f>
        <v>2026/2027</v>
      </c>
      <c r="H812" s="10">
        <f t="shared" si="49"/>
        <v>0</v>
      </c>
      <c r="I812" s="10">
        <f t="shared" si="50"/>
        <v>0</v>
      </c>
      <c r="J812" s="13" t="str">
        <f t="shared" si="51"/>
        <v/>
      </c>
    </row>
    <row r="813" spans="1:10" x14ac:dyDescent="0.2">
      <c r="A813" s="10" t="str">
        <f t="shared" si="48"/>
        <v/>
      </c>
      <c r="B813" s="9"/>
      <c r="C813" s="8"/>
      <c r="D813" s="10" t="str">
        <f ca="1">IFERROR(_xludf.XLOOKUP(C813,STUDENTS!$A$5:$A$204,STUDENTS!$C$5:$C$204,""),"")</f>
        <v/>
      </c>
      <c r="E813" s="10" t="str">
        <f ca="1">IFERROR(_xludf.XLOOKUP(C813,STUDENTS!$A$5:$A$204,STUDENTS!$L$5:$L$204,""),"")</f>
        <v/>
      </c>
      <c r="F813" s="8"/>
      <c r="G813" s="10" t="str">
        <f>SETTINGS!$B$8</f>
        <v>2026/2027</v>
      </c>
      <c r="H813" s="10">
        <f t="shared" si="49"/>
        <v>0</v>
      </c>
      <c r="I813" s="10">
        <f t="shared" si="50"/>
        <v>0</v>
      </c>
      <c r="J813" s="13" t="str">
        <f t="shared" si="51"/>
        <v/>
      </c>
    </row>
    <row r="814" spans="1:10" x14ac:dyDescent="0.2">
      <c r="A814" s="10" t="str">
        <f t="shared" si="48"/>
        <v/>
      </c>
      <c r="B814" s="9"/>
      <c r="C814" s="8"/>
      <c r="D814" s="10" t="str">
        <f ca="1">IFERROR(_xludf.XLOOKUP(C814,STUDENTS!$A$5:$A$204,STUDENTS!$C$5:$C$204,""),"")</f>
        <v/>
      </c>
      <c r="E814" s="10" t="str">
        <f ca="1">IFERROR(_xludf.XLOOKUP(C814,STUDENTS!$A$5:$A$204,STUDENTS!$L$5:$L$204,""),"")</f>
        <v/>
      </c>
      <c r="F814" s="8"/>
      <c r="G814" s="10" t="str">
        <f>SETTINGS!$B$8</f>
        <v>2026/2027</v>
      </c>
      <c r="H814" s="10">
        <f t="shared" si="49"/>
        <v>0</v>
      </c>
      <c r="I814" s="10">
        <f t="shared" si="50"/>
        <v>0</v>
      </c>
      <c r="J814" s="13" t="str">
        <f t="shared" si="51"/>
        <v/>
      </c>
    </row>
    <row r="815" spans="1:10" x14ac:dyDescent="0.2">
      <c r="A815" s="10" t="str">
        <f t="shared" si="48"/>
        <v/>
      </c>
      <c r="B815" s="9"/>
      <c r="C815" s="8"/>
      <c r="D815" s="10" t="str">
        <f ca="1">IFERROR(_xludf.XLOOKUP(C815,STUDENTS!$A$5:$A$204,STUDENTS!$C$5:$C$204,""),"")</f>
        <v/>
      </c>
      <c r="E815" s="10" t="str">
        <f ca="1">IFERROR(_xludf.XLOOKUP(C815,STUDENTS!$A$5:$A$204,STUDENTS!$L$5:$L$204,""),"")</f>
        <v/>
      </c>
      <c r="F815" s="8"/>
      <c r="G815" s="10" t="str">
        <f>SETTINGS!$B$8</f>
        <v>2026/2027</v>
      </c>
      <c r="H815" s="10">
        <f t="shared" si="49"/>
        <v>0</v>
      </c>
      <c r="I815" s="10">
        <f t="shared" si="50"/>
        <v>0</v>
      </c>
      <c r="J815" s="13" t="str">
        <f t="shared" si="51"/>
        <v/>
      </c>
    </row>
    <row r="816" spans="1:10" x14ac:dyDescent="0.2">
      <c r="A816" s="10" t="str">
        <f t="shared" si="48"/>
        <v/>
      </c>
      <c r="B816" s="9"/>
      <c r="C816" s="8"/>
      <c r="D816" s="10" t="str">
        <f ca="1">IFERROR(_xludf.XLOOKUP(C816,STUDENTS!$A$5:$A$204,STUDENTS!$C$5:$C$204,""),"")</f>
        <v/>
      </c>
      <c r="E816" s="10" t="str">
        <f ca="1">IFERROR(_xludf.XLOOKUP(C816,STUDENTS!$A$5:$A$204,STUDENTS!$L$5:$L$204,""),"")</f>
        <v/>
      </c>
      <c r="F816" s="8"/>
      <c r="G816" s="10" t="str">
        <f>SETTINGS!$B$8</f>
        <v>2026/2027</v>
      </c>
      <c r="H816" s="10">
        <f t="shared" si="49"/>
        <v>0</v>
      </c>
      <c r="I816" s="10">
        <f t="shared" si="50"/>
        <v>0</v>
      </c>
      <c r="J816" s="13" t="str">
        <f t="shared" si="51"/>
        <v/>
      </c>
    </row>
    <row r="817" spans="1:10" x14ac:dyDescent="0.2">
      <c r="A817" s="10" t="str">
        <f t="shared" si="48"/>
        <v/>
      </c>
      <c r="B817" s="9"/>
      <c r="C817" s="8"/>
      <c r="D817" s="10" t="str">
        <f ca="1">IFERROR(_xludf.XLOOKUP(C817,STUDENTS!$A$5:$A$204,STUDENTS!$C$5:$C$204,""),"")</f>
        <v/>
      </c>
      <c r="E817" s="10" t="str">
        <f ca="1">IFERROR(_xludf.XLOOKUP(C817,STUDENTS!$A$5:$A$204,STUDENTS!$L$5:$L$204,""),"")</f>
        <v/>
      </c>
      <c r="F817" s="8"/>
      <c r="G817" s="10" t="str">
        <f>SETTINGS!$B$8</f>
        <v>2026/2027</v>
      </c>
      <c r="H817" s="10">
        <f t="shared" si="49"/>
        <v>0</v>
      </c>
      <c r="I817" s="10">
        <f t="shared" si="50"/>
        <v>0</v>
      </c>
      <c r="J817" s="13" t="str">
        <f t="shared" si="51"/>
        <v/>
      </c>
    </row>
    <row r="818" spans="1:10" x14ac:dyDescent="0.2">
      <c r="A818" s="10" t="str">
        <f t="shared" si="48"/>
        <v/>
      </c>
      <c r="B818" s="9"/>
      <c r="C818" s="8"/>
      <c r="D818" s="10" t="str">
        <f ca="1">IFERROR(_xludf.XLOOKUP(C818,STUDENTS!$A$5:$A$204,STUDENTS!$C$5:$C$204,""),"")</f>
        <v/>
      </c>
      <c r="E818" s="10" t="str">
        <f ca="1">IFERROR(_xludf.XLOOKUP(C818,STUDENTS!$A$5:$A$204,STUDENTS!$L$5:$L$204,""),"")</f>
        <v/>
      </c>
      <c r="F818" s="8"/>
      <c r="G818" s="10" t="str">
        <f>SETTINGS!$B$8</f>
        <v>2026/2027</v>
      </c>
      <c r="H818" s="10">
        <f t="shared" si="49"/>
        <v>0</v>
      </c>
      <c r="I818" s="10">
        <f t="shared" si="50"/>
        <v>0</v>
      </c>
      <c r="J818" s="13" t="str">
        <f t="shared" si="51"/>
        <v/>
      </c>
    </row>
    <row r="819" spans="1:10" x14ac:dyDescent="0.2">
      <c r="A819" s="10" t="str">
        <f t="shared" si="48"/>
        <v/>
      </c>
      <c r="B819" s="9"/>
      <c r="C819" s="8"/>
      <c r="D819" s="10" t="str">
        <f ca="1">IFERROR(_xludf.XLOOKUP(C819,STUDENTS!$A$5:$A$204,STUDENTS!$C$5:$C$204,""),"")</f>
        <v/>
      </c>
      <c r="E819" s="10" t="str">
        <f ca="1">IFERROR(_xludf.XLOOKUP(C819,STUDENTS!$A$5:$A$204,STUDENTS!$L$5:$L$204,""),"")</f>
        <v/>
      </c>
      <c r="F819" s="8"/>
      <c r="G819" s="10" t="str">
        <f>SETTINGS!$B$8</f>
        <v>2026/2027</v>
      </c>
      <c r="H819" s="10">
        <f t="shared" si="49"/>
        <v>0</v>
      </c>
      <c r="I819" s="10">
        <f t="shared" si="50"/>
        <v>0</v>
      </c>
      <c r="J819" s="13" t="str">
        <f t="shared" si="51"/>
        <v/>
      </c>
    </row>
    <row r="820" spans="1:10" x14ac:dyDescent="0.2">
      <c r="A820" s="10" t="str">
        <f t="shared" si="48"/>
        <v/>
      </c>
      <c r="B820" s="9"/>
      <c r="C820" s="8"/>
      <c r="D820" s="10" t="str">
        <f ca="1">IFERROR(_xludf.XLOOKUP(C820,STUDENTS!$A$5:$A$204,STUDENTS!$C$5:$C$204,""),"")</f>
        <v/>
      </c>
      <c r="E820" s="10" t="str">
        <f ca="1">IFERROR(_xludf.XLOOKUP(C820,STUDENTS!$A$5:$A$204,STUDENTS!$L$5:$L$204,""),"")</f>
        <v/>
      </c>
      <c r="F820" s="8"/>
      <c r="G820" s="10" t="str">
        <f>SETTINGS!$B$8</f>
        <v>2026/2027</v>
      </c>
      <c r="H820" s="10">
        <f t="shared" si="49"/>
        <v>0</v>
      </c>
      <c r="I820" s="10">
        <f t="shared" si="50"/>
        <v>0</v>
      </c>
      <c r="J820" s="13" t="str">
        <f t="shared" si="51"/>
        <v/>
      </c>
    </row>
    <row r="821" spans="1:10" x14ac:dyDescent="0.2">
      <c r="A821" s="10" t="str">
        <f t="shared" si="48"/>
        <v/>
      </c>
      <c r="B821" s="9"/>
      <c r="C821" s="8"/>
      <c r="D821" s="10" t="str">
        <f ca="1">IFERROR(_xludf.XLOOKUP(C821,STUDENTS!$A$5:$A$204,STUDENTS!$C$5:$C$204,""),"")</f>
        <v/>
      </c>
      <c r="E821" s="10" t="str">
        <f ca="1">IFERROR(_xludf.XLOOKUP(C821,STUDENTS!$A$5:$A$204,STUDENTS!$L$5:$L$204,""),"")</f>
        <v/>
      </c>
      <c r="F821" s="8"/>
      <c r="G821" s="10" t="str">
        <f>SETTINGS!$B$8</f>
        <v>2026/2027</v>
      </c>
      <c r="H821" s="10">
        <f t="shared" si="49"/>
        <v>0</v>
      </c>
      <c r="I821" s="10">
        <f t="shared" si="50"/>
        <v>0</v>
      </c>
      <c r="J821" s="13" t="str">
        <f t="shared" si="51"/>
        <v/>
      </c>
    </row>
    <row r="822" spans="1:10" x14ac:dyDescent="0.2">
      <c r="A822" s="10" t="str">
        <f t="shared" si="48"/>
        <v/>
      </c>
      <c r="B822" s="9"/>
      <c r="C822" s="8"/>
      <c r="D822" s="10" t="str">
        <f ca="1">IFERROR(_xludf.XLOOKUP(C822,STUDENTS!$A$5:$A$204,STUDENTS!$C$5:$C$204,""),"")</f>
        <v/>
      </c>
      <c r="E822" s="10" t="str">
        <f ca="1">IFERROR(_xludf.XLOOKUP(C822,STUDENTS!$A$5:$A$204,STUDENTS!$L$5:$L$204,""),"")</f>
        <v/>
      </c>
      <c r="F822" s="8"/>
      <c r="G822" s="10" t="str">
        <f>SETTINGS!$B$8</f>
        <v>2026/2027</v>
      </c>
      <c r="H822" s="10">
        <f t="shared" si="49"/>
        <v>0</v>
      </c>
      <c r="I822" s="10">
        <f t="shared" si="50"/>
        <v>0</v>
      </c>
      <c r="J822" s="13" t="str">
        <f t="shared" si="51"/>
        <v/>
      </c>
    </row>
    <row r="823" spans="1:10" x14ac:dyDescent="0.2">
      <c r="A823" s="10" t="str">
        <f t="shared" si="48"/>
        <v/>
      </c>
      <c r="B823" s="9"/>
      <c r="C823" s="8"/>
      <c r="D823" s="10" t="str">
        <f ca="1">IFERROR(_xludf.XLOOKUP(C823,STUDENTS!$A$5:$A$204,STUDENTS!$C$5:$C$204,""),"")</f>
        <v/>
      </c>
      <c r="E823" s="10" t="str">
        <f ca="1">IFERROR(_xludf.XLOOKUP(C823,STUDENTS!$A$5:$A$204,STUDENTS!$L$5:$L$204,""),"")</f>
        <v/>
      </c>
      <c r="F823" s="8"/>
      <c r="G823" s="10" t="str">
        <f>SETTINGS!$B$8</f>
        <v>2026/2027</v>
      </c>
      <c r="H823" s="10">
        <f t="shared" si="49"/>
        <v>0</v>
      </c>
      <c r="I823" s="10">
        <f t="shared" si="50"/>
        <v>0</v>
      </c>
      <c r="J823" s="13" t="str">
        <f t="shared" si="51"/>
        <v/>
      </c>
    </row>
    <row r="824" spans="1:10" x14ac:dyDescent="0.2">
      <c r="A824" s="10" t="str">
        <f t="shared" si="48"/>
        <v/>
      </c>
      <c r="B824" s="9"/>
      <c r="C824" s="8"/>
      <c r="D824" s="10" t="str">
        <f ca="1">IFERROR(_xludf.XLOOKUP(C824,STUDENTS!$A$5:$A$204,STUDENTS!$C$5:$C$204,""),"")</f>
        <v/>
      </c>
      <c r="E824" s="10" t="str">
        <f ca="1">IFERROR(_xludf.XLOOKUP(C824,STUDENTS!$A$5:$A$204,STUDENTS!$L$5:$L$204,""),"")</f>
        <v/>
      </c>
      <c r="F824" s="8"/>
      <c r="G824" s="10" t="str">
        <f>SETTINGS!$B$8</f>
        <v>2026/2027</v>
      </c>
      <c r="H824" s="10">
        <f t="shared" si="49"/>
        <v>0</v>
      </c>
      <c r="I824" s="10">
        <f t="shared" si="50"/>
        <v>0</v>
      </c>
      <c r="J824" s="13" t="str">
        <f t="shared" si="51"/>
        <v/>
      </c>
    </row>
    <row r="825" spans="1:10" x14ac:dyDescent="0.2">
      <c r="A825" s="10" t="str">
        <f t="shared" si="48"/>
        <v/>
      </c>
      <c r="B825" s="9"/>
      <c r="C825" s="8"/>
      <c r="D825" s="10" t="str">
        <f ca="1">IFERROR(_xludf.XLOOKUP(C825,STUDENTS!$A$5:$A$204,STUDENTS!$C$5:$C$204,""),"")</f>
        <v/>
      </c>
      <c r="E825" s="10" t="str">
        <f ca="1">IFERROR(_xludf.XLOOKUP(C825,STUDENTS!$A$5:$A$204,STUDENTS!$L$5:$L$204,""),"")</f>
        <v/>
      </c>
      <c r="F825" s="8"/>
      <c r="G825" s="10" t="str">
        <f>SETTINGS!$B$8</f>
        <v>2026/2027</v>
      </c>
      <c r="H825" s="10">
        <f t="shared" si="49"/>
        <v>0</v>
      </c>
      <c r="I825" s="10">
        <f t="shared" si="50"/>
        <v>0</v>
      </c>
      <c r="J825" s="13" t="str">
        <f t="shared" si="51"/>
        <v/>
      </c>
    </row>
    <row r="826" spans="1:10" x14ac:dyDescent="0.2">
      <c r="A826" s="10" t="str">
        <f t="shared" si="48"/>
        <v/>
      </c>
      <c r="B826" s="9"/>
      <c r="C826" s="8"/>
      <c r="D826" s="10" t="str">
        <f ca="1">IFERROR(_xludf.XLOOKUP(C826,STUDENTS!$A$5:$A$204,STUDENTS!$C$5:$C$204,""),"")</f>
        <v/>
      </c>
      <c r="E826" s="10" t="str">
        <f ca="1">IFERROR(_xludf.XLOOKUP(C826,STUDENTS!$A$5:$A$204,STUDENTS!$L$5:$L$204,""),"")</f>
        <v/>
      </c>
      <c r="F826" s="8"/>
      <c r="G826" s="10" t="str">
        <f>SETTINGS!$B$8</f>
        <v>2026/2027</v>
      </c>
      <c r="H826" s="10">
        <f t="shared" si="49"/>
        <v>0</v>
      </c>
      <c r="I826" s="10">
        <f t="shared" si="50"/>
        <v>0</v>
      </c>
      <c r="J826" s="13" t="str">
        <f t="shared" si="51"/>
        <v/>
      </c>
    </row>
    <row r="827" spans="1:10" x14ac:dyDescent="0.2">
      <c r="A827" s="10" t="str">
        <f t="shared" si="48"/>
        <v/>
      </c>
      <c r="B827" s="9"/>
      <c r="C827" s="8"/>
      <c r="D827" s="10" t="str">
        <f ca="1">IFERROR(_xludf.XLOOKUP(C827,STUDENTS!$A$5:$A$204,STUDENTS!$C$5:$C$204,""),"")</f>
        <v/>
      </c>
      <c r="E827" s="10" t="str">
        <f ca="1">IFERROR(_xludf.XLOOKUP(C827,STUDENTS!$A$5:$A$204,STUDENTS!$L$5:$L$204,""),"")</f>
        <v/>
      </c>
      <c r="F827" s="8"/>
      <c r="G827" s="10" t="str">
        <f>SETTINGS!$B$8</f>
        <v>2026/2027</v>
      </c>
      <c r="H827" s="10">
        <f t="shared" si="49"/>
        <v>0</v>
      </c>
      <c r="I827" s="10">
        <f t="shared" si="50"/>
        <v>0</v>
      </c>
      <c r="J827" s="13" t="str">
        <f t="shared" si="51"/>
        <v/>
      </c>
    </row>
    <row r="828" spans="1:10" x14ac:dyDescent="0.2">
      <c r="A828" s="10" t="str">
        <f t="shared" si="48"/>
        <v/>
      </c>
      <c r="B828" s="9"/>
      <c r="C828" s="8"/>
      <c r="D828" s="10" t="str">
        <f ca="1">IFERROR(_xludf.XLOOKUP(C828,STUDENTS!$A$5:$A$204,STUDENTS!$C$5:$C$204,""),"")</f>
        <v/>
      </c>
      <c r="E828" s="10" t="str">
        <f ca="1">IFERROR(_xludf.XLOOKUP(C828,STUDENTS!$A$5:$A$204,STUDENTS!$L$5:$L$204,""),"")</f>
        <v/>
      </c>
      <c r="F828" s="8"/>
      <c r="G828" s="10" t="str">
        <f>SETTINGS!$B$8</f>
        <v>2026/2027</v>
      </c>
      <c r="H828" s="10">
        <f t="shared" si="49"/>
        <v>0</v>
      </c>
      <c r="I828" s="10">
        <f t="shared" si="50"/>
        <v>0</v>
      </c>
      <c r="J828" s="13" t="str">
        <f t="shared" si="51"/>
        <v/>
      </c>
    </row>
    <row r="829" spans="1:10" x14ac:dyDescent="0.2">
      <c r="A829" s="10" t="str">
        <f t="shared" si="48"/>
        <v/>
      </c>
      <c r="B829" s="9"/>
      <c r="C829" s="8"/>
      <c r="D829" s="10" t="str">
        <f ca="1">IFERROR(_xludf.XLOOKUP(C829,STUDENTS!$A$5:$A$204,STUDENTS!$C$5:$C$204,""),"")</f>
        <v/>
      </c>
      <c r="E829" s="10" t="str">
        <f ca="1">IFERROR(_xludf.XLOOKUP(C829,STUDENTS!$A$5:$A$204,STUDENTS!$L$5:$L$204,""),"")</f>
        <v/>
      </c>
      <c r="F829" s="8"/>
      <c r="G829" s="10" t="str">
        <f>SETTINGS!$B$8</f>
        <v>2026/2027</v>
      </c>
      <c r="H829" s="10">
        <f t="shared" si="49"/>
        <v>0</v>
      </c>
      <c r="I829" s="10">
        <f t="shared" si="50"/>
        <v>0</v>
      </c>
      <c r="J829" s="13" t="str">
        <f t="shared" si="51"/>
        <v/>
      </c>
    </row>
    <row r="830" spans="1:10" x14ac:dyDescent="0.2">
      <c r="A830" s="10" t="str">
        <f t="shared" si="48"/>
        <v/>
      </c>
      <c r="B830" s="9"/>
      <c r="C830" s="8"/>
      <c r="D830" s="10" t="str">
        <f ca="1">IFERROR(_xludf.XLOOKUP(C830,STUDENTS!$A$5:$A$204,STUDENTS!$C$5:$C$204,""),"")</f>
        <v/>
      </c>
      <c r="E830" s="10" t="str">
        <f ca="1">IFERROR(_xludf.XLOOKUP(C830,STUDENTS!$A$5:$A$204,STUDENTS!$L$5:$L$204,""),"")</f>
        <v/>
      </c>
      <c r="F830" s="8"/>
      <c r="G830" s="10" t="str">
        <f>SETTINGS!$B$8</f>
        <v>2026/2027</v>
      </c>
      <c r="H830" s="10">
        <f t="shared" si="49"/>
        <v>0</v>
      </c>
      <c r="I830" s="10">
        <f t="shared" si="50"/>
        <v>0</v>
      </c>
      <c r="J830" s="13" t="str">
        <f t="shared" si="51"/>
        <v/>
      </c>
    </row>
    <row r="831" spans="1:10" x14ac:dyDescent="0.2">
      <c r="A831" s="10" t="str">
        <f t="shared" si="48"/>
        <v/>
      </c>
      <c r="B831" s="9"/>
      <c r="C831" s="8"/>
      <c r="D831" s="10" t="str">
        <f ca="1">IFERROR(_xludf.XLOOKUP(C831,STUDENTS!$A$5:$A$204,STUDENTS!$C$5:$C$204,""),"")</f>
        <v/>
      </c>
      <c r="E831" s="10" t="str">
        <f ca="1">IFERROR(_xludf.XLOOKUP(C831,STUDENTS!$A$5:$A$204,STUDENTS!$L$5:$L$204,""),"")</f>
        <v/>
      </c>
      <c r="F831" s="8"/>
      <c r="G831" s="10" t="str">
        <f>SETTINGS!$B$8</f>
        <v>2026/2027</v>
      </c>
      <c r="H831" s="10">
        <f t="shared" si="49"/>
        <v>0</v>
      </c>
      <c r="I831" s="10">
        <f t="shared" si="50"/>
        <v>0</v>
      </c>
      <c r="J831" s="13" t="str">
        <f t="shared" si="51"/>
        <v/>
      </c>
    </row>
    <row r="832" spans="1:10" x14ac:dyDescent="0.2">
      <c r="A832" s="10" t="str">
        <f t="shared" si="48"/>
        <v/>
      </c>
      <c r="B832" s="9"/>
      <c r="C832" s="8"/>
      <c r="D832" s="10" t="str">
        <f ca="1">IFERROR(_xludf.XLOOKUP(C832,STUDENTS!$A$5:$A$204,STUDENTS!$C$5:$C$204,""),"")</f>
        <v/>
      </c>
      <c r="E832" s="10" t="str">
        <f ca="1">IFERROR(_xludf.XLOOKUP(C832,STUDENTS!$A$5:$A$204,STUDENTS!$L$5:$L$204,""),"")</f>
        <v/>
      </c>
      <c r="F832" s="8"/>
      <c r="G832" s="10" t="str">
        <f>SETTINGS!$B$8</f>
        <v>2026/2027</v>
      </c>
      <c r="H832" s="10">
        <f t="shared" si="49"/>
        <v>0</v>
      </c>
      <c r="I832" s="10">
        <f t="shared" si="50"/>
        <v>0</v>
      </c>
      <c r="J832" s="13" t="str">
        <f t="shared" si="51"/>
        <v/>
      </c>
    </row>
    <row r="833" spans="1:10" x14ac:dyDescent="0.2">
      <c r="A833" s="10" t="str">
        <f t="shared" si="48"/>
        <v/>
      </c>
      <c r="B833" s="9"/>
      <c r="C833" s="8"/>
      <c r="D833" s="10" t="str">
        <f ca="1">IFERROR(_xludf.XLOOKUP(C833,STUDENTS!$A$5:$A$204,STUDENTS!$C$5:$C$204,""),"")</f>
        <v/>
      </c>
      <c r="E833" s="10" t="str">
        <f ca="1">IFERROR(_xludf.XLOOKUP(C833,STUDENTS!$A$5:$A$204,STUDENTS!$L$5:$L$204,""),"")</f>
        <v/>
      </c>
      <c r="F833" s="8"/>
      <c r="G833" s="10" t="str">
        <f>SETTINGS!$B$8</f>
        <v>2026/2027</v>
      </c>
      <c r="H833" s="10">
        <f t="shared" si="49"/>
        <v>0</v>
      </c>
      <c r="I833" s="10">
        <f t="shared" si="50"/>
        <v>0</v>
      </c>
      <c r="J833" s="13" t="str">
        <f t="shared" si="51"/>
        <v/>
      </c>
    </row>
    <row r="834" spans="1:10" x14ac:dyDescent="0.2">
      <c r="A834" s="10" t="str">
        <f t="shared" si="48"/>
        <v/>
      </c>
      <c r="B834" s="9"/>
      <c r="C834" s="8"/>
      <c r="D834" s="10" t="str">
        <f ca="1">IFERROR(_xludf.XLOOKUP(C834,STUDENTS!$A$5:$A$204,STUDENTS!$C$5:$C$204,""),"")</f>
        <v/>
      </c>
      <c r="E834" s="10" t="str">
        <f ca="1">IFERROR(_xludf.XLOOKUP(C834,STUDENTS!$A$5:$A$204,STUDENTS!$L$5:$L$204,""),"")</f>
        <v/>
      </c>
      <c r="F834" s="8"/>
      <c r="G834" s="10" t="str">
        <f>SETTINGS!$B$8</f>
        <v>2026/2027</v>
      </c>
      <c r="H834" s="10">
        <f t="shared" si="49"/>
        <v>0</v>
      </c>
      <c r="I834" s="10">
        <f t="shared" si="50"/>
        <v>0</v>
      </c>
      <c r="J834" s="13" t="str">
        <f t="shared" si="51"/>
        <v/>
      </c>
    </row>
    <row r="835" spans="1:10" x14ac:dyDescent="0.2">
      <c r="A835" s="10" t="str">
        <f t="shared" si="48"/>
        <v/>
      </c>
      <c r="B835" s="9"/>
      <c r="C835" s="8"/>
      <c r="D835" s="10" t="str">
        <f ca="1">IFERROR(_xludf.XLOOKUP(C835,STUDENTS!$A$5:$A$204,STUDENTS!$C$5:$C$204,""),"")</f>
        <v/>
      </c>
      <c r="E835" s="10" t="str">
        <f ca="1">IFERROR(_xludf.XLOOKUP(C835,STUDENTS!$A$5:$A$204,STUDENTS!$L$5:$L$204,""),"")</f>
        <v/>
      </c>
      <c r="F835" s="8"/>
      <c r="G835" s="10" t="str">
        <f>SETTINGS!$B$8</f>
        <v>2026/2027</v>
      </c>
      <c r="H835" s="10">
        <f t="shared" si="49"/>
        <v>0</v>
      </c>
      <c r="I835" s="10">
        <f t="shared" si="50"/>
        <v>0</v>
      </c>
      <c r="J835" s="13" t="str">
        <f t="shared" si="51"/>
        <v/>
      </c>
    </row>
    <row r="836" spans="1:10" x14ac:dyDescent="0.2">
      <c r="A836" s="10" t="str">
        <f t="shared" si="48"/>
        <v/>
      </c>
      <c r="B836" s="9"/>
      <c r="C836" s="8"/>
      <c r="D836" s="10" t="str">
        <f ca="1">IFERROR(_xludf.XLOOKUP(C836,STUDENTS!$A$5:$A$204,STUDENTS!$C$5:$C$204,""),"")</f>
        <v/>
      </c>
      <c r="E836" s="10" t="str">
        <f ca="1">IFERROR(_xludf.XLOOKUP(C836,STUDENTS!$A$5:$A$204,STUDENTS!$L$5:$L$204,""),"")</f>
        <v/>
      </c>
      <c r="F836" s="8"/>
      <c r="G836" s="10" t="str">
        <f>SETTINGS!$B$8</f>
        <v>2026/2027</v>
      </c>
      <c r="H836" s="10">
        <f t="shared" si="49"/>
        <v>0</v>
      </c>
      <c r="I836" s="10">
        <f t="shared" si="50"/>
        <v>0</v>
      </c>
      <c r="J836" s="13" t="str">
        <f t="shared" si="51"/>
        <v/>
      </c>
    </row>
    <row r="837" spans="1:10" x14ac:dyDescent="0.2">
      <c r="A837" s="10" t="str">
        <f t="shared" ref="A837:A900" si="52">IF(C837="","","AT-"&amp;TEXT(ROW()-4,"00000"))</f>
        <v/>
      </c>
      <c r="B837" s="9"/>
      <c r="C837" s="8"/>
      <c r="D837" s="10" t="str">
        <f ca="1">IFERROR(_xludf.XLOOKUP(C837,STUDENTS!$A$5:$A$204,STUDENTS!$C$5:$C$204,""),"")</f>
        <v/>
      </c>
      <c r="E837" s="10" t="str">
        <f ca="1">IFERROR(_xludf.XLOOKUP(C837,STUDENTS!$A$5:$A$204,STUDENTS!$L$5:$L$204,""),"")</f>
        <v/>
      </c>
      <c r="F837" s="8"/>
      <c r="G837" s="10" t="str">
        <f>SETTINGS!$B$8</f>
        <v>2026/2027</v>
      </c>
      <c r="H837" s="10">
        <f t="shared" ref="H837:H900" si="53">IF(F837="Present",1,0)</f>
        <v>0</v>
      </c>
      <c r="I837" s="10">
        <f t="shared" ref="I837:I900" si="54">IF(F837="Absent",1,0)</f>
        <v>0</v>
      </c>
      <c r="J837" s="13" t="str">
        <f t="shared" ref="J837:J900" si="55">IF(OR(H837="",I837=""),"",IF(H837+I837=0,"",H837/(H837+I837)))</f>
        <v/>
      </c>
    </row>
    <row r="838" spans="1:10" x14ac:dyDescent="0.2">
      <c r="A838" s="10" t="str">
        <f t="shared" si="52"/>
        <v/>
      </c>
      <c r="B838" s="9"/>
      <c r="C838" s="8"/>
      <c r="D838" s="10" t="str">
        <f ca="1">IFERROR(_xludf.XLOOKUP(C838,STUDENTS!$A$5:$A$204,STUDENTS!$C$5:$C$204,""),"")</f>
        <v/>
      </c>
      <c r="E838" s="10" t="str">
        <f ca="1">IFERROR(_xludf.XLOOKUP(C838,STUDENTS!$A$5:$A$204,STUDENTS!$L$5:$L$204,""),"")</f>
        <v/>
      </c>
      <c r="F838" s="8"/>
      <c r="G838" s="10" t="str">
        <f>SETTINGS!$B$8</f>
        <v>2026/2027</v>
      </c>
      <c r="H838" s="10">
        <f t="shared" si="53"/>
        <v>0</v>
      </c>
      <c r="I838" s="10">
        <f t="shared" si="54"/>
        <v>0</v>
      </c>
      <c r="J838" s="13" t="str">
        <f t="shared" si="55"/>
        <v/>
      </c>
    </row>
    <row r="839" spans="1:10" x14ac:dyDescent="0.2">
      <c r="A839" s="10" t="str">
        <f t="shared" si="52"/>
        <v/>
      </c>
      <c r="B839" s="9"/>
      <c r="C839" s="8"/>
      <c r="D839" s="10" t="str">
        <f ca="1">IFERROR(_xludf.XLOOKUP(C839,STUDENTS!$A$5:$A$204,STUDENTS!$C$5:$C$204,""),"")</f>
        <v/>
      </c>
      <c r="E839" s="10" t="str">
        <f ca="1">IFERROR(_xludf.XLOOKUP(C839,STUDENTS!$A$5:$A$204,STUDENTS!$L$5:$L$204,""),"")</f>
        <v/>
      </c>
      <c r="F839" s="8"/>
      <c r="G839" s="10" t="str">
        <f>SETTINGS!$B$8</f>
        <v>2026/2027</v>
      </c>
      <c r="H839" s="10">
        <f t="shared" si="53"/>
        <v>0</v>
      </c>
      <c r="I839" s="10">
        <f t="shared" si="54"/>
        <v>0</v>
      </c>
      <c r="J839" s="13" t="str">
        <f t="shared" si="55"/>
        <v/>
      </c>
    </row>
    <row r="840" spans="1:10" x14ac:dyDescent="0.2">
      <c r="A840" s="10" t="str">
        <f t="shared" si="52"/>
        <v/>
      </c>
      <c r="B840" s="9"/>
      <c r="C840" s="8"/>
      <c r="D840" s="10" t="str">
        <f ca="1">IFERROR(_xludf.XLOOKUP(C840,STUDENTS!$A$5:$A$204,STUDENTS!$C$5:$C$204,""),"")</f>
        <v/>
      </c>
      <c r="E840" s="10" t="str">
        <f ca="1">IFERROR(_xludf.XLOOKUP(C840,STUDENTS!$A$5:$A$204,STUDENTS!$L$5:$L$204,""),"")</f>
        <v/>
      </c>
      <c r="F840" s="8"/>
      <c r="G840" s="10" t="str">
        <f>SETTINGS!$B$8</f>
        <v>2026/2027</v>
      </c>
      <c r="H840" s="10">
        <f t="shared" si="53"/>
        <v>0</v>
      </c>
      <c r="I840" s="10">
        <f t="shared" si="54"/>
        <v>0</v>
      </c>
      <c r="J840" s="13" t="str">
        <f t="shared" si="55"/>
        <v/>
      </c>
    </row>
    <row r="841" spans="1:10" x14ac:dyDescent="0.2">
      <c r="A841" s="10" t="str">
        <f t="shared" si="52"/>
        <v/>
      </c>
      <c r="B841" s="9"/>
      <c r="C841" s="8"/>
      <c r="D841" s="10" t="str">
        <f ca="1">IFERROR(_xludf.XLOOKUP(C841,STUDENTS!$A$5:$A$204,STUDENTS!$C$5:$C$204,""),"")</f>
        <v/>
      </c>
      <c r="E841" s="10" t="str">
        <f ca="1">IFERROR(_xludf.XLOOKUP(C841,STUDENTS!$A$5:$A$204,STUDENTS!$L$5:$L$204,""),"")</f>
        <v/>
      </c>
      <c r="F841" s="8"/>
      <c r="G841" s="10" t="str">
        <f>SETTINGS!$B$8</f>
        <v>2026/2027</v>
      </c>
      <c r="H841" s="10">
        <f t="shared" si="53"/>
        <v>0</v>
      </c>
      <c r="I841" s="10">
        <f t="shared" si="54"/>
        <v>0</v>
      </c>
      <c r="J841" s="13" t="str">
        <f t="shared" si="55"/>
        <v/>
      </c>
    </row>
    <row r="842" spans="1:10" x14ac:dyDescent="0.2">
      <c r="A842" s="10" t="str">
        <f t="shared" si="52"/>
        <v/>
      </c>
      <c r="B842" s="9"/>
      <c r="C842" s="8"/>
      <c r="D842" s="10" t="str">
        <f ca="1">IFERROR(_xludf.XLOOKUP(C842,STUDENTS!$A$5:$A$204,STUDENTS!$C$5:$C$204,""),"")</f>
        <v/>
      </c>
      <c r="E842" s="10" t="str">
        <f ca="1">IFERROR(_xludf.XLOOKUP(C842,STUDENTS!$A$5:$A$204,STUDENTS!$L$5:$L$204,""),"")</f>
        <v/>
      </c>
      <c r="F842" s="8"/>
      <c r="G842" s="10" t="str">
        <f>SETTINGS!$B$8</f>
        <v>2026/2027</v>
      </c>
      <c r="H842" s="10">
        <f t="shared" si="53"/>
        <v>0</v>
      </c>
      <c r="I842" s="10">
        <f t="shared" si="54"/>
        <v>0</v>
      </c>
      <c r="J842" s="13" t="str">
        <f t="shared" si="55"/>
        <v/>
      </c>
    </row>
    <row r="843" spans="1:10" x14ac:dyDescent="0.2">
      <c r="A843" s="10" t="str">
        <f t="shared" si="52"/>
        <v/>
      </c>
      <c r="B843" s="9"/>
      <c r="C843" s="8"/>
      <c r="D843" s="10" t="str">
        <f ca="1">IFERROR(_xludf.XLOOKUP(C843,STUDENTS!$A$5:$A$204,STUDENTS!$C$5:$C$204,""),"")</f>
        <v/>
      </c>
      <c r="E843" s="10" t="str">
        <f ca="1">IFERROR(_xludf.XLOOKUP(C843,STUDENTS!$A$5:$A$204,STUDENTS!$L$5:$L$204,""),"")</f>
        <v/>
      </c>
      <c r="F843" s="8"/>
      <c r="G843" s="10" t="str">
        <f>SETTINGS!$B$8</f>
        <v>2026/2027</v>
      </c>
      <c r="H843" s="10">
        <f t="shared" si="53"/>
        <v>0</v>
      </c>
      <c r="I843" s="10">
        <f t="shared" si="54"/>
        <v>0</v>
      </c>
      <c r="J843" s="13" t="str">
        <f t="shared" si="55"/>
        <v/>
      </c>
    </row>
    <row r="844" spans="1:10" x14ac:dyDescent="0.2">
      <c r="A844" s="10" t="str">
        <f t="shared" si="52"/>
        <v/>
      </c>
      <c r="B844" s="9"/>
      <c r="C844" s="8"/>
      <c r="D844" s="10" t="str">
        <f ca="1">IFERROR(_xludf.XLOOKUP(C844,STUDENTS!$A$5:$A$204,STUDENTS!$C$5:$C$204,""),"")</f>
        <v/>
      </c>
      <c r="E844" s="10" t="str">
        <f ca="1">IFERROR(_xludf.XLOOKUP(C844,STUDENTS!$A$5:$A$204,STUDENTS!$L$5:$L$204,""),"")</f>
        <v/>
      </c>
      <c r="F844" s="8"/>
      <c r="G844" s="10" t="str">
        <f>SETTINGS!$B$8</f>
        <v>2026/2027</v>
      </c>
      <c r="H844" s="10">
        <f t="shared" si="53"/>
        <v>0</v>
      </c>
      <c r="I844" s="10">
        <f t="shared" si="54"/>
        <v>0</v>
      </c>
      <c r="J844" s="13" t="str">
        <f t="shared" si="55"/>
        <v/>
      </c>
    </row>
    <row r="845" spans="1:10" x14ac:dyDescent="0.2">
      <c r="A845" s="10" t="str">
        <f t="shared" si="52"/>
        <v/>
      </c>
      <c r="B845" s="9"/>
      <c r="C845" s="8"/>
      <c r="D845" s="10" t="str">
        <f ca="1">IFERROR(_xludf.XLOOKUP(C845,STUDENTS!$A$5:$A$204,STUDENTS!$C$5:$C$204,""),"")</f>
        <v/>
      </c>
      <c r="E845" s="10" t="str">
        <f ca="1">IFERROR(_xludf.XLOOKUP(C845,STUDENTS!$A$5:$A$204,STUDENTS!$L$5:$L$204,""),"")</f>
        <v/>
      </c>
      <c r="F845" s="8"/>
      <c r="G845" s="10" t="str">
        <f>SETTINGS!$B$8</f>
        <v>2026/2027</v>
      </c>
      <c r="H845" s="10">
        <f t="shared" si="53"/>
        <v>0</v>
      </c>
      <c r="I845" s="10">
        <f t="shared" si="54"/>
        <v>0</v>
      </c>
      <c r="J845" s="13" t="str">
        <f t="shared" si="55"/>
        <v/>
      </c>
    </row>
    <row r="846" spans="1:10" x14ac:dyDescent="0.2">
      <c r="A846" s="10" t="str">
        <f t="shared" si="52"/>
        <v/>
      </c>
      <c r="B846" s="9"/>
      <c r="C846" s="8"/>
      <c r="D846" s="10" t="str">
        <f ca="1">IFERROR(_xludf.XLOOKUP(C846,STUDENTS!$A$5:$A$204,STUDENTS!$C$5:$C$204,""),"")</f>
        <v/>
      </c>
      <c r="E846" s="10" t="str">
        <f ca="1">IFERROR(_xludf.XLOOKUP(C846,STUDENTS!$A$5:$A$204,STUDENTS!$L$5:$L$204,""),"")</f>
        <v/>
      </c>
      <c r="F846" s="8"/>
      <c r="G846" s="10" t="str">
        <f>SETTINGS!$B$8</f>
        <v>2026/2027</v>
      </c>
      <c r="H846" s="10">
        <f t="shared" si="53"/>
        <v>0</v>
      </c>
      <c r="I846" s="10">
        <f t="shared" si="54"/>
        <v>0</v>
      </c>
      <c r="J846" s="13" t="str">
        <f t="shared" si="55"/>
        <v/>
      </c>
    </row>
    <row r="847" spans="1:10" x14ac:dyDescent="0.2">
      <c r="A847" s="10" t="str">
        <f t="shared" si="52"/>
        <v/>
      </c>
      <c r="B847" s="9"/>
      <c r="C847" s="8"/>
      <c r="D847" s="10" t="str">
        <f ca="1">IFERROR(_xludf.XLOOKUP(C847,STUDENTS!$A$5:$A$204,STUDENTS!$C$5:$C$204,""),"")</f>
        <v/>
      </c>
      <c r="E847" s="10" t="str">
        <f ca="1">IFERROR(_xludf.XLOOKUP(C847,STUDENTS!$A$5:$A$204,STUDENTS!$L$5:$L$204,""),"")</f>
        <v/>
      </c>
      <c r="F847" s="8"/>
      <c r="G847" s="10" t="str">
        <f>SETTINGS!$B$8</f>
        <v>2026/2027</v>
      </c>
      <c r="H847" s="10">
        <f t="shared" si="53"/>
        <v>0</v>
      </c>
      <c r="I847" s="10">
        <f t="shared" si="54"/>
        <v>0</v>
      </c>
      <c r="J847" s="13" t="str">
        <f t="shared" si="55"/>
        <v/>
      </c>
    </row>
    <row r="848" spans="1:10" x14ac:dyDescent="0.2">
      <c r="A848" s="10" t="str">
        <f t="shared" si="52"/>
        <v/>
      </c>
      <c r="B848" s="9"/>
      <c r="C848" s="8"/>
      <c r="D848" s="10" t="str">
        <f ca="1">IFERROR(_xludf.XLOOKUP(C848,STUDENTS!$A$5:$A$204,STUDENTS!$C$5:$C$204,""),"")</f>
        <v/>
      </c>
      <c r="E848" s="10" t="str">
        <f ca="1">IFERROR(_xludf.XLOOKUP(C848,STUDENTS!$A$5:$A$204,STUDENTS!$L$5:$L$204,""),"")</f>
        <v/>
      </c>
      <c r="F848" s="8"/>
      <c r="G848" s="10" t="str">
        <f>SETTINGS!$B$8</f>
        <v>2026/2027</v>
      </c>
      <c r="H848" s="10">
        <f t="shared" si="53"/>
        <v>0</v>
      </c>
      <c r="I848" s="10">
        <f t="shared" si="54"/>
        <v>0</v>
      </c>
      <c r="J848" s="13" t="str">
        <f t="shared" si="55"/>
        <v/>
      </c>
    </row>
    <row r="849" spans="1:10" x14ac:dyDescent="0.2">
      <c r="A849" s="10" t="str">
        <f t="shared" si="52"/>
        <v/>
      </c>
      <c r="B849" s="9"/>
      <c r="C849" s="8"/>
      <c r="D849" s="10" t="str">
        <f ca="1">IFERROR(_xludf.XLOOKUP(C849,STUDENTS!$A$5:$A$204,STUDENTS!$C$5:$C$204,""),"")</f>
        <v/>
      </c>
      <c r="E849" s="10" t="str">
        <f ca="1">IFERROR(_xludf.XLOOKUP(C849,STUDENTS!$A$5:$A$204,STUDENTS!$L$5:$L$204,""),"")</f>
        <v/>
      </c>
      <c r="F849" s="8"/>
      <c r="G849" s="10" t="str">
        <f>SETTINGS!$B$8</f>
        <v>2026/2027</v>
      </c>
      <c r="H849" s="10">
        <f t="shared" si="53"/>
        <v>0</v>
      </c>
      <c r="I849" s="10">
        <f t="shared" si="54"/>
        <v>0</v>
      </c>
      <c r="J849" s="13" t="str">
        <f t="shared" si="55"/>
        <v/>
      </c>
    </row>
    <row r="850" spans="1:10" x14ac:dyDescent="0.2">
      <c r="A850" s="10" t="str">
        <f t="shared" si="52"/>
        <v/>
      </c>
      <c r="B850" s="9"/>
      <c r="C850" s="8"/>
      <c r="D850" s="10" t="str">
        <f ca="1">IFERROR(_xludf.XLOOKUP(C850,STUDENTS!$A$5:$A$204,STUDENTS!$C$5:$C$204,""),"")</f>
        <v/>
      </c>
      <c r="E850" s="10" t="str">
        <f ca="1">IFERROR(_xludf.XLOOKUP(C850,STUDENTS!$A$5:$A$204,STUDENTS!$L$5:$L$204,""),"")</f>
        <v/>
      </c>
      <c r="F850" s="8"/>
      <c r="G850" s="10" t="str">
        <f>SETTINGS!$B$8</f>
        <v>2026/2027</v>
      </c>
      <c r="H850" s="10">
        <f t="shared" si="53"/>
        <v>0</v>
      </c>
      <c r="I850" s="10">
        <f t="shared" si="54"/>
        <v>0</v>
      </c>
      <c r="J850" s="13" t="str">
        <f t="shared" si="55"/>
        <v/>
      </c>
    </row>
    <row r="851" spans="1:10" x14ac:dyDescent="0.2">
      <c r="A851" s="10" t="str">
        <f t="shared" si="52"/>
        <v/>
      </c>
      <c r="B851" s="9"/>
      <c r="C851" s="8"/>
      <c r="D851" s="10" t="str">
        <f ca="1">IFERROR(_xludf.XLOOKUP(C851,STUDENTS!$A$5:$A$204,STUDENTS!$C$5:$C$204,""),"")</f>
        <v/>
      </c>
      <c r="E851" s="10" t="str">
        <f ca="1">IFERROR(_xludf.XLOOKUP(C851,STUDENTS!$A$5:$A$204,STUDENTS!$L$5:$L$204,""),"")</f>
        <v/>
      </c>
      <c r="F851" s="8"/>
      <c r="G851" s="10" t="str">
        <f>SETTINGS!$B$8</f>
        <v>2026/2027</v>
      </c>
      <c r="H851" s="10">
        <f t="shared" si="53"/>
        <v>0</v>
      </c>
      <c r="I851" s="10">
        <f t="shared" si="54"/>
        <v>0</v>
      </c>
      <c r="J851" s="13" t="str">
        <f t="shared" si="55"/>
        <v/>
      </c>
    </row>
    <row r="852" spans="1:10" x14ac:dyDescent="0.2">
      <c r="A852" s="10" t="str">
        <f t="shared" si="52"/>
        <v/>
      </c>
      <c r="B852" s="9"/>
      <c r="C852" s="8"/>
      <c r="D852" s="10" t="str">
        <f ca="1">IFERROR(_xludf.XLOOKUP(C852,STUDENTS!$A$5:$A$204,STUDENTS!$C$5:$C$204,""),"")</f>
        <v/>
      </c>
      <c r="E852" s="10" t="str">
        <f ca="1">IFERROR(_xludf.XLOOKUP(C852,STUDENTS!$A$5:$A$204,STUDENTS!$L$5:$L$204,""),"")</f>
        <v/>
      </c>
      <c r="F852" s="8"/>
      <c r="G852" s="10" t="str">
        <f>SETTINGS!$B$8</f>
        <v>2026/2027</v>
      </c>
      <c r="H852" s="10">
        <f t="shared" si="53"/>
        <v>0</v>
      </c>
      <c r="I852" s="10">
        <f t="shared" si="54"/>
        <v>0</v>
      </c>
      <c r="J852" s="13" t="str">
        <f t="shared" si="55"/>
        <v/>
      </c>
    </row>
    <row r="853" spans="1:10" x14ac:dyDescent="0.2">
      <c r="A853" s="10" t="str">
        <f t="shared" si="52"/>
        <v/>
      </c>
      <c r="B853" s="9"/>
      <c r="C853" s="8"/>
      <c r="D853" s="10" t="str">
        <f ca="1">IFERROR(_xludf.XLOOKUP(C853,STUDENTS!$A$5:$A$204,STUDENTS!$C$5:$C$204,""),"")</f>
        <v/>
      </c>
      <c r="E853" s="10" t="str">
        <f ca="1">IFERROR(_xludf.XLOOKUP(C853,STUDENTS!$A$5:$A$204,STUDENTS!$L$5:$L$204,""),"")</f>
        <v/>
      </c>
      <c r="F853" s="8"/>
      <c r="G853" s="10" t="str">
        <f>SETTINGS!$B$8</f>
        <v>2026/2027</v>
      </c>
      <c r="H853" s="10">
        <f t="shared" si="53"/>
        <v>0</v>
      </c>
      <c r="I853" s="10">
        <f t="shared" si="54"/>
        <v>0</v>
      </c>
      <c r="J853" s="13" t="str">
        <f t="shared" si="55"/>
        <v/>
      </c>
    </row>
    <row r="854" spans="1:10" x14ac:dyDescent="0.2">
      <c r="A854" s="10" t="str">
        <f t="shared" si="52"/>
        <v/>
      </c>
      <c r="B854" s="9"/>
      <c r="C854" s="8"/>
      <c r="D854" s="10" t="str">
        <f ca="1">IFERROR(_xludf.XLOOKUP(C854,STUDENTS!$A$5:$A$204,STUDENTS!$C$5:$C$204,""),"")</f>
        <v/>
      </c>
      <c r="E854" s="10" t="str">
        <f ca="1">IFERROR(_xludf.XLOOKUP(C854,STUDENTS!$A$5:$A$204,STUDENTS!$L$5:$L$204,""),"")</f>
        <v/>
      </c>
      <c r="F854" s="8"/>
      <c r="G854" s="10" t="str">
        <f>SETTINGS!$B$8</f>
        <v>2026/2027</v>
      </c>
      <c r="H854" s="10">
        <f t="shared" si="53"/>
        <v>0</v>
      </c>
      <c r="I854" s="10">
        <f t="shared" si="54"/>
        <v>0</v>
      </c>
      <c r="J854" s="13" t="str">
        <f t="shared" si="55"/>
        <v/>
      </c>
    </row>
    <row r="855" spans="1:10" x14ac:dyDescent="0.2">
      <c r="A855" s="10" t="str">
        <f t="shared" si="52"/>
        <v/>
      </c>
      <c r="B855" s="9"/>
      <c r="C855" s="8"/>
      <c r="D855" s="10" t="str">
        <f ca="1">IFERROR(_xludf.XLOOKUP(C855,STUDENTS!$A$5:$A$204,STUDENTS!$C$5:$C$204,""),"")</f>
        <v/>
      </c>
      <c r="E855" s="10" t="str">
        <f ca="1">IFERROR(_xludf.XLOOKUP(C855,STUDENTS!$A$5:$A$204,STUDENTS!$L$5:$L$204,""),"")</f>
        <v/>
      </c>
      <c r="F855" s="8"/>
      <c r="G855" s="10" t="str">
        <f>SETTINGS!$B$8</f>
        <v>2026/2027</v>
      </c>
      <c r="H855" s="10">
        <f t="shared" si="53"/>
        <v>0</v>
      </c>
      <c r="I855" s="10">
        <f t="shared" si="54"/>
        <v>0</v>
      </c>
      <c r="J855" s="13" t="str">
        <f t="shared" si="55"/>
        <v/>
      </c>
    </row>
    <row r="856" spans="1:10" x14ac:dyDescent="0.2">
      <c r="A856" s="10" t="str">
        <f t="shared" si="52"/>
        <v/>
      </c>
      <c r="B856" s="9"/>
      <c r="C856" s="8"/>
      <c r="D856" s="10" t="str">
        <f ca="1">IFERROR(_xludf.XLOOKUP(C856,STUDENTS!$A$5:$A$204,STUDENTS!$C$5:$C$204,""),"")</f>
        <v/>
      </c>
      <c r="E856" s="10" t="str">
        <f ca="1">IFERROR(_xludf.XLOOKUP(C856,STUDENTS!$A$5:$A$204,STUDENTS!$L$5:$L$204,""),"")</f>
        <v/>
      </c>
      <c r="F856" s="8"/>
      <c r="G856" s="10" t="str">
        <f>SETTINGS!$B$8</f>
        <v>2026/2027</v>
      </c>
      <c r="H856" s="10">
        <f t="shared" si="53"/>
        <v>0</v>
      </c>
      <c r="I856" s="10">
        <f t="shared" si="54"/>
        <v>0</v>
      </c>
      <c r="J856" s="13" t="str">
        <f t="shared" si="55"/>
        <v/>
      </c>
    </row>
    <row r="857" spans="1:10" x14ac:dyDescent="0.2">
      <c r="A857" s="10" t="str">
        <f t="shared" si="52"/>
        <v/>
      </c>
      <c r="B857" s="9"/>
      <c r="C857" s="8"/>
      <c r="D857" s="10" t="str">
        <f ca="1">IFERROR(_xludf.XLOOKUP(C857,STUDENTS!$A$5:$A$204,STUDENTS!$C$5:$C$204,""),"")</f>
        <v/>
      </c>
      <c r="E857" s="10" t="str">
        <f ca="1">IFERROR(_xludf.XLOOKUP(C857,STUDENTS!$A$5:$A$204,STUDENTS!$L$5:$L$204,""),"")</f>
        <v/>
      </c>
      <c r="F857" s="8"/>
      <c r="G857" s="10" t="str">
        <f>SETTINGS!$B$8</f>
        <v>2026/2027</v>
      </c>
      <c r="H857" s="10">
        <f t="shared" si="53"/>
        <v>0</v>
      </c>
      <c r="I857" s="10">
        <f t="shared" si="54"/>
        <v>0</v>
      </c>
      <c r="J857" s="13" t="str">
        <f t="shared" si="55"/>
        <v/>
      </c>
    </row>
    <row r="858" spans="1:10" x14ac:dyDescent="0.2">
      <c r="A858" s="10" t="str">
        <f t="shared" si="52"/>
        <v/>
      </c>
      <c r="B858" s="9"/>
      <c r="C858" s="8"/>
      <c r="D858" s="10" t="str">
        <f ca="1">IFERROR(_xludf.XLOOKUP(C858,STUDENTS!$A$5:$A$204,STUDENTS!$C$5:$C$204,""),"")</f>
        <v/>
      </c>
      <c r="E858" s="10" t="str">
        <f ca="1">IFERROR(_xludf.XLOOKUP(C858,STUDENTS!$A$5:$A$204,STUDENTS!$L$5:$L$204,""),"")</f>
        <v/>
      </c>
      <c r="F858" s="8"/>
      <c r="G858" s="10" t="str">
        <f>SETTINGS!$B$8</f>
        <v>2026/2027</v>
      </c>
      <c r="H858" s="10">
        <f t="shared" si="53"/>
        <v>0</v>
      </c>
      <c r="I858" s="10">
        <f t="shared" si="54"/>
        <v>0</v>
      </c>
      <c r="J858" s="13" t="str">
        <f t="shared" si="55"/>
        <v/>
      </c>
    </row>
    <row r="859" spans="1:10" x14ac:dyDescent="0.2">
      <c r="A859" s="10" t="str">
        <f t="shared" si="52"/>
        <v/>
      </c>
      <c r="B859" s="9"/>
      <c r="C859" s="8"/>
      <c r="D859" s="10" t="str">
        <f ca="1">IFERROR(_xludf.XLOOKUP(C859,STUDENTS!$A$5:$A$204,STUDENTS!$C$5:$C$204,""),"")</f>
        <v/>
      </c>
      <c r="E859" s="10" t="str">
        <f ca="1">IFERROR(_xludf.XLOOKUP(C859,STUDENTS!$A$5:$A$204,STUDENTS!$L$5:$L$204,""),"")</f>
        <v/>
      </c>
      <c r="F859" s="8"/>
      <c r="G859" s="10" t="str">
        <f>SETTINGS!$B$8</f>
        <v>2026/2027</v>
      </c>
      <c r="H859" s="10">
        <f t="shared" si="53"/>
        <v>0</v>
      </c>
      <c r="I859" s="10">
        <f t="shared" si="54"/>
        <v>0</v>
      </c>
      <c r="J859" s="13" t="str">
        <f t="shared" si="55"/>
        <v/>
      </c>
    </row>
    <row r="860" spans="1:10" x14ac:dyDescent="0.2">
      <c r="A860" s="10" t="str">
        <f t="shared" si="52"/>
        <v/>
      </c>
      <c r="B860" s="9"/>
      <c r="C860" s="8"/>
      <c r="D860" s="10" t="str">
        <f ca="1">IFERROR(_xludf.XLOOKUP(C860,STUDENTS!$A$5:$A$204,STUDENTS!$C$5:$C$204,""),"")</f>
        <v/>
      </c>
      <c r="E860" s="10" t="str">
        <f ca="1">IFERROR(_xludf.XLOOKUP(C860,STUDENTS!$A$5:$A$204,STUDENTS!$L$5:$L$204,""),"")</f>
        <v/>
      </c>
      <c r="F860" s="8"/>
      <c r="G860" s="10" t="str">
        <f>SETTINGS!$B$8</f>
        <v>2026/2027</v>
      </c>
      <c r="H860" s="10">
        <f t="shared" si="53"/>
        <v>0</v>
      </c>
      <c r="I860" s="10">
        <f t="shared" si="54"/>
        <v>0</v>
      </c>
      <c r="J860" s="13" t="str">
        <f t="shared" si="55"/>
        <v/>
      </c>
    </row>
    <row r="861" spans="1:10" x14ac:dyDescent="0.2">
      <c r="A861" s="10" t="str">
        <f t="shared" si="52"/>
        <v/>
      </c>
      <c r="B861" s="9"/>
      <c r="C861" s="8"/>
      <c r="D861" s="10" t="str">
        <f ca="1">IFERROR(_xludf.XLOOKUP(C861,STUDENTS!$A$5:$A$204,STUDENTS!$C$5:$C$204,""),"")</f>
        <v/>
      </c>
      <c r="E861" s="10" t="str">
        <f ca="1">IFERROR(_xludf.XLOOKUP(C861,STUDENTS!$A$5:$A$204,STUDENTS!$L$5:$L$204,""),"")</f>
        <v/>
      </c>
      <c r="F861" s="8"/>
      <c r="G861" s="10" t="str">
        <f>SETTINGS!$B$8</f>
        <v>2026/2027</v>
      </c>
      <c r="H861" s="10">
        <f t="shared" si="53"/>
        <v>0</v>
      </c>
      <c r="I861" s="10">
        <f t="shared" si="54"/>
        <v>0</v>
      </c>
      <c r="J861" s="13" t="str">
        <f t="shared" si="55"/>
        <v/>
      </c>
    </row>
    <row r="862" spans="1:10" x14ac:dyDescent="0.2">
      <c r="A862" s="10" t="str">
        <f t="shared" si="52"/>
        <v/>
      </c>
      <c r="B862" s="9"/>
      <c r="C862" s="8"/>
      <c r="D862" s="10" t="str">
        <f ca="1">IFERROR(_xludf.XLOOKUP(C862,STUDENTS!$A$5:$A$204,STUDENTS!$C$5:$C$204,""),"")</f>
        <v/>
      </c>
      <c r="E862" s="10" t="str">
        <f ca="1">IFERROR(_xludf.XLOOKUP(C862,STUDENTS!$A$5:$A$204,STUDENTS!$L$5:$L$204,""),"")</f>
        <v/>
      </c>
      <c r="F862" s="8"/>
      <c r="G862" s="10" t="str">
        <f>SETTINGS!$B$8</f>
        <v>2026/2027</v>
      </c>
      <c r="H862" s="10">
        <f t="shared" si="53"/>
        <v>0</v>
      </c>
      <c r="I862" s="10">
        <f t="shared" si="54"/>
        <v>0</v>
      </c>
      <c r="J862" s="13" t="str">
        <f t="shared" si="55"/>
        <v/>
      </c>
    </row>
    <row r="863" spans="1:10" x14ac:dyDescent="0.2">
      <c r="A863" s="10" t="str">
        <f t="shared" si="52"/>
        <v/>
      </c>
      <c r="B863" s="9"/>
      <c r="C863" s="8"/>
      <c r="D863" s="10" t="str">
        <f ca="1">IFERROR(_xludf.XLOOKUP(C863,STUDENTS!$A$5:$A$204,STUDENTS!$C$5:$C$204,""),"")</f>
        <v/>
      </c>
      <c r="E863" s="10" t="str">
        <f ca="1">IFERROR(_xludf.XLOOKUP(C863,STUDENTS!$A$5:$A$204,STUDENTS!$L$5:$L$204,""),"")</f>
        <v/>
      </c>
      <c r="F863" s="8"/>
      <c r="G863" s="10" t="str">
        <f>SETTINGS!$B$8</f>
        <v>2026/2027</v>
      </c>
      <c r="H863" s="10">
        <f t="shared" si="53"/>
        <v>0</v>
      </c>
      <c r="I863" s="10">
        <f t="shared" si="54"/>
        <v>0</v>
      </c>
      <c r="J863" s="13" t="str">
        <f t="shared" si="55"/>
        <v/>
      </c>
    </row>
    <row r="864" spans="1:10" x14ac:dyDescent="0.2">
      <c r="A864" s="10" t="str">
        <f t="shared" si="52"/>
        <v/>
      </c>
      <c r="B864" s="9"/>
      <c r="C864" s="8"/>
      <c r="D864" s="10" t="str">
        <f ca="1">IFERROR(_xludf.XLOOKUP(C864,STUDENTS!$A$5:$A$204,STUDENTS!$C$5:$C$204,""),"")</f>
        <v/>
      </c>
      <c r="E864" s="10" t="str">
        <f ca="1">IFERROR(_xludf.XLOOKUP(C864,STUDENTS!$A$5:$A$204,STUDENTS!$L$5:$L$204,""),"")</f>
        <v/>
      </c>
      <c r="F864" s="8"/>
      <c r="G864" s="10" t="str">
        <f>SETTINGS!$B$8</f>
        <v>2026/2027</v>
      </c>
      <c r="H864" s="10">
        <f t="shared" si="53"/>
        <v>0</v>
      </c>
      <c r="I864" s="10">
        <f t="shared" si="54"/>
        <v>0</v>
      </c>
      <c r="J864" s="13" t="str">
        <f t="shared" si="55"/>
        <v/>
      </c>
    </row>
    <row r="865" spans="1:10" x14ac:dyDescent="0.2">
      <c r="A865" s="10" t="str">
        <f t="shared" si="52"/>
        <v/>
      </c>
      <c r="B865" s="9"/>
      <c r="C865" s="8"/>
      <c r="D865" s="10" t="str">
        <f ca="1">IFERROR(_xludf.XLOOKUP(C865,STUDENTS!$A$5:$A$204,STUDENTS!$C$5:$C$204,""),"")</f>
        <v/>
      </c>
      <c r="E865" s="10" t="str">
        <f ca="1">IFERROR(_xludf.XLOOKUP(C865,STUDENTS!$A$5:$A$204,STUDENTS!$L$5:$L$204,""),"")</f>
        <v/>
      </c>
      <c r="F865" s="8"/>
      <c r="G865" s="10" t="str">
        <f>SETTINGS!$B$8</f>
        <v>2026/2027</v>
      </c>
      <c r="H865" s="10">
        <f t="shared" si="53"/>
        <v>0</v>
      </c>
      <c r="I865" s="10">
        <f t="shared" si="54"/>
        <v>0</v>
      </c>
      <c r="J865" s="13" t="str">
        <f t="shared" si="55"/>
        <v/>
      </c>
    </row>
    <row r="866" spans="1:10" x14ac:dyDescent="0.2">
      <c r="A866" s="10" t="str">
        <f t="shared" si="52"/>
        <v/>
      </c>
      <c r="B866" s="9"/>
      <c r="C866" s="8"/>
      <c r="D866" s="10" t="str">
        <f ca="1">IFERROR(_xludf.XLOOKUP(C866,STUDENTS!$A$5:$A$204,STUDENTS!$C$5:$C$204,""),"")</f>
        <v/>
      </c>
      <c r="E866" s="10" t="str">
        <f ca="1">IFERROR(_xludf.XLOOKUP(C866,STUDENTS!$A$5:$A$204,STUDENTS!$L$5:$L$204,""),"")</f>
        <v/>
      </c>
      <c r="F866" s="8"/>
      <c r="G866" s="10" t="str">
        <f>SETTINGS!$B$8</f>
        <v>2026/2027</v>
      </c>
      <c r="H866" s="10">
        <f t="shared" si="53"/>
        <v>0</v>
      </c>
      <c r="I866" s="10">
        <f t="shared" si="54"/>
        <v>0</v>
      </c>
      <c r="J866" s="13" t="str">
        <f t="shared" si="55"/>
        <v/>
      </c>
    </row>
    <row r="867" spans="1:10" x14ac:dyDescent="0.2">
      <c r="A867" s="10" t="str">
        <f t="shared" si="52"/>
        <v/>
      </c>
      <c r="B867" s="9"/>
      <c r="C867" s="8"/>
      <c r="D867" s="10" t="str">
        <f ca="1">IFERROR(_xludf.XLOOKUP(C867,STUDENTS!$A$5:$A$204,STUDENTS!$C$5:$C$204,""),"")</f>
        <v/>
      </c>
      <c r="E867" s="10" t="str">
        <f ca="1">IFERROR(_xludf.XLOOKUP(C867,STUDENTS!$A$5:$A$204,STUDENTS!$L$5:$L$204,""),"")</f>
        <v/>
      </c>
      <c r="F867" s="8"/>
      <c r="G867" s="10" t="str">
        <f>SETTINGS!$B$8</f>
        <v>2026/2027</v>
      </c>
      <c r="H867" s="10">
        <f t="shared" si="53"/>
        <v>0</v>
      </c>
      <c r="I867" s="10">
        <f t="shared" si="54"/>
        <v>0</v>
      </c>
      <c r="J867" s="13" t="str">
        <f t="shared" si="55"/>
        <v/>
      </c>
    </row>
    <row r="868" spans="1:10" x14ac:dyDescent="0.2">
      <c r="A868" s="10" t="str">
        <f t="shared" si="52"/>
        <v/>
      </c>
      <c r="B868" s="9"/>
      <c r="C868" s="8"/>
      <c r="D868" s="10" t="str">
        <f ca="1">IFERROR(_xludf.XLOOKUP(C868,STUDENTS!$A$5:$A$204,STUDENTS!$C$5:$C$204,""),"")</f>
        <v/>
      </c>
      <c r="E868" s="10" t="str">
        <f ca="1">IFERROR(_xludf.XLOOKUP(C868,STUDENTS!$A$5:$A$204,STUDENTS!$L$5:$L$204,""),"")</f>
        <v/>
      </c>
      <c r="F868" s="8"/>
      <c r="G868" s="10" t="str">
        <f>SETTINGS!$B$8</f>
        <v>2026/2027</v>
      </c>
      <c r="H868" s="10">
        <f t="shared" si="53"/>
        <v>0</v>
      </c>
      <c r="I868" s="10">
        <f t="shared" si="54"/>
        <v>0</v>
      </c>
      <c r="J868" s="13" t="str">
        <f t="shared" si="55"/>
        <v/>
      </c>
    </row>
    <row r="869" spans="1:10" x14ac:dyDescent="0.2">
      <c r="A869" s="10" t="str">
        <f t="shared" si="52"/>
        <v/>
      </c>
      <c r="B869" s="9"/>
      <c r="C869" s="8"/>
      <c r="D869" s="10" t="str">
        <f ca="1">IFERROR(_xludf.XLOOKUP(C869,STUDENTS!$A$5:$A$204,STUDENTS!$C$5:$C$204,""),"")</f>
        <v/>
      </c>
      <c r="E869" s="10" t="str">
        <f ca="1">IFERROR(_xludf.XLOOKUP(C869,STUDENTS!$A$5:$A$204,STUDENTS!$L$5:$L$204,""),"")</f>
        <v/>
      </c>
      <c r="F869" s="8"/>
      <c r="G869" s="10" t="str">
        <f>SETTINGS!$B$8</f>
        <v>2026/2027</v>
      </c>
      <c r="H869" s="10">
        <f t="shared" si="53"/>
        <v>0</v>
      </c>
      <c r="I869" s="10">
        <f t="shared" si="54"/>
        <v>0</v>
      </c>
      <c r="J869" s="13" t="str">
        <f t="shared" si="55"/>
        <v/>
      </c>
    </row>
    <row r="870" spans="1:10" x14ac:dyDescent="0.2">
      <c r="A870" s="10" t="str">
        <f t="shared" si="52"/>
        <v/>
      </c>
      <c r="B870" s="9"/>
      <c r="C870" s="8"/>
      <c r="D870" s="10" t="str">
        <f ca="1">IFERROR(_xludf.XLOOKUP(C870,STUDENTS!$A$5:$A$204,STUDENTS!$C$5:$C$204,""),"")</f>
        <v/>
      </c>
      <c r="E870" s="10" t="str">
        <f ca="1">IFERROR(_xludf.XLOOKUP(C870,STUDENTS!$A$5:$A$204,STUDENTS!$L$5:$L$204,""),"")</f>
        <v/>
      </c>
      <c r="F870" s="8"/>
      <c r="G870" s="10" t="str">
        <f>SETTINGS!$B$8</f>
        <v>2026/2027</v>
      </c>
      <c r="H870" s="10">
        <f t="shared" si="53"/>
        <v>0</v>
      </c>
      <c r="I870" s="10">
        <f t="shared" si="54"/>
        <v>0</v>
      </c>
      <c r="J870" s="13" t="str">
        <f t="shared" si="55"/>
        <v/>
      </c>
    </row>
    <row r="871" spans="1:10" x14ac:dyDescent="0.2">
      <c r="A871" s="10" t="str">
        <f t="shared" si="52"/>
        <v/>
      </c>
      <c r="B871" s="9"/>
      <c r="C871" s="8"/>
      <c r="D871" s="10" t="str">
        <f ca="1">IFERROR(_xludf.XLOOKUP(C871,STUDENTS!$A$5:$A$204,STUDENTS!$C$5:$C$204,""),"")</f>
        <v/>
      </c>
      <c r="E871" s="10" t="str">
        <f ca="1">IFERROR(_xludf.XLOOKUP(C871,STUDENTS!$A$5:$A$204,STUDENTS!$L$5:$L$204,""),"")</f>
        <v/>
      </c>
      <c r="F871" s="8"/>
      <c r="G871" s="10" t="str">
        <f>SETTINGS!$B$8</f>
        <v>2026/2027</v>
      </c>
      <c r="H871" s="10">
        <f t="shared" si="53"/>
        <v>0</v>
      </c>
      <c r="I871" s="10">
        <f t="shared" si="54"/>
        <v>0</v>
      </c>
      <c r="J871" s="13" t="str">
        <f t="shared" si="55"/>
        <v/>
      </c>
    </row>
    <row r="872" spans="1:10" x14ac:dyDescent="0.2">
      <c r="A872" s="10" t="str">
        <f t="shared" si="52"/>
        <v/>
      </c>
      <c r="B872" s="9"/>
      <c r="C872" s="8"/>
      <c r="D872" s="10" t="str">
        <f ca="1">IFERROR(_xludf.XLOOKUP(C872,STUDENTS!$A$5:$A$204,STUDENTS!$C$5:$C$204,""),"")</f>
        <v/>
      </c>
      <c r="E872" s="10" t="str">
        <f ca="1">IFERROR(_xludf.XLOOKUP(C872,STUDENTS!$A$5:$A$204,STUDENTS!$L$5:$L$204,""),"")</f>
        <v/>
      </c>
      <c r="F872" s="8"/>
      <c r="G872" s="10" t="str">
        <f>SETTINGS!$B$8</f>
        <v>2026/2027</v>
      </c>
      <c r="H872" s="10">
        <f t="shared" si="53"/>
        <v>0</v>
      </c>
      <c r="I872" s="10">
        <f t="shared" si="54"/>
        <v>0</v>
      </c>
      <c r="J872" s="13" t="str">
        <f t="shared" si="55"/>
        <v/>
      </c>
    </row>
    <row r="873" spans="1:10" x14ac:dyDescent="0.2">
      <c r="A873" s="10" t="str">
        <f t="shared" si="52"/>
        <v/>
      </c>
      <c r="B873" s="9"/>
      <c r="C873" s="8"/>
      <c r="D873" s="10" t="str">
        <f ca="1">IFERROR(_xludf.XLOOKUP(C873,STUDENTS!$A$5:$A$204,STUDENTS!$C$5:$C$204,""),"")</f>
        <v/>
      </c>
      <c r="E873" s="10" t="str">
        <f ca="1">IFERROR(_xludf.XLOOKUP(C873,STUDENTS!$A$5:$A$204,STUDENTS!$L$5:$L$204,""),"")</f>
        <v/>
      </c>
      <c r="F873" s="8"/>
      <c r="G873" s="10" t="str">
        <f>SETTINGS!$B$8</f>
        <v>2026/2027</v>
      </c>
      <c r="H873" s="10">
        <f t="shared" si="53"/>
        <v>0</v>
      </c>
      <c r="I873" s="10">
        <f t="shared" si="54"/>
        <v>0</v>
      </c>
      <c r="J873" s="13" t="str">
        <f t="shared" si="55"/>
        <v/>
      </c>
    </row>
    <row r="874" spans="1:10" x14ac:dyDescent="0.2">
      <c r="A874" s="10" t="str">
        <f t="shared" si="52"/>
        <v/>
      </c>
      <c r="B874" s="9"/>
      <c r="C874" s="8"/>
      <c r="D874" s="10" t="str">
        <f ca="1">IFERROR(_xludf.XLOOKUP(C874,STUDENTS!$A$5:$A$204,STUDENTS!$C$5:$C$204,""),"")</f>
        <v/>
      </c>
      <c r="E874" s="10" t="str">
        <f ca="1">IFERROR(_xludf.XLOOKUP(C874,STUDENTS!$A$5:$A$204,STUDENTS!$L$5:$L$204,""),"")</f>
        <v/>
      </c>
      <c r="F874" s="8"/>
      <c r="G874" s="10" t="str">
        <f>SETTINGS!$B$8</f>
        <v>2026/2027</v>
      </c>
      <c r="H874" s="10">
        <f t="shared" si="53"/>
        <v>0</v>
      </c>
      <c r="I874" s="10">
        <f t="shared" si="54"/>
        <v>0</v>
      </c>
      <c r="J874" s="13" t="str">
        <f t="shared" si="55"/>
        <v/>
      </c>
    </row>
    <row r="875" spans="1:10" x14ac:dyDescent="0.2">
      <c r="A875" s="10" t="str">
        <f t="shared" si="52"/>
        <v/>
      </c>
      <c r="B875" s="9"/>
      <c r="C875" s="8"/>
      <c r="D875" s="10" t="str">
        <f ca="1">IFERROR(_xludf.XLOOKUP(C875,STUDENTS!$A$5:$A$204,STUDENTS!$C$5:$C$204,""),"")</f>
        <v/>
      </c>
      <c r="E875" s="10" t="str">
        <f ca="1">IFERROR(_xludf.XLOOKUP(C875,STUDENTS!$A$5:$A$204,STUDENTS!$L$5:$L$204,""),"")</f>
        <v/>
      </c>
      <c r="F875" s="8"/>
      <c r="G875" s="10" t="str">
        <f>SETTINGS!$B$8</f>
        <v>2026/2027</v>
      </c>
      <c r="H875" s="10">
        <f t="shared" si="53"/>
        <v>0</v>
      </c>
      <c r="I875" s="10">
        <f t="shared" si="54"/>
        <v>0</v>
      </c>
      <c r="J875" s="13" t="str">
        <f t="shared" si="55"/>
        <v/>
      </c>
    </row>
    <row r="876" spans="1:10" x14ac:dyDescent="0.2">
      <c r="A876" s="10" t="str">
        <f t="shared" si="52"/>
        <v/>
      </c>
      <c r="B876" s="9"/>
      <c r="C876" s="8"/>
      <c r="D876" s="10" t="str">
        <f ca="1">IFERROR(_xludf.XLOOKUP(C876,STUDENTS!$A$5:$A$204,STUDENTS!$C$5:$C$204,""),"")</f>
        <v/>
      </c>
      <c r="E876" s="10" t="str">
        <f ca="1">IFERROR(_xludf.XLOOKUP(C876,STUDENTS!$A$5:$A$204,STUDENTS!$L$5:$L$204,""),"")</f>
        <v/>
      </c>
      <c r="F876" s="8"/>
      <c r="G876" s="10" t="str">
        <f>SETTINGS!$B$8</f>
        <v>2026/2027</v>
      </c>
      <c r="H876" s="10">
        <f t="shared" si="53"/>
        <v>0</v>
      </c>
      <c r="I876" s="10">
        <f t="shared" si="54"/>
        <v>0</v>
      </c>
      <c r="J876" s="13" t="str">
        <f t="shared" si="55"/>
        <v/>
      </c>
    </row>
    <row r="877" spans="1:10" x14ac:dyDescent="0.2">
      <c r="A877" s="10" t="str">
        <f t="shared" si="52"/>
        <v/>
      </c>
      <c r="B877" s="9"/>
      <c r="C877" s="8"/>
      <c r="D877" s="10" t="str">
        <f ca="1">IFERROR(_xludf.XLOOKUP(C877,STUDENTS!$A$5:$A$204,STUDENTS!$C$5:$C$204,""),"")</f>
        <v/>
      </c>
      <c r="E877" s="10" t="str">
        <f ca="1">IFERROR(_xludf.XLOOKUP(C877,STUDENTS!$A$5:$A$204,STUDENTS!$L$5:$L$204,""),"")</f>
        <v/>
      </c>
      <c r="F877" s="8"/>
      <c r="G877" s="10" t="str">
        <f>SETTINGS!$B$8</f>
        <v>2026/2027</v>
      </c>
      <c r="H877" s="10">
        <f t="shared" si="53"/>
        <v>0</v>
      </c>
      <c r="I877" s="10">
        <f t="shared" si="54"/>
        <v>0</v>
      </c>
      <c r="J877" s="13" t="str">
        <f t="shared" si="55"/>
        <v/>
      </c>
    </row>
    <row r="878" spans="1:10" x14ac:dyDescent="0.2">
      <c r="A878" s="10" t="str">
        <f t="shared" si="52"/>
        <v/>
      </c>
      <c r="B878" s="9"/>
      <c r="C878" s="8"/>
      <c r="D878" s="10" t="str">
        <f ca="1">IFERROR(_xludf.XLOOKUP(C878,STUDENTS!$A$5:$A$204,STUDENTS!$C$5:$C$204,""),"")</f>
        <v/>
      </c>
      <c r="E878" s="10" t="str">
        <f ca="1">IFERROR(_xludf.XLOOKUP(C878,STUDENTS!$A$5:$A$204,STUDENTS!$L$5:$L$204,""),"")</f>
        <v/>
      </c>
      <c r="F878" s="8"/>
      <c r="G878" s="10" t="str">
        <f>SETTINGS!$B$8</f>
        <v>2026/2027</v>
      </c>
      <c r="H878" s="10">
        <f t="shared" si="53"/>
        <v>0</v>
      </c>
      <c r="I878" s="10">
        <f t="shared" si="54"/>
        <v>0</v>
      </c>
      <c r="J878" s="13" t="str">
        <f t="shared" si="55"/>
        <v/>
      </c>
    </row>
    <row r="879" spans="1:10" x14ac:dyDescent="0.2">
      <c r="A879" s="10" t="str">
        <f t="shared" si="52"/>
        <v/>
      </c>
      <c r="B879" s="9"/>
      <c r="C879" s="8"/>
      <c r="D879" s="10" t="str">
        <f ca="1">IFERROR(_xludf.XLOOKUP(C879,STUDENTS!$A$5:$A$204,STUDENTS!$C$5:$C$204,""),"")</f>
        <v/>
      </c>
      <c r="E879" s="10" t="str">
        <f ca="1">IFERROR(_xludf.XLOOKUP(C879,STUDENTS!$A$5:$A$204,STUDENTS!$L$5:$L$204,""),"")</f>
        <v/>
      </c>
      <c r="F879" s="8"/>
      <c r="G879" s="10" t="str">
        <f>SETTINGS!$B$8</f>
        <v>2026/2027</v>
      </c>
      <c r="H879" s="10">
        <f t="shared" si="53"/>
        <v>0</v>
      </c>
      <c r="I879" s="10">
        <f t="shared" si="54"/>
        <v>0</v>
      </c>
      <c r="J879" s="13" t="str">
        <f t="shared" si="55"/>
        <v/>
      </c>
    </row>
    <row r="880" spans="1:10" x14ac:dyDescent="0.2">
      <c r="A880" s="10" t="str">
        <f t="shared" si="52"/>
        <v/>
      </c>
      <c r="B880" s="9"/>
      <c r="C880" s="8"/>
      <c r="D880" s="10" t="str">
        <f ca="1">IFERROR(_xludf.XLOOKUP(C880,STUDENTS!$A$5:$A$204,STUDENTS!$C$5:$C$204,""),"")</f>
        <v/>
      </c>
      <c r="E880" s="10" t="str">
        <f ca="1">IFERROR(_xludf.XLOOKUP(C880,STUDENTS!$A$5:$A$204,STUDENTS!$L$5:$L$204,""),"")</f>
        <v/>
      </c>
      <c r="F880" s="8"/>
      <c r="G880" s="10" t="str">
        <f>SETTINGS!$B$8</f>
        <v>2026/2027</v>
      </c>
      <c r="H880" s="10">
        <f t="shared" si="53"/>
        <v>0</v>
      </c>
      <c r="I880" s="10">
        <f t="shared" si="54"/>
        <v>0</v>
      </c>
      <c r="J880" s="13" t="str">
        <f t="shared" si="55"/>
        <v/>
      </c>
    </row>
    <row r="881" spans="1:10" x14ac:dyDescent="0.2">
      <c r="A881" s="10" t="str">
        <f t="shared" si="52"/>
        <v/>
      </c>
      <c r="B881" s="9"/>
      <c r="C881" s="8"/>
      <c r="D881" s="10" t="str">
        <f ca="1">IFERROR(_xludf.XLOOKUP(C881,STUDENTS!$A$5:$A$204,STUDENTS!$C$5:$C$204,""),"")</f>
        <v/>
      </c>
      <c r="E881" s="10" t="str">
        <f ca="1">IFERROR(_xludf.XLOOKUP(C881,STUDENTS!$A$5:$A$204,STUDENTS!$L$5:$L$204,""),"")</f>
        <v/>
      </c>
      <c r="F881" s="8"/>
      <c r="G881" s="10" t="str">
        <f>SETTINGS!$B$8</f>
        <v>2026/2027</v>
      </c>
      <c r="H881" s="10">
        <f t="shared" si="53"/>
        <v>0</v>
      </c>
      <c r="I881" s="10">
        <f t="shared" si="54"/>
        <v>0</v>
      </c>
      <c r="J881" s="13" t="str">
        <f t="shared" si="55"/>
        <v/>
      </c>
    </row>
    <row r="882" spans="1:10" x14ac:dyDescent="0.2">
      <c r="A882" s="10" t="str">
        <f t="shared" si="52"/>
        <v/>
      </c>
      <c r="B882" s="9"/>
      <c r="C882" s="8"/>
      <c r="D882" s="10" t="str">
        <f ca="1">IFERROR(_xludf.XLOOKUP(C882,STUDENTS!$A$5:$A$204,STUDENTS!$C$5:$C$204,""),"")</f>
        <v/>
      </c>
      <c r="E882" s="10" t="str">
        <f ca="1">IFERROR(_xludf.XLOOKUP(C882,STUDENTS!$A$5:$A$204,STUDENTS!$L$5:$L$204,""),"")</f>
        <v/>
      </c>
      <c r="F882" s="8"/>
      <c r="G882" s="10" t="str">
        <f>SETTINGS!$B$8</f>
        <v>2026/2027</v>
      </c>
      <c r="H882" s="10">
        <f t="shared" si="53"/>
        <v>0</v>
      </c>
      <c r="I882" s="10">
        <f t="shared" si="54"/>
        <v>0</v>
      </c>
      <c r="J882" s="13" t="str">
        <f t="shared" si="55"/>
        <v/>
      </c>
    </row>
    <row r="883" spans="1:10" x14ac:dyDescent="0.2">
      <c r="A883" s="10" t="str">
        <f t="shared" si="52"/>
        <v/>
      </c>
      <c r="B883" s="9"/>
      <c r="C883" s="8"/>
      <c r="D883" s="10" t="str">
        <f ca="1">IFERROR(_xludf.XLOOKUP(C883,STUDENTS!$A$5:$A$204,STUDENTS!$C$5:$C$204,""),"")</f>
        <v/>
      </c>
      <c r="E883" s="10" t="str">
        <f ca="1">IFERROR(_xludf.XLOOKUP(C883,STUDENTS!$A$5:$A$204,STUDENTS!$L$5:$L$204,""),"")</f>
        <v/>
      </c>
      <c r="F883" s="8"/>
      <c r="G883" s="10" t="str">
        <f>SETTINGS!$B$8</f>
        <v>2026/2027</v>
      </c>
      <c r="H883" s="10">
        <f t="shared" si="53"/>
        <v>0</v>
      </c>
      <c r="I883" s="10">
        <f t="shared" si="54"/>
        <v>0</v>
      </c>
      <c r="J883" s="13" t="str">
        <f t="shared" si="55"/>
        <v/>
      </c>
    </row>
    <row r="884" spans="1:10" x14ac:dyDescent="0.2">
      <c r="A884" s="10" t="str">
        <f t="shared" si="52"/>
        <v/>
      </c>
      <c r="B884" s="9"/>
      <c r="C884" s="8"/>
      <c r="D884" s="10" t="str">
        <f ca="1">IFERROR(_xludf.XLOOKUP(C884,STUDENTS!$A$5:$A$204,STUDENTS!$C$5:$C$204,""),"")</f>
        <v/>
      </c>
      <c r="E884" s="10" t="str">
        <f ca="1">IFERROR(_xludf.XLOOKUP(C884,STUDENTS!$A$5:$A$204,STUDENTS!$L$5:$L$204,""),"")</f>
        <v/>
      </c>
      <c r="F884" s="8"/>
      <c r="G884" s="10" t="str">
        <f>SETTINGS!$B$8</f>
        <v>2026/2027</v>
      </c>
      <c r="H884" s="10">
        <f t="shared" si="53"/>
        <v>0</v>
      </c>
      <c r="I884" s="10">
        <f t="shared" si="54"/>
        <v>0</v>
      </c>
      <c r="J884" s="13" t="str">
        <f t="shared" si="55"/>
        <v/>
      </c>
    </row>
    <row r="885" spans="1:10" x14ac:dyDescent="0.2">
      <c r="A885" s="10" t="str">
        <f t="shared" si="52"/>
        <v/>
      </c>
      <c r="B885" s="9"/>
      <c r="C885" s="8"/>
      <c r="D885" s="10" t="str">
        <f ca="1">IFERROR(_xludf.XLOOKUP(C885,STUDENTS!$A$5:$A$204,STUDENTS!$C$5:$C$204,""),"")</f>
        <v/>
      </c>
      <c r="E885" s="10" t="str">
        <f ca="1">IFERROR(_xludf.XLOOKUP(C885,STUDENTS!$A$5:$A$204,STUDENTS!$L$5:$L$204,""),"")</f>
        <v/>
      </c>
      <c r="F885" s="8"/>
      <c r="G885" s="10" t="str">
        <f>SETTINGS!$B$8</f>
        <v>2026/2027</v>
      </c>
      <c r="H885" s="10">
        <f t="shared" si="53"/>
        <v>0</v>
      </c>
      <c r="I885" s="10">
        <f t="shared" si="54"/>
        <v>0</v>
      </c>
      <c r="J885" s="13" t="str">
        <f t="shared" si="55"/>
        <v/>
      </c>
    </row>
    <row r="886" spans="1:10" x14ac:dyDescent="0.2">
      <c r="A886" s="10" t="str">
        <f t="shared" si="52"/>
        <v/>
      </c>
      <c r="B886" s="9"/>
      <c r="C886" s="8"/>
      <c r="D886" s="10" t="str">
        <f ca="1">IFERROR(_xludf.XLOOKUP(C886,STUDENTS!$A$5:$A$204,STUDENTS!$C$5:$C$204,""),"")</f>
        <v/>
      </c>
      <c r="E886" s="10" t="str">
        <f ca="1">IFERROR(_xludf.XLOOKUP(C886,STUDENTS!$A$5:$A$204,STUDENTS!$L$5:$L$204,""),"")</f>
        <v/>
      </c>
      <c r="F886" s="8"/>
      <c r="G886" s="10" t="str">
        <f>SETTINGS!$B$8</f>
        <v>2026/2027</v>
      </c>
      <c r="H886" s="10">
        <f t="shared" si="53"/>
        <v>0</v>
      </c>
      <c r="I886" s="10">
        <f t="shared" si="54"/>
        <v>0</v>
      </c>
      <c r="J886" s="13" t="str">
        <f t="shared" si="55"/>
        <v/>
      </c>
    </row>
    <row r="887" spans="1:10" x14ac:dyDescent="0.2">
      <c r="A887" s="10" t="str">
        <f t="shared" si="52"/>
        <v/>
      </c>
      <c r="B887" s="9"/>
      <c r="C887" s="8"/>
      <c r="D887" s="10" t="str">
        <f ca="1">IFERROR(_xludf.XLOOKUP(C887,STUDENTS!$A$5:$A$204,STUDENTS!$C$5:$C$204,""),"")</f>
        <v/>
      </c>
      <c r="E887" s="10" t="str">
        <f ca="1">IFERROR(_xludf.XLOOKUP(C887,STUDENTS!$A$5:$A$204,STUDENTS!$L$5:$L$204,""),"")</f>
        <v/>
      </c>
      <c r="F887" s="8"/>
      <c r="G887" s="10" t="str">
        <f>SETTINGS!$B$8</f>
        <v>2026/2027</v>
      </c>
      <c r="H887" s="10">
        <f t="shared" si="53"/>
        <v>0</v>
      </c>
      <c r="I887" s="10">
        <f t="shared" si="54"/>
        <v>0</v>
      </c>
      <c r="J887" s="13" t="str">
        <f t="shared" si="55"/>
        <v/>
      </c>
    </row>
    <row r="888" spans="1:10" x14ac:dyDescent="0.2">
      <c r="A888" s="10" t="str">
        <f t="shared" si="52"/>
        <v/>
      </c>
      <c r="B888" s="9"/>
      <c r="C888" s="8"/>
      <c r="D888" s="10" t="str">
        <f ca="1">IFERROR(_xludf.XLOOKUP(C888,STUDENTS!$A$5:$A$204,STUDENTS!$C$5:$C$204,""),"")</f>
        <v/>
      </c>
      <c r="E888" s="10" t="str">
        <f ca="1">IFERROR(_xludf.XLOOKUP(C888,STUDENTS!$A$5:$A$204,STUDENTS!$L$5:$L$204,""),"")</f>
        <v/>
      </c>
      <c r="F888" s="8"/>
      <c r="G888" s="10" t="str">
        <f>SETTINGS!$B$8</f>
        <v>2026/2027</v>
      </c>
      <c r="H888" s="10">
        <f t="shared" si="53"/>
        <v>0</v>
      </c>
      <c r="I888" s="10">
        <f t="shared" si="54"/>
        <v>0</v>
      </c>
      <c r="J888" s="13" t="str">
        <f t="shared" si="55"/>
        <v/>
      </c>
    </row>
    <row r="889" spans="1:10" x14ac:dyDescent="0.2">
      <c r="A889" s="10" t="str">
        <f t="shared" si="52"/>
        <v/>
      </c>
      <c r="B889" s="9"/>
      <c r="C889" s="8"/>
      <c r="D889" s="10" t="str">
        <f ca="1">IFERROR(_xludf.XLOOKUP(C889,STUDENTS!$A$5:$A$204,STUDENTS!$C$5:$C$204,""),"")</f>
        <v/>
      </c>
      <c r="E889" s="10" t="str">
        <f ca="1">IFERROR(_xludf.XLOOKUP(C889,STUDENTS!$A$5:$A$204,STUDENTS!$L$5:$L$204,""),"")</f>
        <v/>
      </c>
      <c r="F889" s="8"/>
      <c r="G889" s="10" t="str">
        <f>SETTINGS!$B$8</f>
        <v>2026/2027</v>
      </c>
      <c r="H889" s="10">
        <f t="shared" si="53"/>
        <v>0</v>
      </c>
      <c r="I889" s="10">
        <f t="shared" si="54"/>
        <v>0</v>
      </c>
      <c r="J889" s="13" t="str">
        <f t="shared" si="55"/>
        <v/>
      </c>
    </row>
    <row r="890" spans="1:10" x14ac:dyDescent="0.2">
      <c r="A890" s="10" t="str">
        <f t="shared" si="52"/>
        <v/>
      </c>
      <c r="B890" s="9"/>
      <c r="C890" s="8"/>
      <c r="D890" s="10" t="str">
        <f ca="1">IFERROR(_xludf.XLOOKUP(C890,STUDENTS!$A$5:$A$204,STUDENTS!$C$5:$C$204,""),"")</f>
        <v/>
      </c>
      <c r="E890" s="10" t="str">
        <f ca="1">IFERROR(_xludf.XLOOKUP(C890,STUDENTS!$A$5:$A$204,STUDENTS!$L$5:$L$204,""),"")</f>
        <v/>
      </c>
      <c r="F890" s="8"/>
      <c r="G890" s="10" t="str">
        <f>SETTINGS!$B$8</f>
        <v>2026/2027</v>
      </c>
      <c r="H890" s="10">
        <f t="shared" si="53"/>
        <v>0</v>
      </c>
      <c r="I890" s="10">
        <f t="shared" si="54"/>
        <v>0</v>
      </c>
      <c r="J890" s="13" t="str">
        <f t="shared" si="55"/>
        <v/>
      </c>
    </row>
    <row r="891" spans="1:10" x14ac:dyDescent="0.2">
      <c r="A891" s="10" t="str">
        <f t="shared" si="52"/>
        <v/>
      </c>
      <c r="B891" s="9"/>
      <c r="C891" s="8"/>
      <c r="D891" s="10" t="str">
        <f ca="1">IFERROR(_xludf.XLOOKUP(C891,STUDENTS!$A$5:$A$204,STUDENTS!$C$5:$C$204,""),"")</f>
        <v/>
      </c>
      <c r="E891" s="10" t="str">
        <f ca="1">IFERROR(_xludf.XLOOKUP(C891,STUDENTS!$A$5:$A$204,STUDENTS!$L$5:$L$204,""),"")</f>
        <v/>
      </c>
      <c r="F891" s="8"/>
      <c r="G891" s="10" t="str">
        <f>SETTINGS!$B$8</f>
        <v>2026/2027</v>
      </c>
      <c r="H891" s="10">
        <f t="shared" si="53"/>
        <v>0</v>
      </c>
      <c r="I891" s="10">
        <f t="shared" si="54"/>
        <v>0</v>
      </c>
      <c r="J891" s="13" t="str">
        <f t="shared" si="55"/>
        <v/>
      </c>
    </row>
    <row r="892" spans="1:10" x14ac:dyDescent="0.2">
      <c r="A892" s="10" t="str">
        <f t="shared" si="52"/>
        <v/>
      </c>
      <c r="B892" s="9"/>
      <c r="C892" s="8"/>
      <c r="D892" s="10" t="str">
        <f ca="1">IFERROR(_xludf.XLOOKUP(C892,STUDENTS!$A$5:$A$204,STUDENTS!$C$5:$C$204,""),"")</f>
        <v/>
      </c>
      <c r="E892" s="10" t="str">
        <f ca="1">IFERROR(_xludf.XLOOKUP(C892,STUDENTS!$A$5:$A$204,STUDENTS!$L$5:$L$204,""),"")</f>
        <v/>
      </c>
      <c r="F892" s="8"/>
      <c r="G892" s="10" t="str">
        <f>SETTINGS!$B$8</f>
        <v>2026/2027</v>
      </c>
      <c r="H892" s="10">
        <f t="shared" si="53"/>
        <v>0</v>
      </c>
      <c r="I892" s="10">
        <f t="shared" si="54"/>
        <v>0</v>
      </c>
      <c r="J892" s="13" t="str">
        <f t="shared" si="55"/>
        <v/>
      </c>
    </row>
    <row r="893" spans="1:10" x14ac:dyDescent="0.2">
      <c r="A893" s="10" t="str">
        <f t="shared" si="52"/>
        <v/>
      </c>
      <c r="B893" s="9"/>
      <c r="C893" s="8"/>
      <c r="D893" s="10" t="str">
        <f ca="1">IFERROR(_xludf.XLOOKUP(C893,STUDENTS!$A$5:$A$204,STUDENTS!$C$5:$C$204,""),"")</f>
        <v/>
      </c>
      <c r="E893" s="10" t="str">
        <f ca="1">IFERROR(_xludf.XLOOKUP(C893,STUDENTS!$A$5:$A$204,STUDENTS!$L$5:$L$204,""),"")</f>
        <v/>
      </c>
      <c r="F893" s="8"/>
      <c r="G893" s="10" t="str">
        <f>SETTINGS!$B$8</f>
        <v>2026/2027</v>
      </c>
      <c r="H893" s="10">
        <f t="shared" si="53"/>
        <v>0</v>
      </c>
      <c r="I893" s="10">
        <f t="shared" si="54"/>
        <v>0</v>
      </c>
      <c r="J893" s="13" t="str">
        <f t="shared" si="55"/>
        <v/>
      </c>
    </row>
    <row r="894" spans="1:10" x14ac:dyDescent="0.2">
      <c r="A894" s="10" t="str">
        <f t="shared" si="52"/>
        <v/>
      </c>
      <c r="B894" s="9"/>
      <c r="C894" s="8"/>
      <c r="D894" s="10" t="str">
        <f ca="1">IFERROR(_xludf.XLOOKUP(C894,STUDENTS!$A$5:$A$204,STUDENTS!$C$5:$C$204,""),"")</f>
        <v/>
      </c>
      <c r="E894" s="10" t="str">
        <f ca="1">IFERROR(_xludf.XLOOKUP(C894,STUDENTS!$A$5:$A$204,STUDENTS!$L$5:$L$204,""),"")</f>
        <v/>
      </c>
      <c r="F894" s="8"/>
      <c r="G894" s="10" t="str">
        <f>SETTINGS!$B$8</f>
        <v>2026/2027</v>
      </c>
      <c r="H894" s="10">
        <f t="shared" si="53"/>
        <v>0</v>
      </c>
      <c r="I894" s="10">
        <f t="shared" si="54"/>
        <v>0</v>
      </c>
      <c r="J894" s="13" t="str">
        <f t="shared" si="55"/>
        <v/>
      </c>
    </row>
    <row r="895" spans="1:10" x14ac:dyDescent="0.2">
      <c r="A895" s="10" t="str">
        <f t="shared" si="52"/>
        <v/>
      </c>
      <c r="B895" s="9"/>
      <c r="C895" s="8"/>
      <c r="D895" s="10" t="str">
        <f ca="1">IFERROR(_xludf.XLOOKUP(C895,STUDENTS!$A$5:$A$204,STUDENTS!$C$5:$C$204,""),"")</f>
        <v/>
      </c>
      <c r="E895" s="10" t="str">
        <f ca="1">IFERROR(_xludf.XLOOKUP(C895,STUDENTS!$A$5:$A$204,STUDENTS!$L$5:$L$204,""),"")</f>
        <v/>
      </c>
      <c r="F895" s="8"/>
      <c r="G895" s="10" t="str">
        <f>SETTINGS!$B$8</f>
        <v>2026/2027</v>
      </c>
      <c r="H895" s="10">
        <f t="shared" si="53"/>
        <v>0</v>
      </c>
      <c r="I895" s="10">
        <f t="shared" si="54"/>
        <v>0</v>
      </c>
      <c r="J895" s="13" t="str">
        <f t="shared" si="55"/>
        <v/>
      </c>
    </row>
    <row r="896" spans="1:10" x14ac:dyDescent="0.2">
      <c r="A896" s="10" t="str">
        <f t="shared" si="52"/>
        <v/>
      </c>
      <c r="B896" s="9"/>
      <c r="C896" s="8"/>
      <c r="D896" s="10" t="str">
        <f ca="1">IFERROR(_xludf.XLOOKUP(C896,STUDENTS!$A$5:$A$204,STUDENTS!$C$5:$C$204,""),"")</f>
        <v/>
      </c>
      <c r="E896" s="10" t="str">
        <f ca="1">IFERROR(_xludf.XLOOKUP(C896,STUDENTS!$A$5:$A$204,STUDENTS!$L$5:$L$204,""),"")</f>
        <v/>
      </c>
      <c r="F896" s="8"/>
      <c r="G896" s="10" t="str">
        <f>SETTINGS!$B$8</f>
        <v>2026/2027</v>
      </c>
      <c r="H896" s="10">
        <f t="shared" si="53"/>
        <v>0</v>
      </c>
      <c r="I896" s="10">
        <f t="shared" si="54"/>
        <v>0</v>
      </c>
      <c r="J896" s="13" t="str">
        <f t="shared" si="55"/>
        <v/>
      </c>
    </row>
    <row r="897" spans="1:10" x14ac:dyDescent="0.2">
      <c r="A897" s="10" t="str">
        <f t="shared" si="52"/>
        <v/>
      </c>
      <c r="B897" s="9"/>
      <c r="C897" s="8"/>
      <c r="D897" s="10" t="str">
        <f ca="1">IFERROR(_xludf.XLOOKUP(C897,STUDENTS!$A$5:$A$204,STUDENTS!$C$5:$C$204,""),"")</f>
        <v/>
      </c>
      <c r="E897" s="10" t="str">
        <f ca="1">IFERROR(_xludf.XLOOKUP(C897,STUDENTS!$A$5:$A$204,STUDENTS!$L$5:$L$204,""),"")</f>
        <v/>
      </c>
      <c r="F897" s="8"/>
      <c r="G897" s="10" t="str">
        <f>SETTINGS!$B$8</f>
        <v>2026/2027</v>
      </c>
      <c r="H897" s="10">
        <f t="shared" si="53"/>
        <v>0</v>
      </c>
      <c r="I897" s="10">
        <f t="shared" si="54"/>
        <v>0</v>
      </c>
      <c r="J897" s="13" t="str">
        <f t="shared" si="55"/>
        <v/>
      </c>
    </row>
    <row r="898" spans="1:10" x14ac:dyDescent="0.2">
      <c r="A898" s="10" t="str">
        <f t="shared" si="52"/>
        <v/>
      </c>
      <c r="B898" s="9"/>
      <c r="C898" s="8"/>
      <c r="D898" s="10" t="str">
        <f ca="1">IFERROR(_xludf.XLOOKUP(C898,STUDENTS!$A$5:$A$204,STUDENTS!$C$5:$C$204,""),"")</f>
        <v/>
      </c>
      <c r="E898" s="10" t="str">
        <f ca="1">IFERROR(_xludf.XLOOKUP(C898,STUDENTS!$A$5:$A$204,STUDENTS!$L$5:$L$204,""),"")</f>
        <v/>
      </c>
      <c r="F898" s="8"/>
      <c r="G898" s="10" t="str">
        <f>SETTINGS!$B$8</f>
        <v>2026/2027</v>
      </c>
      <c r="H898" s="10">
        <f t="shared" si="53"/>
        <v>0</v>
      </c>
      <c r="I898" s="10">
        <f t="shared" si="54"/>
        <v>0</v>
      </c>
      <c r="J898" s="13" t="str">
        <f t="shared" si="55"/>
        <v/>
      </c>
    </row>
    <row r="899" spans="1:10" x14ac:dyDescent="0.2">
      <c r="A899" s="10" t="str">
        <f t="shared" si="52"/>
        <v/>
      </c>
      <c r="B899" s="9"/>
      <c r="C899" s="8"/>
      <c r="D899" s="10" t="str">
        <f ca="1">IFERROR(_xludf.XLOOKUP(C899,STUDENTS!$A$5:$A$204,STUDENTS!$C$5:$C$204,""),"")</f>
        <v/>
      </c>
      <c r="E899" s="10" t="str">
        <f ca="1">IFERROR(_xludf.XLOOKUP(C899,STUDENTS!$A$5:$A$204,STUDENTS!$L$5:$L$204,""),"")</f>
        <v/>
      </c>
      <c r="F899" s="8"/>
      <c r="G899" s="10" t="str">
        <f>SETTINGS!$B$8</f>
        <v>2026/2027</v>
      </c>
      <c r="H899" s="10">
        <f t="shared" si="53"/>
        <v>0</v>
      </c>
      <c r="I899" s="10">
        <f t="shared" si="54"/>
        <v>0</v>
      </c>
      <c r="J899" s="13" t="str">
        <f t="shared" si="55"/>
        <v/>
      </c>
    </row>
    <row r="900" spans="1:10" x14ac:dyDescent="0.2">
      <c r="A900" s="10" t="str">
        <f t="shared" si="52"/>
        <v/>
      </c>
      <c r="B900" s="9"/>
      <c r="C900" s="8"/>
      <c r="D900" s="10" t="str">
        <f ca="1">IFERROR(_xludf.XLOOKUP(C900,STUDENTS!$A$5:$A$204,STUDENTS!$C$5:$C$204,""),"")</f>
        <v/>
      </c>
      <c r="E900" s="10" t="str">
        <f ca="1">IFERROR(_xludf.XLOOKUP(C900,STUDENTS!$A$5:$A$204,STUDENTS!$L$5:$L$204,""),"")</f>
        <v/>
      </c>
      <c r="F900" s="8"/>
      <c r="G900" s="10" t="str">
        <f>SETTINGS!$B$8</f>
        <v>2026/2027</v>
      </c>
      <c r="H900" s="10">
        <f t="shared" si="53"/>
        <v>0</v>
      </c>
      <c r="I900" s="10">
        <f t="shared" si="54"/>
        <v>0</v>
      </c>
      <c r="J900" s="13" t="str">
        <f t="shared" si="55"/>
        <v/>
      </c>
    </row>
    <row r="901" spans="1:10" x14ac:dyDescent="0.2">
      <c r="A901" s="10" t="str">
        <f t="shared" ref="A901:A964" si="56">IF(C901="","","AT-"&amp;TEXT(ROW()-4,"00000"))</f>
        <v/>
      </c>
      <c r="B901" s="9"/>
      <c r="C901" s="8"/>
      <c r="D901" s="10" t="str">
        <f ca="1">IFERROR(_xludf.XLOOKUP(C901,STUDENTS!$A$5:$A$204,STUDENTS!$C$5:$C$204,""),"")</f>
        <v/>
      </c>
      <c r="E901" s="10" t="str">
        <f ca="1">IFERROR(_xludf.XLOOKUP(C901,STUDENTS!$A$5:$A$204,STUDENTS!$L$5:$L$204,""),"")</f>
        <v/>
      </c>
      <c r="F901" s="8"/>
      <c r="G901" s="10" t="str">
        <f>SETTINGS!$B$8</f>
        <v>2026/2027</v>
      </c>
      <c r="H901" s="10">
        <f t="shared" ref="H901:H964" si="57">IF(F901="Present",1,0)</f>
        <v>0</v>
      </c>
      <c r="I901" s="10">
        <f t="shared" ref="I901:I964" si="58">IF(F901="Absent",1,0)</f>
        <v>0</v>
      </c>
      <c r="J901" s="13" t="str">
        <f t="shared" ref="J901:J964" si="59">IF(OR(H901="",I901=""),"",IF(H901+I901=0,"",H901/(H901+I901)))</f>
        <v/>
      </c>
    </row>
    <row r="902" spans="1:10" x14ac:dyDescent="0.2">
      <c r="A902" s="10" t="str">
        <f t="shared" si="56"/>
        <v/>
      </c>
      <c r="B902" s="9"/>
      <c r="C902" s="8"/>
      <c r="D902" s="10" t="str">
        <f ca="1">IFERROR(_xludf.XLOOKUP(C902,STUDENTS!$A$5:$A$204,STUDENTS!$C$5:$C$204,""),"")</f>
        <v/>
      </c>
      <c r="E902" s="10" t="str">
        <f ca="1">IFERROR(_xludf.XLOOKUP(C902,STUDENTS!$A$5:$A$204,STUDENTS!$L$5:$L$204,""),"")</f>
        <v/>
      </c>
      <c r="F902" s="8"/>
      <c r="G902" s="10" t="str">
        <f>SETTINGS!$B$8</f>
        <v>2026/2027</v>
      </c>
      <c r="H902" s="10">
        <f t="shared" si="57"/>
        <v>0</v>
      </c>
      <c r="I902" s="10">
        <f t="shared" si="58"/>
        <v>0</v>
      </c>
      <c r="J902" s="13" t="str">
        <f t="shared" si="59"/>
        <v/>
      </c>
    </row>
    <row r="903" spans="1:10" x14ac:dyDescent="0.2">
      <c r="A903" s="10" t="str">
        <f t="shared" si="56"/>
        <v/>
      </c>
      <c r="B903" s="9"/>
      <c r="C903" s="8"/>
      <c r="D903" s="10" t="str">
        <f ca="1">IFERROR(_xludf.XLOOKUP(C903,STUDENTS!$A$5:$A$204,STUDENTS!$C$5:$C$204,""),"")</f>
        <v/>
      </c>
      <c r="E903" s="10" t="str">
        <f ca="1">IFERROR(_xludf.XLOOKUP(C903,STUDENTS!$A$5:$A$204,STUDENTS!$L$5:$L$204,""),"")</f>
        <v/>
      </c>
      <c r="F903" s="8"/>
      <c r="G903" s="10" t="str">
        <f>SETTINGS!$B$8</f>
        <v>2026/2027</v>
      </c>
      <c r="H903" s="10">
        <f t="shared" si="57"/>
        <v>0</v>
      </c>
      <c r="I903" s="10">
        <f t="shared" si="58"/>
        <v>0</v>
      </c>
      <c r="J903" s="13" t="str">
        <f t="shared" si="59"/>
        <v/>
      </c>
    </row>
    <row r="904" spans="1:10" x14ac:dyDescent="0.2">
      <c r="A904" s="10" t="str">
        <f t="shared" si="56"/>
        <v/>
      </c>
      <c r="B904" s="9"/>
      <c r="C904" s="8"/>
      <c r="D904" s="10" t="str">
        <f ca="1">IFERROR(_xludf.XLOOKUP(C904,STUDENTS!$A$5:$A$204,STUDENTS!$C$5:$C$204,""),"")</f>
        <v/>
      </c>
      <c r="E904" s="10" t="str">
        <f ca="1">IFERROR(_xludf.XLOOKUP(C904,STUDENTS!$A$5:$A$204,STUDENTS!$L$5:$L$204,""),"")</f>
        <v/>
      </c>
      <c r="F904" s="8"/>
      <c r="G904" s="10" t="str">
        <f>SETTINGS!$B$8</f>
        <v>2026/2027</v>
      </c>
      <c r="H904" s="10">
        <f t="shared" si="57"/>
        <v>0</v>
      </c>
      <c r="I904" s="10">
        <f t="shared" si="58"/>
        <v>0</v>
      </c>
      <c r="J904" s="13" t="str">
        <f t="shared" si="59"/>
        <v/>
      </c>
    </row>
    <row r="905" spans="1:10" x14ac:dyDescent="0.2">
      <c r="A905" s="10" t="str">
        <f t="shared" si="56"/>
        <v/>
      </c>
      <c r="B905" s="9"/>
      <c r="C905" s="8"/>
      <c r="D905" s="10" t="str">
        <f ca="1">IFERROR(_xludf.XLOOKUP(C905,STUDENTS!$A$5:$A$204,STUDENTS!$C$5:$C$204,""),"")</f>
        <v/>
      </c>
      <c r="E905" s="10" t="str">
        <f ca="1">IFERROR(_xludf.XLOOKUP(C905,STUDENTS!$A$5:$A$204,STUDENTS!$L$5:$L$204,""),"")</f>
        <v/>
      </c>
      <c r="F905" s="8"/>
      <c r="G905" s="10" t="str">
        <f>SETTINGS!$B$8</f>
        <v>2026/2027</v>
      </c>
      <c r="H905" s="10">
        <f t="shared" si="57"/>
        <v>0</v>
      </c>
      <c r="I905" s="10">
        <f t="shared" si="58"/>
        <v>0</v>
      </c>
      <c r="J905" s="13" t="str">
        <f t="shared" si="59"/>
        <v/>
      </c>
    </row>
    <row r="906" spans="1:10" x14ac:dyDescent="0.2">
      <c r="A906" s="10" t="str">
        <f t="shared" si="56"/>
        <v/>
      </c>
      <c r="B906" s="9"/>
      <c r="C906" s="8"/>
      <c r="D906" s="10" t="str">
        <f ca="1">IFERROR(_xludf.XLOOKUP(C906,STUDENTS!$A$5:$A$204,STUDENTS!$C$5:$C$204,""),"")</f>
        <v/>
      </c>
      <c r="E906" s="10" t="str">
        <f ca="1">IFERROR(_xludf.XLOOKUP(C906,STUDENTS!$A$5:$A$204,STUDENTS!$L$5:$L$204,""),"")</f>
        <v/>
      </c>
      <c r="F906" s="8"/>
      <c r="G906" s="10" t="str">
        <f>SETTINGS!$B$8</f>
        <v>2026/2027</v>
      </c>
      <c r="H906" s="10">
        <f t="shared" si="57"/>
        <v>0</v>
      </c>
      <c r="I906" s="10">
        <f t="shared" si="58"/>
        <v>0</v>
      </c>
      <c r="J906" s="13" t="str">
        <f t="shared" si="59"/>
        <v/>
      </c>
    </row>
    <row r="907" spans="1:10" x14ac:dyDescent="0.2">
      <c r="A907" s="10" t="str">
        <f t="shared" si="56"/>
        <v/>
      </c>
      <c r="B907" s="9"/>
      <c r="C907" s="8"/>
      <c r="D907" s="10" t="str">
        <f ca="1">IFERROR(_xludf.XLOOKUP(C907,STUDENTS!$A$5:$A$204,STUDENTS!$C$5:$C$204,""),"")</f>
        <v/>
      </c>
      <c r="E907" s="10" t="str">
        <f ca="1">IFERROR(_xludf.XLOOKUP(C907,STUDENTS!$A$5:$A$204,STUDENTS!$L$5:$L$204,""),"")</f>
        <v/>
      </c>
      <c r="F907" s="8"/>
      <c r="G907" s="10" t="str">
        <f>SETTINGS!$B$8</f>
        <v>2026/2027</v>
      </c>
      <c r="H907" s="10">
        <f t="shared" si="57"/>
        <v>0</v>
      </c>
      <c r="I907" s="10">
        <f t="shared" si="58"/>
        <v>0</v>
      </c>
      <c r="J907" s="13" t="str">
        <f t="shared" si="59"/>
        <v/>
      </c>
    </row>
    <row r="908" spans="1:10" x14ac:dyDescent="0.2">
      <c r="A908" s="10" t="str">
        <f t="shared" si="56"/>
        <v/>
      </c>
      <c r="B908" s="9"/>
      <c r="C908" s="8"/>
      <c r="D908" s="10" t="str">
        <f ca="1">IFERROR(_xludf.XLOOKUP(C908,STUDENTS!$A$5:$A$204,STUDENTS!$C$5:$C$204,""),"")</f>
        <v/>
      </c>
      <c r="E908" s="10" t="str">
        <f ca="1">IFERROR(_xludf.XLOOKUP(C908,STUDENTS!$A$5:$A$204,STUDENTS!$L$5:$L$204,""),"")</f>
        <v/>
      </c>
      <c r="F908" s="8"/>
      <c r="G908" s="10" t="str">
        <f>SETTINGS!$B$8</f>
        <v>2026/2027</v>
      </c>
      <c r="H908" s="10">
        <f t="shared" si="57"/>
        <v>0</v>
      </c>
      <c r="I908" s="10">
        <f t="shared" si="58"/>
        <v>0</v>
      </c>
      <c r="J908" s="13" t="str">
        <f t="shared" si="59"/>
        <v/>
      </c>
    </row>
    <row r="909" spans="1:10" x14ac:dyDescent="0.2">
      <c r="A909" s="10" t="str">
        <f t="shared" si="56"/>
        <v/>
      </c>
      <c r="B909" s="9"/>
      <c r="C909" s="8"/>
      <c r="D909" s="10" t="str">
        <f ca="1">IFERROR(_xludf.XLOOKUP(C909,STUDENTS!$A$5:$A$204,STUDENTS!$C$5:$C$204,""),"")</f>
        <v/>
      </c>
      <c r="E909" s="10" t="str">
        <f ca="1">IFERROR(_xludf.XLOOKUP(C909,STUDENTS!$A$5:$A$204,STUDENTS!$L$5:$L$204,""),"")</f>
        <v/>
      </c>
      <c r="F909" s="8"/>
      <c r="G909" s="10" t="str">
        <f>SETTINGS!$B$8</f>
        <v>2026/2027</v>
      </c>
      <c r="H909" s="10">
        <f t="shared" si="57"/>
        <v>0</v>
      </c>
      <c r="I909" s="10">
        <f t="shared" si="58"/>
        <v>0</v>
      </c>
      <c r="J909" s="13" t="str">
        <f t="shared" si="59"/>
        <v/>
      </c>
    </row>
    <row r="910" spans="1:10" x14ac:dyDescent="0.2">
      <c r="A910" s="10" t="str">
        <f t="shared" si="56"/>
        <v/>
      </c>
      <c r="B910" s="9"/>
      <c r="C910" s="8"/>
      <c r="D910" s="10" t="str">
        <f ca="1">IFERROR(_xludf.XLOOKUP(C910,STUDENTS!$A$5:$A$204,STUDENTS!$C$5:$C$204,""),"")</f>
        <v/>
      </c>
      <c r="E910" s="10" t="str">
        <f ca="1">IFERROR(_xludf.XLOOKUP(C910,STUDENTS!$A$5:$A$204,STUDENTS!$L$5:$L$204,""),"")</f>
        <v/>
      </c>
      <c r="F910" s="8"/>
      <c r="G910" s="10" t="str">
        <f>SETTINGS!$B$8</f>
        <v>2026/2027</v>
      </c>
      <c r="H910" s="10">
        <f t="shared" si="57"/>
        <v>0</v>
      </c>
      <c r="I910" s="10">
        <f t="shared" si="58"/>
        <v>0</v>
      </c>
      <c r="J910" s="13" t="str">
        <f t="shared" si="59"/>
        <v/>
      </c>
    </row>
    <row r="911" spans="1:10" x14ac:dyDescent="0.2">
      <c r="A911" s="10" t="str">
        <f t="shared" si="56"/>
        <v/>
      </c>
      <c r="B911" s="9"/>
      <c r="C911" s="8"/>
      <c r="D911" s="10" t="str">
        <f ca="1">IFERROR(_xludf.XLOOKUP(C911,STUDENTS!$A$5:$A$204,STUDENTS!$C$5:$C$204,""),"")</f>
        <v/>
      </c>
      <c r="E911" s="10" t="str">
        <f ca="1">IFERROR(_xludf.XLOOKUP(C911,STUDENTS!$A$5:$A$204,STUDENTS!$L$5:$L$204,""),"")</f>
        <v/>
      </c>
      <c r="F911" s="8"/>
      <c r="G911" s="10" t="str">
        <f>SETTINGS!$B$8</f>
        <v>2026/2027</v>
      </c>
      <c r="H911" s="10">
        <f t="shared" si="57"/>
        <v>0</v>
      </c>
      <c r="I911" s="10">
        <f t="shared" si="58"/>
        <v>0</v>
      </c>
      <c r="J911" s="13" t="str">
        <f t="shared" si="59"/>
        <v/>
      </c>
    </row>
    <row r="912" spans="1:10" x14ac:dyDescent="0.2">
      <c r="A912" s="10" t="str">
        <f t="shared" si="56"/>
        <v/>
      </c>
      <c r="B912" s="9"/>
      <c r="C912" s="8"/>
      <c r="D912" s="10" t="str">
        <f ca="1">IFERROR(_xludf.XLOOKUP(C912,STUDENTS!$A$5:$A$204,STUDENTS!$C$5:$C$204,""),"")</f>
        <v/>
      </c>
      <c r="E912" s="10" t="str">
        <f ca="1">IFERROR(_xludf.XLOOKUP(C912,STUDENTS!$A$5:$A$204,STUDENTS!$L$5:$L$204,""),"")</f>
        <v/>
      </c>
      <c r="F912" s="8"/>
      <c r="G912" s="10" t="str">
        <f>SETTINGS!$B$8</f>
        <v>2026/2027</v>
      </c>
      <c r="H912" s="10">
        <f t="shared" si="57"/>
        <v>0</v>
      </c>
      <c r="I912" s="10">
        <f t="shared" si="58"/>
        <v>0</v>
      </c>
      <c r="J912" s="13" t="str">
        <f t="shared" si="59"/>
        <v/>
      </c>
    </row>
    <row r="913" spans="1:10" x14ac:dyDescent="0.2">
      <c r="A913" s="10" t="str">
        <f t="shared" si="56"/>
        <v/>
      </c>
      <c r="B913" s="9"/>
      <c r="C913" s="8"/>
      <c r="D913" s="10" t="str">
        <f ca="1">IFERROR(_xludf.XLOOKUP(C913,STUDENTS!$A$5:$A$204,STUDENTS!$C$5:$C$204,""),"")</f>
        <v/>
      </c>
      <c r="E913" s="10" t="str">
        <f ca="1">IFERROR(_xludf.XLOOKUP(C913,STUDENTS!$A$5:$A$204,STUDENTS!$L$5:$L$204,""),"")</f>
        <v/>
      </c>
      <c r="F913" s="8"/>
      <c r="G913" s="10" t="str">
        <f>SETTINGS!$B$8</f>
        <v>2026/2027</v>
      </c>
      <c r="H913" s="10">
        <f t="shared" si="57"/>
        <v>0</v>
      </c>
      <c r="I913" s="10">
        <f t="shared" si="58"/>
        <v>0</v>
      </c>
      <c r="J913" s="13" t="str">
        <f t="shared" si="59"/>
        <v/>
      </c>
    </row>
    <row r="914" spans="1:10" x14ac:dyDescent="0.2">
      <c r="A914" s="10" t="str">
        <f t="shared" si="56"/>
        <v/>
      </c>
      <c r="B914" s="9"/>
      <c r="C914" s="8"/>
      <c r="D914" s="10" t="str">
        <f ca="1">IFERROR(_xludf.XLOOKUP(C914,STUDENTS!$A$5:$A$204,STUDENTS!$C$5:$C$204,""),"")</f>
        <v/>
      </c>
      <c r="E914" s="10" t="str">
        <f ca="1">IFERROR(_xludf.XLOOKUP(C914,STUDENTS!$A$5:$A$204,STUDENTS!$L$5:$L$204,""),"")</f>
        <v/>
      </c>
      <c r="F914" s="8"/>
      <c r="G914" s="10" t="str">
        <f>SETTINGS!$B$8</f>
        <v>2026/2027</v>
      </c>
      <c r="H914" s="10">
        <f t="shared" si="57"/>
        <v>0</v>
      </c>
      <c r="I914" s="10">
        <f t="shared" si="58"/>
        <v>0</v>
      </c>
      <c r="J914" s="13" t="str">
        <f t="shared" si="59"/>
        <v/>
      </c>
    </row>
    <row r="915" spans="1:10" x14ac:dyDescent="0.2">
      <c r="A915" s="10" t="str">
        <f t="shared" si="56"/>
        <v/>
      </c>
      <c r="B915" s="9"/>
      <c r="C915" s="8"/>
      <c r="D915" s="10" t="str">
        <f ca="1">IFERROR(_xludf.XLOOKUP(C915,STUDENTS!$A$5:$A$204,STUDENTS!$C$5:$C$204,""),"")</f>
        <v/>
      </c>
      <c r="E915" s="10" t="str">
        <f ca="1">IFERROR(_xludf.XLOOKUP(C915,STUDENTS!$A$5:$A$204,STUDENTS!$L$5:$L$204,""),"")</f>
        <v/>
      </c>
      <c r="F915" s="8"/>
      <c r="G915" s="10" t="str">
        <f>SETTINGS!$B$8</f>
        <v>2026/2027</v>
      </c>
      <c r="H915" s="10">
        <f t="shared" si="57"/>
        <v>0</v>
      </c>
      <c r="I915" s="10">
        <f t="shared" si="58"/>
        <v>0</v>
      </c>
      <c r="J915" s="13" t="str">
        <f t="shared" si="59"/>
        <v/>
      </c>
    </row>
    <row r="916" spans="1:10" x14ac:dyDescent="0.2">
      <c r="A916" s="10" t="str">
        <f t="shared" si="56"/>
        <v/>
      </c>
      <c r="B916" s="9"/>
      <c r="C916" s="8"/>
      <c r="D916" s="10" t="str">
        <f ca="1">IFERROR(_xludf.XLOOKUP(C916,STUDENTS!$A$5:$A$204,STUDENTS!$C$5:$C$204,""),"")</f>
        <v/>
      </c>
      <c r="E916" s="10" t="str">
        <f ca="1">IFERROR(_xludf.XLOOKUP(C916,STUDENTS!$A$5:$A$204,STUDENTS!$L$5:$L$204,""),"")</f>
        <v/>
      </c>
      <c r="F916" s="8"/>
      <c r="G916" s="10" t="str">
        <f>SETTINGS!$B$8</f>
        <v>2026/2027</v>
      </c>
      <c r="H916" s="10">
        <f t="shared" si="57"/>
        <v>0</v>
      </c>
      <c r="I916" s="10">
        <f t="shared" si="58"/>
        <v>0</v>
      </c>
      <c r="J916" s="13" t="str">
        <f t="shared" si="59"/>
        <v/>
      </c>
    </row>
    <row r="917" spans="1:10" x14ac:dyDescent="0.2">
      <c r="A917" s="10" t="str">
        <f t="shared" si="56"/>
        <v/>
      </c>
      <c r="B917" s="9"/>
      <c r="C917" s="8"/>
      <c r="D917" s="10" t="str">
        <f ca="1">IFERROR(_xludf.XLOOKUP(C917,STUDENTS!$A$5:$A$204,STUDENTS!$C$5:$C$204,""),"")</f>
        <v/>
      </c>
      <c r="E917" s="10" t="str">
        <f ca="1">IFERROR(_xludf.XLOOKUP(C917,STUDENTS!$A$5:$A$204,STUDENTS!$L$5:$L$204,""),"")</f>
        <v/>
      </c>
      <c r="F917" s="8"/>
      <c r="G917" s="10" t="str">
        <f>SETTINGS!$B$8</f>
        <v>2026/2027</v>
      </c>
      <c r="H917" s="10">
        <f t="shared" si="57"/>
        <v>0</v>
      </c>
      <c r="I917" s="10">
        <f t="shared" si="58"/>
        <v>0</v>
      </c>
      <c r="J917" s="13" t="str">
        <f t="shared" si="59"/>
        <v/>
      </c>
    </row>
    <row r="918" spans="1:10" x14ac:dyDescent="0.2">
      <c r="A918" s="10" t="str">
        <f t="shared" si="56"/>
        <v/>
      </c>
      <c r="B918" s="9"/>
      <c r="C918" s="8"/>
      <c r="D918" s="10" t="str">
        <f ca="1">IFERROR(_xludf.XLOOKUP(C918,STUDENTS!$A$5:$A$204,STUDENTS!$C$5:$C$204,""),"")</f>
        <v/>
      </c>
      <c r="E918" s="10" t="str">
        <f ca="1">IFERROR(_xludf.XLOOKUP(C918,STUDENTS!$A$5:$A$204,STUDENTS!$L$5:$L$204,""),"")</f>
        <v/>
      </c>
      <c r="F918" s="8"/>
      <c r="G918" s="10" t="str">
        <f>SETTINGS!$B$8</f>
        <v>2026/2027</v>
      </c>
      <c r="H918" s="10">
        <f t="shared" si="57"/>
        <v>0</v>
      </c>
      <c r="I918" s="10">
        <f t="shared" si="58"/>
        <v>0</v>
      </c>
      <c r="J918" s="13" t="str">
        <f t="shared" si="59"/>
        <v/>
      </c>
    </row>
    <row r="919" spans="1:10" x14ac:dyDescent="0.2">
      <c r="A919" s="10" t="str">
        <f t="shared" si="56"/>
        <v/>
      </c>
      <c r="B919" s="9"/>
      <c r="C919" s="8"/>
      <c r="D919" s="10" t="str">
        <f ca="1">IFERROR(_xludf.XLOOKUP(C919,STUDENTS!$A$5:$A$204,STUDENTS!$C$5:$C$204,""),"")</f>
        <v/>
      </c>
      <c r="E919" s="10" t="str">
        <f ca="1">IFERROR(_xludf.XLOOKUP(C919,STUDENTS!$A$5:$A$204,STUDENTS!$L$5:$L$204,""),"")</f>
        <v/>
      </c>
      <c r="F919" s="8"/>
      <c r="G919" s="10" t="str">
        <f>SETTINGS!$B$8</f>
        <v>2026/2027</v>
      </c>
      <c r="H919" s="10">
        <f t="shared" si="57"/>
        <v>0</v>
      </c>
      <c r="I919" s="10">
        <f t="shared" si="58"/>
        <v>0</v>
      </c>
      <c r="J919" s="13" t="str">
        <f t="shared" si="59"/>
        <v/>
      </c>
    </row>
    <row r="920" spans="1:10" x14ac:dyDescent="0.2">
      <c r="A920" s="10" t="str">
        <f t="shared" si="56"/>
        <v/>
      </c>
      <c r="B920" s="9"/>
      <c r="C920" s="8"/>
      <c r="D920" s="10" t="str">
        <f ca="1">IFERROR(_xludf.XLOOKUP(C920,STUDENTS!$A$5:$A$204,STUDENTS!$C$5:$C$204,""),"")</f>
        <v/>
      </c>
      <c r="E920" s="10" t="str">
        <f ca="1">IFERROR(_xludf.XLOOKUP(C920,STUDENTS!$A$5:$A$204,STUDENTS!$L$5:$L$204,""),"")</f>
        <v/>
      </c>
      <c r="F920" s="8"/>
      <c r="G920" s="10" t="str">
        <f>SETTINGS!$B$8</f>
        <v>2026/2027</v>
      </c>
      <c r="H920" s="10">
        <f t="shared" si="57"/>
        <v>0</v>
      </c>
      <c r="I920" s="10">
        <f t="shared" si="58"/>
        <v>0</v>
      </c>
      <c r="J920" s="13" t="str">
        <f t="shared" si="59"/>
        <v/>
      </c>
    </row>
    <row r="921" spans="1:10" x14ac:dyDescent="0.2">
      <c r="A921" s="10" t="str">
        <f t="shared" si="56"/>
        <v/>
      </c>
      <c r="B921" s="9"/>
      <c r="C921" s="8"/>
      <c r="D921" s="10" t="str">
        <f ca="1">IFERROR(_xludf.XLOOKUP(C921,STUDENTS!$A$5:$A$204,STUDENTS!$C$5:$C$204,""),"")</f>
        <v/>
      </c>
      <c r="E921" s="10" t="str">
        <f ca="1">IFERROR(_xludf.XLOOKUP(C921,STUDENTS!$A$5:$A$204,STUDENTS!$L$5:$L$204,""),"")</f>
        <v/>
      </c>
      <c r="F921" s="8"/>
      <c r="G921" s="10" t="str">
        <f>SETTINGS!$B$8</f>
        <v>2026/2027</v>
      </c>
      <c r="H921" s="10">
        <f t="shared" si="57"/>
        <v>0</v>
      </c>
      <c r="I921" s="10">
        <f t="shared" si="58"/>
        <v>0</v>
      </c>
      <c r="J921" s="13" t="str">
        <f t="shared" si="59"/>
        <v/>
      </c>
    </row>
    <row r="922" spans="1:10" x14ac:dyDescent="0.2">
      <c r="A922" s="10" t="str">
        <f t="shared" si="56"/>
        <v/>
      </c>
      <c r="B922" s="9"/>
      <c r="C922" s="8"/>
      <c r="D922" s="10" t="str">
        <f ca="1">IFERROR(_xludf.XLOOKUP(C922,STUDENTS!$A$5:$A$204,STUDENTS!$C$5:$C$204,""),"")</f>
        <v/>
      </c>
      <c r="E922" s="10" t="str">
        <f ca="1">IFERROR(_xludf.XLOOKUP(C922,STUDENTS!$A$5:$A$204,STUDENTS!$L$5:$L$204,""),"")</f>
        <v/>
      </c>
      <c r="F922" s="8"/>
      <c r="G922" s="10" t="str">
        <f>SETTINGS!$B$8</f>
        <v>2026/2027</v>
      </c>
      <c r="H922" s="10">
        <f t="shared" si="57"/>
        <v>0</v>
      </c>
      <c r="I922" s="10">
        <f t="shared" si="58"/>
        <v>0</v>
      </c>
      <c r="J922" s="13" t="str">
        <f t="shared" si="59"/>
        <v/>
      </c>
    </row>
    <row r="923" spans="1:10" x14ac:dyDescent="0.2">
      <c r="A923" s="10" t="str">
        <f t="shared" si="56"/>
        <v/>
      </c>
      <c r="B923" s="9"/>
      <c r="C923" s="8"/>
      <c r="D923" s="10" t="str">
        <f ca="1">IFERROR(_xludf.XLOOKUP(C923,STUDENTS!$A$5:$A$204,STUDENTS!$C$5:$C$204,""),"")</f>
        <v/>
      </c>
      <c r="E923" s="10" t="str">
        <f ca="1">IFERROR(_xludf.XLOOKUP(C923,STUDENTS!$A$5:$A$204,STUDENTS!$L$5:$L$204,""),"")</f>
        <v/>
      </c>
      <c r="F923" s="8"/>
      <c r="G923" s="10" t="str">
        <f>SETTINGS!$B$8</f>
        <v>2026/2027</v>
      </c>
      <c r="H923" s="10">
        <f t="shared" si="57"/>
        <v>0</v>
      </c>
      <c r="I923" s="10">
        <f t="shared" si="58"/>
        <v>0</v>
      </c>
      <c r="J923" s="13" t="str">
        <f t="shared" si="59"/>
        <v/>
      </c>
    </row>
    <row r="924" spans="1:10" x14ac:dyDescent="0.2">
      <c r="A924" s="10" t="str">
        <f t="shared" si="56"/>
        <v/>
      </c>
      <c r="B924" s="9"/>
      <c r="C924" s="8"/>
      <c r="D924" s="10" t="str">
        <f ca="1">IFERROR(_xludf.XLOOKUP(C924,STUDENTS!$A$5:$A$204,STUDENTS!$C$5:$C$204,""),"")</f>
        <v/>
      </c>
      <c r="E924" s="10" t="str">
        <f ca="1">IFERROR(_xludf.XLOOKUP(C924,STUDENTS!$A$5:$A$204,STUDENTS!$L$5:$L$204,""),"")</f>
        <v/>
      </c>
      <c r="F924" s="8"/>
      <c r="G924" s="10" t="str">
        <f>SETTINGS!$B$8</f>
        <v>2026/2027</v>
      </c>
      <c r="H924" s="10">
        <f t="shared" si="57"/>
        <v>0</v>
      </c>
      <c r="I924" s="10">
        <f t="shared" si="58"/>
        <v>0</v>
      </c>
      <c r="J924" s="13" t="str">
        <f t="shared" si="59"/>
        <v/>
      </c>
    </row>
    <row r="925" spans="1:10" x14ac:dyDescent="0.2">
      <c r="A925" s="10" t="str">
        <f t="shared" si="56"/>
        <v/>
      </c>
      <c r="B925" s="9"/>
      <c r="C925" s="8"/>
      <c r="D925" s="10" t="str">
        <f ca="1">IFERROR(_xludf.XLOOKUP(C925,STUDENTS!$A$5:$A$204,STUDENTS!$C$5:$C$204,""),"")</f>
        <v/>
      </c>
      <c r="E925" s="10" t="str">
        <f ca="1">IFERROR(_xludf.XLOOKUP(C925,STUDENTS!$A$5:$A$204,STUDENTS!$L$5:$L$204,""),"")</f>
        <v/>
      </c>
      <c r="F925" s="8"/>
      <c r="G925" s="10" t="str">
        <f>SETTINGS!$B$8</f>
        <v>2026/2027</v>
      </c>
      <c r="H925" s="10">
        <f t="shared" si="57"/>
        <v>0</v>
      </c>
      <c r="I925" s="10">
        <f t="shared" si="58"/>
        <v>0</v>
      </c>
      <c r="J925" s="13" t="str">
        <f t="shared" si="59"/>
        <v/>
      </c>
    </row>
    <row r="926" spans="1:10" x14ac:dyDescent="0.2">
      <c r="A926" s="10" t="str">
        <f t="shared" si="56"/>
        <v/>
      </c>
      <c r="B926" s="9"/>
      <c r="C926" s="8"/>
      <c r="D926" s="10" t="str">
        <f ca="1">IFERROR(_xludf.XLOOKUP(C926,STUDENTS!$A$5:$A$204,STUDENTS!$C$5:$C$204,""),"")</f>
        <v/>
      </c>
      <c r="E926" s="10" t="str">
        <f ca="1">IFERROR(_xludf.XLOOKUP(C926,STUDENTS!$A$5:$A$204,STUDENTS!$L$5:$L$204,""),"")</f>
        <v/>
      </c>
      <c r="F926" s="8"/>
      <c r="G926" s="10" t="str">
        <f>SETTINGS!$B$8</f>
        <v>2026/2027</v>
      </c>
      <c r="H926" s="10">
        <f t="shared" si="57"/>
        <v>0</v>
      </c>
      <c r="I926" s="10">
        <f t="shared" si="58"/>
        <v>0</v>
      </c>
      <c r="J926" s="13" t="str">
        <f t="shared" si="59"/>
        <v/>
      </c>
    </row>
    <row r="927" spans="1:10" x14ac:dyDescent="0.2">
      <c r="A927" s="10" t="str">
        <f t="shared" si="56"/>
        <v/>
      </c>
      <c r="B927" s="9"/>
      <c r="C927" s="8"/>
      <c r="D927" s="10" t="str">
        <f ca="1">IFERROR(_xludf.XLOOKUP(C927,STUDENTS!$A$5:$A$204,STUDENTS!$C$5:$C$204,""),"")</f>
        <v/>
      </c>
      <c r="E927" s="10" t="str">
        <f ca="1">IFERROR(_xludf.XLOOKUP(C927,STUDENTS!$A$5:$A$204,STUDENTS!$L$5:$L$204,""),"")</f>
        <v/>
      </c>
      <c r="F927" s="8"/>
      <c r="G927" s="10" t="str">
        <f>SETTINGS!$B$8</f>
        <v>2026/2027</v>
      </c>
      <c r="H927" s="10">
        <f t="shared" si="57"/>
        <v>0</v>
      </c>
      <c r="I927" s="10">
        <f t="shared" si="58"/>
        <v>0</v>
      </c>
      <c r="J927" s="13" t="str">
        <f t="shared" si="59"/>
        <v/>
      </c>
    </row>
    <row r="928" spans="1:10" x14ac:dyDescent="0.2">
      <c r="A928" s="10" t="str">
        <f t="shared" si="56"/>
        <v/>
      </c>
      <c r="B928" s="9"/>
      <c r="C928" s="8"/>
      <c r="D928" s="10" t="str">
        <f ca="1">IFERROR(_xludf.XLOOKUP(C928,STUDENTS!$A$5:$A$204,STUDENTS!$C$5:$C$204,""),"")</f>
        <v/>
      </c>
      <c r="E928" s="10" t="str">
        <f ca="1">IFERROR(_xludf.XLOOKUP(C928,STUDENTS!$A$5:$A$204,STUDENTS!$L$5:$L$204,""),"")</f>
        <v/>
      </c>
      <c r="F928" s="8"/>
      <c r="G928" s="10" t="str">
        <f>SETTINGS!$B$8</f>
        <v>2026/2027</v>
      </c>
      <c r="H928" s="10">
        <f t="shared" si="57"/>
        <v>0</v>
      </c>
      <c r="I928" s="10">
        <f t="shared" si="58"/>
        <v>0</v>
      </c>
      <c r="J928" s="13" t="str">
        <f t="shared" si="59"/>
        <v/>
      </c>
    </row>
    <row r="929" spans="1:10" x14ac:dyDescent="0.2">
      <c r="A929" s="10" t="str">
        <f t="shared" si="56"/>
        <v/>
      </c>
      <c r="B929" s="9"/>
      <c r="C929" s="8"/>
      <c r="D929" s="10" t="str">
        <f ca="1">IFERROR(_xludf.XLOOKUP(C929,STUDENTS!$A$5:$A$204,STUDENTS!$C$5:$C$204,""),"")</f>
        <v/>
      </c>
      <c r="E929" s="10" t="str">
        <f ca="1">IFERROR(_xludf.XLOOKUP(C929,STUDENTS!$A$5:$A$204,STUDENTS!$L$5:$L$204,""),"")</f>
        <v/>
      </c>
      <c r="F929" s="8"/>
      <c r="G929" s="10" t="str">
        <f>SETTINGS!$B$8</f>
        <v>2026/2027</v>
      </c>
      <c r="H929" s="10">
        <f t="shared" si="57"/>
        <v>0</v>
      </c>
      <c r="I929" s="10">
        <f t="shared" si="58"/>
        <v>0</v>
      </c>
      <c r="J929" s="13" t="str">
        <f t="shared" si="59"/>
        <v/>
      </c>
    </row>
    <row r="930" spans="1:10" x14ac:dyDescent="0.2">
      <c r="A930" s="10" t="str">
        <f t="shared" si="56"/>
        <v/>
      </c>
      <c r="B930" s="9"/>
      <c r="C930" s="8"/>
      <c r="D930" s="10" t="str">
        <f ca="1">IFERROR(_xludf.XLOOKUP(C930,STUDENTS!$A$5:$A$204,STUDENTS!$C$5:$C$204,""),"")</f>
        <v/>
      </c>
      <c r="E930" s="10" t="str">
        <f ca="1">IFERROR(_xludf.XLOOKUP(C930,STUDENTS!$A$5:$A$204,STUDENTS!$L$5:$L$204,""),"")</f>
        <v/>
      </c>
      <c r="F930" s="8"/>
      <c r="G930" s="10" t="str">
        <f>SETTINGS!$B$8</f>
        <v>2026/2027</v>
      </c>
      <c r="H930" s="10">
        <f t="shared" si="57"/>
        <v>0</v>
      </c>
      <c r="I930" s="10">
        <f t="shared" si="58"/>
        <v>0</v>
      </c>
      <c r="J930" s="13" t="str">
        <f t="shared" si="59"/>
        <v/>
      </c>
    </row>
    <row r="931" spans="1:10" x14ac:dyDescent="0.2">
      <c r="A931" s="10" t="str">
        <f t="shared" si="56"/>
        <v/>
      </c>
      <c r="B931" s="9"/>
      <c r="C931" s="8"/>
      <c r="D931" s="10" t="str">
        <f ca="1">IFERROR(_xludf.XLOOKUP(C931,STUDENTS!$A$5:$A$204,STUDENTS!$C$5:$C$204,""),"")</f>
        <v/>
      </c>
      <c r="E931" s="10" t="str">
        <f ca="1">IFERROR(_xludf.XLOOKUP(C931,STUDENTS!$A$5:$A$204,STUDENTS!$L$5:$L$204,""),"")</f>
        <v/>
      </c>
      <c r="F931" s="8"/>
      <c r="G931" s="10" t="str">
        <f>SETTINGS!$B$8</f>
        <v>2026/2027</v>
      </c>
      <c r="H931" s="10">
        <f t="shared" si="57"/>
        <v>0</v>
      </c>
      <c r="I931" s="10">
        <f t="shared" si="58"/>
        <v>0</v>
      </c>
      <c r="J931" s="13" t="str">
        <f t="shared" si="59"/>
        <v/>
      </c>
    </row>
    <row r="932" spans="1:10" x14ac:dyDescent="0.2">
      <c r="A932" s="10" t="str">
        <f t="shared" si="56"/>
        <v/>
      </c>
      <c r="B932" s="9"/>
      <c r="C932" s="8"/>
      <c r="D932" s="10" t="str">
        <f ca="1">IFERROR(_xludf.XLOOKUP(C932,STUDENTS!$A$5:$A$204,STUDENTS!$C$5:$C$204,""),"")</f>
        <v/>
      </c>
      <c r="E932" s="10" t="str">
        <f ca="1">IFERROR(_xludf.XLOOKUP(C932,STUDENTS!$A$5:$A$204,STUDENTS!$L$5:$L$204,""),"")</f>
        <v/>
      </c>
      <c r="F932" s="8"/>
      <c r="G932" s="10" t="str">
        <f>SETTINGS!$B$8</f>
        <v>2026/2027</v>
      </c>
      <c r="H932" s="10">
        <f t="shared" si="57"/>
        <v>0</v>
      </c>
      <c r="I932" s="10">
        <f t="shared" si="58"/>
        <v>0</v>
      </c>
      <c r="J932" s="13" t="str">
        <f t="shared" si="59"/>
        <v/>
      </c>
    </row>
    <row r="933" spans="1:10" x14ac:dyDescent="0.2">
      <c r="A933" s="10" t="str">
        <f t="shared" si="56"/>
        <v/>
      </c>
      <c r="B933" s="9"/>
      <c r="C933" s="8"/>
      <c r="D933" s="10" t="str">
        <f ca="1">IFERROR(_xludf.XLOOKUP(C933,STUDENTS!$A$5:$A$204,STUDENTS!$C$5:$C$204,""),"")</f>
        <v/>
      </c>
      <c r="E933" s="10" t="str">
        <f ca="1">IFERROR(_xludf.XLOOKUP(C933,STUDENTS!$A$5:$A$204,STUDENTS!$L$5:$L$204,""),"")</f>
        <v/>
      </c>
      <c r="F933" s="8"/>
      <c r="G933" s="10" t="str">
        <f>SETTINGS!$B$8</f>
        <v>2026/2027</v>
      </c>
      <c r="H933" s="10">
        <f t="shared" si="57"/>
        <v>0</v>
      </c>
      <c r="I933" s="10">
        <f t="shared" si="58"/>
        <v>0</v>
      </c>
      <c r="J933" s="13" t="str">
        <f t="shared" si="59"/>
        <v/>
      </c>
    </row>
    <row r="934" spans="1:10" x14ac:dyDescent="0.2">
      <c r="A934" s="10" t="str">
        <f t="shared" si="56"/>
        <v/>
      </c>
      <c r="B934" s="9"/>
      <c r="C934" s="8"/>
      <c r="D934" s="10" t="str">
        <f ca="1">IFERROR(_xludf.XLOOKUP(C934,STUDENTS!$A$5:$A$204,STUDENTS!$C$5:$C$204,""),"")</f>
        <v/>
      </c>
      <c r="E934" s="10" t="str">
        <f ca="1">IFERROR(_xludf.XLOOKUP(C934,STUDENTS!$A$5:$A$204,STUDENTS!$L$5:$L$204,""),"")</f>
        <v/>
      </c>
      <c r="F934" s="8"/>
      <c r="G934" s="10" t="str">
        <f>SETTINGS!$B$8</f>
        <v>2026/2027</v>
      </c>
      <c r="H934" s="10">
        <f t="shared" si="57"/>
        <v>0</v>
      </c>
      <c r="I934" s="10">
        <f t="shared" si="58"/>
        <v>0</v>
      </c>
      <c r="J934" s="13" t="str">
        <f t="shared" si="59"/>
        <v/>
      </c>
    </row>
    <row r="935" spans="1:10" x14ac:dyDescent="0.2">
      <c r="A935" s="10" t="str">
        <f t="shared" si="56"/>
        <v/>
      </c>
      <c r="B935" s="9"/>
      <c r="C935" s="8"/>
      <c r="D935" s="10" t="str">
        <f ca="1">IFERROR(_xludf.XLOOKUP(C935,STUDENTS!$A$5:$A$204,STUDENTS!$C$5:$C$204,""),"")</f>
        <v/>
      </c>
      <c r="E935" s="10" t="str">
        <f ca="1">IFERROR(_xludf.XLOOKUP(C935,STUDENTS!$A$5:$A$204,STUDENTS!$L$5:$L$204,""),"")</f>
        <v/>
      </c>
      <c r="F935" s="8"/>
      <c r="G935" s="10" t="str">
        <f>SETTINGS!$B$8</f>
        <v>2026/2027</v>
      </c>
      <c r="H935" s="10">
        <f t="shared" si="57"/>
        <v>0</v>
      </c>
      <c r="I935" s="10">
        <f t="shared" si="58"/>
        <v>0</v>
      </c>
      <c r="J935" s="13" t="str">
        <f t="shared" si="59"/>
        <v/>
      </c>
    </row>
    <row r="936" spans="1:10" x14ac:dyDescent="0.2">
      <c r="A936" s="10" t="str">
        <f t="shared" si="56"/>
        <v/>
      </c>
      <c r="B936" s="9"/>
      <c r="C936" s="8"/>
      <c r="D936" s="10" t="str">
        <f ca="1">IFERROR(_xludf.XLOOKUP(C936,STUDENTS!$A$5:$A$204,STUDENTS!$C$5:$C$204,""),"")</f>
        <v/>
      </c>
      <c r="E936" s="10" t="str">
        <f ca="1">IFERROR(_xludf.XLOOKUP(C936,STUDENTS!$A$5:$A$204,STUDENTS!$L$5:$L$204,""),"")</f>
        <v/>
      </c>
      <c r="F936" s="8"/>
      <c r="G936" s="10" t="str">
        <f>SETTINGS!$B$8</f>
        <v>2026/2027</v>
      </c>
      <c r="H936" s="10">
        <f t="shared" si="57"/>
        <v>0</v>
      </c>
      <c r="I936" s="10">
        <f t="shared" si="58"/>
        <v>0</v>
      </c>
      <c r="J936" s="13" t="str">
        <f t="shared" si="59"/>
        <v/>
      </c>
    </row>
    <row r="937" spans="1:10" x14ac:dyDescent="0.2">
      <c r="A937" s="10" t="str">
        <f t="shared" si="56"/>
        <v/>
      </c>
      <c r="B937" s="9"/>
      <c r="C937" s="8"/>
      <c r="D937" s="10" t="str">
        <f ca="1">IFERROR(_xludf.XLOOKUP(C937,STUDENTS!$A$5:$A$204,STUDENTS!$C$5:$C$204,""),"")</f>
        <v/>
      </c>
      <c r="E937" s="10" t="str">
        <f ca="1">IFERROR(_xludf.XLOOKUP(C937,STUDENTS!$A$5:$A$204,STUDENTS!$L$5:$L$204,""),"")</f>
        <v/>
      </c>
      <c r="F937" s="8"/>
      <c r="G937" s="10" t="str">
        <f>SETTINGS!$B$8</f>
        <v>2026/2027</v>
      </c>
      <c r="H937" s="10">
        <f t="shared" si="57"/>
        <v>0</v>
      </c>
      <c r="I937" s="10">
        <f t="shared" si="58"/>
        <v>0</v>
      </c>
      <c r="J937" s="13" t="str">
        <f t="shared" si="59"/>
        <v/>
      </c>
    </row>
    <row r="938" spans="1:10" x14ac:dyDescent="0.2">
      <c r="A938" s="10" t="str">
        <f t="shared" si="56"/>
        <v/>
      </c>
      <c r="B938" s="9"/>
      <c r="C938" s="8"/>
      <c r="D938" s="10" t="str">
        <f ca="1">IFERROR(_xludf.XLOOKUP(C938,STUDENTS!$A$5:$A$204,STUDENTS!$C$5:$C$204,""),"")</f>
        <v/>
      </c>
      <c r="E938" s="10" t="str">
        <f ca="1">IFERROR(_xludf.XLOOKUP(C938,STUDENTS!$A$5:$A$204,STUDENTS!$L$5:$L$204,""),"")</f>
        <v/>
      </c>
      <c r="F938" s="8"/>
      <c r="G938" s="10" t="str">
        <f>SETTINGS!$B$8</f>
        <v>2026/2027</v>
      </c>
      <c r="H938" s="10">
        <f t="shared" si="57"/>
        <v>0</v>
      </c>
      <c r="I938" s="10">
        <f t="shared" si="58"/>
        <v>0</v>
      </c>
      <c r="J938" s="13" t="str">
        <f t="shared" si="59"/>
        <v/>
      </c>
    </row>
    <row r="939" spans="1:10" x14ac:dyDescent="0.2">
      <c r="A939" s="10" t="str">
        <f t="shared" si="56"/>
        <v/>
      </c>
      <c r="B939" s="9"/>
      <c r="C939" s="8"/>
      <c r="D939" s="10" t="str">
        <f ca="1">IFERROR(_xludf.XLOOKUP(C939,STUDENTS!$A$5:$A$204,STUDENTS!$C$5:$C$204,""),"")</f>
        <v/>
      </c>
      <c r="E939" s="10" t="str">
        <f ca="1">IFERROR(_xludf.XLOOKUP(C939,STUDENTS!$A$5:$A$204,STUDENTS!$L$5:$L$204,""),"")</f>
        <v/>
      </c>
      <c r="F939" s="8"/>
      <c r="G939" s="10" t="str">
        <f>SETTINGS!$B$8</f>
        <v>2026/2027</v>
      </c>
      <c r="H939" s="10">
        <f t="shared" si="57"/>
        <v>0</v>
      </c>
      <c r="I939" s="10">
        <f t="shared" si="58"/>
        <v>0</v>
      </c>
      <c r="J939" s="13" t="str">
        <f t="shared" si="59"/>
        <v/>
      </c>
    </row>
    <row r="940" spans="1:10" x14ac:dyDescent="0.2">
      <c r="A940" s="10" t="str">
        <f t="shared" si="56"/>
        <v/>
      </c>
      <c r="B940" s="9"/>
      <c r="C940" s="8"/>
      <c r="D940" s="10" t="str">
        <f ca="1">IFERROR(_xludf.XLOOKUP(C940,STUDENTS!$A$5:$A$204,STUDENTS!$C$5:$C$204,""),"")</f>
        <v/>
      </c>
      <c r="E940" s="10" t="str">
        <f ca="1">IFERROR(_xludf.XLOOKUP(C940,STUDENTS!$A$5:$A$204,STUDENTS!$L$5:$L$204,""),"")</f>
        <v/>
      </c>
      <c r="F940" s="8"/>
      <c r="G940" s="10" t="str">
        <f>SETTINGS!$B$8</f>
        <v>2026/2027</v>
      </c>
      <c r="H940" s="10">
        <f t="shared" si="57"/>
        <v>0</v>
      </c>
      <c r="I940" s="10">
        <f t="shared" si="58"/>
        <v>0</v>
      </c>
      <c r="J940" s="13" t="str">
        <f t="shared" si="59"/>
        <v/>
      </c>
    </row>
    <row r="941" spans="1:10" x14ac:dyDescent="0.2">
      <c r="A941" s="10" t="str">
        <f t="shared" si="56"/>
        <v/>
      </c>
      <c r="B941" s="9"/>
      <c r="C941" s="8"/>
      <c r="D941" s="10" t="str">
        <f ca="1">IFERROR(_xludf.XLOOKUP(C941,STUDENTS!$A$5:$A$204,STUDENTS!$C$5:$C$204,""),"")</f>
        <v/>
      </c>
      <c r="E941" s="10" t="str">
        <f ca="1">IFERROR(_xludf.XLOOKUP(C941,STUDENTS!$A$5:$A$204,STUDENTS!$L$5:$L$204,""),"")</f>
        <v/>
      </c>
      <c r="F941" s="8"/>
      <c r="G941" s="10" t="str">
        <f>SETTINGS!$B$8</f>
        <v>2026/2027</v>
      </c>
      <c r="H941" s="10">
        <f t="shared" si="57"/>
        <v>0</v>
      </c>
      <c r="I941" s="10">
        <f t="shared" si="58"/>
        <v>0</v>
      </c>
      <c r="J941" s="13" t="str">
        <f t="shared" si="59"/>
        <v/>
      </c>
    </row>
    <row r="942" spans="1:10" x14ac:dyDescent="0.2">
      <c r="A942" s="10" t="str">
        <f t="shared" si="56"/>
        <v/>
      </c>
      <c r="B942" s="9"/>
      <c r="C942" s="8"/>
      <c r="D942" s="10" t="str">
        <f ca="1">IFERROR(_xludf.XLOOKUP(C942,STUDENTS!$A$5:$A$204,STUDENTS!$C$5:$C$204,""),"")</f>
        <v/>
      </c>
      <c r="E942" s="10" t="str">
        <f ca="1">IFERROR(_xludf.XLOOKUP(C942,STUDENTS!$A$5:$A$204,STUDENTS!$L$5:$L$204,""),"")</f>
        <v/>
      </c>
      <c r="F942" s="8"/>
      <c r="G942" s="10" t="str">
        <f>SETTINGS!$B$8</f>
        <v>2026/2027</v>
      </c>
      <c r="H942" s="10">
        <f t="shared" si="57"/>
        <v>0</v>
      </c>
      <c r="I942" s="10">
        <f t="shared" si="58"/>
        <v>0</v>
      </c>
      <c r="J942" s="13" t="str">
        <f t="shared" si="59"/>
        <v/>
      </c>
    </row>
    <row r="943" spans="1:10" x14ac:dyDescent="0.2">
      <c r="A943" s="10" t="str">
        <f t="shared" si="56"/>
        <v/>
      </c>
      <c r="B943" s="9"/>
      <c r="C943" s="8"/>
      <c r="D943" s="10" t="str">
        <f ca="1">IFERROR(_xludf.XLOOKUP(C943,STUDENTS!$A$5:$A$204,STUDENTS!$C$5:$C$204,""),"")</f>
        <v/>
      </c>
      <c r="E943" s="10" t="str">
        <f ca="1">IFERROR(_xludf.XLOOKUP(C943,STUDENTS!$A$5:$A$204,STUDENTS!$L$5:$L$204,""),"")</f>
        <v/>
      </c>
      <c r="F943" s="8"/>
      <c r="G943" s="10" t="str">
        <f>SETTINGS!$B$8</f>
        <v>2026/2027</v>
      </c>
      <c r="H943" s="10">
        <f t="shared" si="57"/>
        <v>0</v>
      </c>
      <c r="I943" s="10">
        <f t="shared" si="58"/>
        <v>0</v>
      </c>
      <c r="J943" s="13" t="str">
        <f t="shared" si="59"/>
        <v/>
      </c>
    </row>
    <row r="944" spans="1:10" x14ac:dyDescent="0.2">
      <c r="A944" s="10" t="str">
        <f t="shared" si="56"/>
        <v/>
      </c>
      <c r="B944" s="9"/>
      <c r="C944" s="8"/>
      <c r="D944" s="10" t="str">
        <f ca="1">IFERROR(_xludf.XLOOKUP(C944,STUDENTS!$A$5:$A$204,STUDENTS!$C$5:$C$204,""),"")</f>
        <v/>
      </c>
      <c r="E944" s="10" t="str">
        <f ca="1">IFERROR(_xludf.XLOOKUP(C944,STUDENTS!$A$5:$A$204,STUDENTS!$L$5:$L$204,""),"")</f>
        <v/>
      </c>
      <c r="F944" s="8"/>
      <c r="G944" s="10" t="str">
        <f>SETTINGS!$B$8</f>
        <v>2026/2027</v>
      </c>
      <c r="H944" s="10">
        <f t="shared" si="57"/>
        <v>0</v>
      </c>
      <c r="I944" s="10">
        <f t="shared" si="58"/>
        <v>0</v>
      </c>
      <c r="J944" s="13" t="str">
        <f t="shared" si="59"/>
        <v/>
      </c>
    </row>
    <row r="945" spans="1:10" x14ac:dyDescent="0.2">
      <c r="A945" s="10" t="str">
        <f t="shared" si="56"/>
        <v/>
      </c>
      <c r="B945" s="9"/>
      <c r="C945" s="8"/>
      <c r="D945" s="10" t="str">
        <f ca="1">IFERROR(_xludf.XLOOKUP(C945,STUDENTS!$A$5:$A$204,STUDENTS!$C$5:$C$204,""),"")</f>
        <v/>
      </c>
      <c r="E945" s="10" t="str">
        <f ca="1">IFERROR(_xludf.XLOOKUP(C945,STUDENTS!$A$5:$A$204,STUDENTS!$L$5:$L$204,""),"")</f>
        <v/>
      </c>
      <c r="F945" s="8"/>
      <c r="G945" s="10" t="str">
        <f>SETTINGS!$B$8</f>
        <v>2026/2027</v>
      </c>
      <c r="H945" s="10">
        <f t="shared" si="57"/>
        <v>0</v>
      </c>
      <c r="I945" s="10">
        <f t="shared" si="58"/>
        <v>0</v>
      </c>
      <c r="J945" s="13" t="str">
        <f t="shared" si="59"/>
        <v/>
      </c>
    </row>
    <row r="946" spans="1:10" x14ac:dyDescent="0.2">
      <c r="A946" s="10" t="str">
        <f t="shared" si="56"/>
        <v/>
      </c>
      <c r="B946" s="9"/>
      <c r="C946" s="8"/>
      <c r="D946" s="10" t="str">
        <f ca="1">IFERROR(_xludf.XLOOKUP(C946,STUDENTS!$A$5:$A$204,STUDENTS!$C$5:$C$204,""),"")</f>
        <v/>
      </c>
      <c r="E946" s="10" t="str">
        <f ca="1">IFERROR(_xludf.XLOOKUP(C946,STUDENTS!$A$5:$A$204,STUDENTS!$L$5:$L$204,""),"")</f>
        <v/>
      </c>
      <c r="F946" s="8"/>
      <c r="G946" s="10" t="str">
        <f>SETTINGS!$B$8</f>
        <v>2026/2027</v>
      </c>
      <c r="H946" s="10">
        <f t="shared" si="57"/>
        <v>0</v>
      </c>
      <c r="I946" s="10">
        <f t="shared" si="58"/>
        <v>0</v>
      </c>
      <c r="J946" s="13" t="str">
        <f t="shared" si="59"/>
        <v/>
      </c>
    </row>
    <row r="947" spans="1:10" x14ac:dyDescent="0.2">
      <c r="A947" s="10" t="str">
        <f t="shared" si="56"/>
        <v/>
      </c>
      <c r="B947" s="9"/>
      <c r="C947" s="8"/>
      <c r="D947" s="10" t="str">
        <f ca="1">IFERROR(_xludf.XLOOKUP(C947,STUDENTS!$A$5:$A$204,STUDENTS!$C$5:$C$204,""),"")</f>
        <v/>
      </c>
      <c r="E947" s="10" t="str">
        <f ca="1">IFERROR(_xludf.XLOOKUP(C947,STUDENTS!$A$5:$A$204,STUDENTS!$L$5:$L$204,""),"")</f>
        <v/>
      </c>
      <c r="F947" s="8"/>
      <c r="G947" s="10" t="str">
        <f>SETTINGS!$B$8</f>
        <v>2026/2027</v>
      </c>
      <c r="H947" s="10">
        <f t="shared" si="57"/>
        <v>0</v>
      </c>
      <c r="I947" s="10">
        <f t="shared" si="58"/>
        <v>0</v>
      </c>
      <c r="J947" s="13" t="str">
        <f t="shared" si="59"/>
        <v/>
      </c>
    </row>
    <row r="948" spans="1:10" x14ac:dyDescent="0.2">
      <c r="A948" s="10" t="str">
        <f t="shared" si="56"/>
        <v/>
      </c>
      <c r="B948" s="9"/>
      <c r="C948" s="8"/>
      <c r="D948" s="10" t="str">
        <f ca="1">IFERROR(_xludf.XLOOKUP(C948,STUDENTS!$A$5:$A$204,STUDENTS!$C$5:$C$204,""),"")</f>
        <v/>
      </c>
      <c r="E948" s="10" t="str">
        <f ca="1">IFERROR(_xludf.XLOOKUP(C948,STUDENTS!$A$5:$A$204,STUDENTS!$L$5:$L$204,""),"")</f>
        <v/>
      </c>
      <c r="F948" s="8"/>
      <c r="G948" s="10" t="str">
        <f>SETTINGS!$B$8</f>
        <v>2026/2027</v>
      </c>
      <c r="H948" s="10">
        <f t="shared" si="57"/>
        <v>0</v>
      </c>
      <c r="I948" s="10">
        <f t="shared" si="58"/>
        <v>0</v>
      </c>
      <c r="J948" s="13" t="str">
        <f t="shared" si="59"/>
        <v/>
      </c>
    </row>
    <row r="949" spans="1:10" x14ac:dyDescent="0.2">
      <c r="A949" s="10" t="str">
        <f t="shared" si="56"/>
        <v/>
      </c>
      <c r="B949" s="9"/>
      <c r="C949" s="8"/>
      <c r="D949" s="10" t="str">
        <f ca="1">IFERROR(_xludf.XLOOKUP(C949,STUDENTS!$A$5:$A$204,STUDENTS!$C$5:$C$204,""),"")</f>
        <v/>
      </c>
      <c r="E949" s="10" t="str">
        <f ca="1">IFERROR(_xludf.XLOOKUP(C949,STUDENTS!$A$5:$A$204,STUDENTS!$L$5:$L$204,""),"")</f>
        <v/>
      </c>
      <c r="F949" s="8"/>
      <c r="G949" s="10" t="str">
        <f>SETTINGS!$B$8</f>
        <v>2026/2027</v>
      </c>
      <c r="H949" s="10">
        <f t="shared" si="57"/>
        <v>0</v>
      </c>
      <c r="I949" s="10">
        <f t="shared" si="58"/>
        <v>0</v>
      </c>
      <c r="J949" s="13" t="str">
        <f t="shared" si="59"/>
        <v/>
      </c>
    </row>
    <row r="950" spans="1:10" x14ac:dyDescent="0.2">
      <c r="A950" s="10" t="str">
        <f t="shared" si="56"/>
        <v/>
      </c>
      <c r="B950" s="9"/>
      <c r="C950" s="8"/>
      <c r="D950" s="10" t="str">
        <f ca="1">IFERROR(_xludf.XLOOKUP(C950,STUDENTS!$A$5:$A$204,STUDENTS!$C$5:$C$204,""),"")</f>
        <v/>
      </c>
      <c r="E950" s="10" t="str">
        <f ca="1">IFERROR(_xludf.XLOOKUP(C950,STUDENTS!$A$5:$A$204,STUDENTS!$L$5:$L$204,""),"")</f>
        <v/>
      </c>
      <c r="F950" s="8"/>
      <c r="G950" s="10" t="str">
        <f>SETTINGS!$B$8</f>
        <v>2026/2027</v>
      </c>
      <c r="H950" s="10">
        <f t="shared" si="57"/>
        <v>0</v>
      </c>
      <c r="I950" s="10">
        <f t="shared" si="58"/>
        <v>0</v>
      </c>
      <c r="J950" s="13" t="str">
        <f t="shared" si="59"/>
        <v/>
      </c>
    </row>
    <row r="951" spans="1:10" x14ac:dyDescent="0.2">
      <c r="A951" s="10" t="str">
        <f t="shared" si="56"/>
        <v/>
      </c>
      <c r="B951" s="9"/>
      <c r="C951" s="8"/>
      <c r="D951" s="10" t="str">
        <f ca="1">IFERROR(_xludf.XLOOKUP(C951,STUDENTS!$A$5:$A$204,STUDENTS!$C$5:$C$204,""),"")</f>
        <v/>
      </c>
      <c r="E951" s="10" t="str">
        <f ca="1">IFERROR(_xludf.XLOOKUP(C951,STUDENTS!$A$5:$A$204,STUDENTS!$L$5:$L$204,""),"")</f>
        <v/>
      </c>
      <c r="F951" s="8"/>
      <c r="G951" s="10" t="str">
        <f>SETTINGS!$B$8</f>
        <v>2026/2027</v>
      </c>
      <c r="H951" s="10">
        <f t="shared" si="57"/>
        <v>0</v>
      </c>
      <c r="I951" s="10">
        <f t="shared" si="58"/>
        <v>0</v>
      </c>
      <c r="J951" s="13" t="str">
        <f t="shared" si="59"/>
        <v/>
      </c>
    </row>
    <row r="952" spans="1:10" x14ac:dyDescent="0.2">
      <c r="A952" s="10" t="str">
        <f t="shared" si="56"/>
        <v/>
      </c>
      <c r="B952" s="9"/>
      <c r="C952" s="8"/>
      <c r="D952" s="10" t="str">
        <f ca="1">IFERROR(_xludf.XLOOKUP(C952,STUDENTS!$A$5:$A$204,STUDENTS!$C$5:$C$204,""),"")</f>
        <v/>
      </c>
      <c r="E952" s="10" t="str">
        <f ca="1">IFERROR(_xludf.XLOOKUP(C952,STUDENTS!$A$5:$A$204,STUDENTS!$L$5:$L$204,""),"")</f>
        <v/>
      </c>
      <c r="F952" s="8"/>
      <c r="G952" s="10" t="str">
        <f>SETTINGS!$B$8</f>
        <v>2026/2027</v>
      </c>
      <c r="H952" s="10">
        <f t="shared" si="57"/>
        <v>0</v>
      </c>
      <c r="I952" s="10">
        <f t="shared" si="58"/>
        <v>0</v>
      </c>
      <c r="J952" s="13" t="str">
        <f t="shared" si="59"/>
        <v/>
      </c>
    </row>
    <row r="953" spans="1:10" x14ac:dyDescent="0.2">
      <c r="A953" s="10" t="str">
        <f t="shared" si="56"/>
        <v/>
      </c>
      <c r="B953" s="9"/>
      <c r="C953" s="8"/>
      <c r="D953" s="10" t="str">
        <f ca="1">IFERROR(_xludf.XLOOKUP(C953,STUDENTS!$A$5:$A$204,STUDENTS!$C$5:$C$204,""),"")</f>
        <v/>
      </c>
      <c r="E953" s="10" t="str">
        <f ca="1">IFERROR(_xludf.XLOOKUP(C953,STUDENTS!$A$5:$A$204,STUDENTS!$L$5:$L$204,""),"")</f>
        <v/>
      </c>
      <c r="F953" s="8"/>
      <c r="G953" s="10" t="str">
        <f>SETTINGS!$B$8</f>
        <v>2026/2027</v>
      </c>
      <c r="H953" s="10">
        <f t="shared" si="57"/>
        <v>0</v>
      </c>
      <c r="I953" s="10">
        <f t="shared" si="58"/>
        <v>0</v>
      </c>
      <c r="J953" s="13" t="str">
        <f t="shared" si="59"/>
        <v/>
      </c>
    </row>
    <row r="954" spans="1:10" x14ac:dyDescent="0.2">
      <c r="A954" s="10" t="str">
        <f t="shared" si="56"/>
        <v/>
      </c>
      <c r="B954" s="9"/>
      <c r="C954" s="8"/>
      <c r="D954" s="10" t="str">
        <f ca="1">IFERROR(_xludf.XLOOKUP(C954,STUDENTS!$A$5:$A$204,STUDENTS!$C$5:$C$204,""),"")</f>
        <v/>
      </c>
      <c r="E954" s="10" t="str">
        <f ca="1">IFERROR(_xludf.XLOOKUP(C954,STUDENTS!$A$5:$A$204,STUDENTS!$L$5:$L$204,""),"")</f>
        <v/>
      </c>
      <c r="F954" s="8"/>
      <c r="G954" s="10" t="str">
        <f>SETTINGS!$B$8</f>
        <v>2026/2027</v>
      </c>
      <c r="H954" s="10">
        <f t="shared" si="57"/>
        <v>0</v>
      </c>
      <c r="I954" s="10">
        <f t="shared" si="58"/>
        <v>0</v>
      </c>
      <c r="J954" s="13" t="str">
        <f t="shared" si="59"/>
        <v/>
      </c>
    </row>
    <row r="955" spans="1:10" x14ac:dyDescent="0.2">
      <c r="A955" s="10" t="str">
        <f t="shared" si="56"/>
        <v/>
      </c>
      <c r="B955" s="9"/>
      <c r="C955" s="8"/>
      <c r="D955" s="10" t="str">
        <f ca="1">IFERROR(_xludf.XLOOKUP(C955,STUDENTS!$A$5:$A$204,STUDENTS!$C$5:$C$204,""),"")</f>
        <v/>
      </c>
      <c r="E955" s="10" t="str">
        <f ca="1">IFERROR(_xludf.XLOOKUP(C955,STUDENTS!$A$5:$A$204,STUDENTS!$L$5:$L$204,""),"")</f>
        <v/>
      </c>
      <c r="F955" s="8"/>
      <c r="G955" s="10" t="str">
        <f>SETTINGS!$B$8</f>
        <v>2026/2027</v>
      </c>
      <c r="H955" s="10">
        <f t="shared" si="57"/>
        <v>0</v>
      </c>
      <c r="I955" s="10">
        <f t="shared" si="58"/>
        <v>0</v>
      </c>
      <c r="J955" s="13" t="str">
        <f t="shared" si="59"/>
        <v/>
      </c>
    </row>
    <row r="956" spans="1:10" x14ac:dyDescent="0.2">
      <c r="A956" s="10" t="str">
        <f t="shared" si="56"/>
        <v/>
      </c>
      <c r="B956" s="9"/>
      <c r="C956" s="8"/>
      <c r="D956" s="10" t="str">
        <f ca="1">IFERROR(_xludf.XLOOKUP(C956,STUDENTS!$A$5:$A$204,STUDENTS!$C$5:$C$204,""),"")</f>
        <v/>
      </c>
      <c r="E956" s="10" t="str">
        <f ca="1">IFERROR(_xludf.XLOOKUP(C956,STUDENTS!$A$5:$A$204,STUDENTS!$L$5:$L$204,""),"")</f>
        <v/>
      </c>
      <c r="F956" s="8"/>
      <c r="G956" s="10" t="str">
        <f>SETTINGS!$B$8</f>
        <v>2026/2027</v>
      </c>
      <c r="H956" s="10">
        <f t="shared" si="57"/>
        <v>0</v>
      </c>
      <c r="I956" s="10">
        <f t="shared" si="58"/>
        <v>0</v>
      </c>
      <c r="J956" s="13" t="str">
        <f t="shared" si="59"/>
        <v/>
      </c>
    </row>
    <row r="957" spans="1:10" x14ac:dyDescent="0.2">
      <c r="A957" s="10" t="str">
        <f t="shared" si="56"/>
        <v/>
      </c>
      <c r="B957" s="9"/>
      <c r="C957" s="8"/>
      <c r="D957" s="10" t="str">
        <f ca="1">IFERROR(_xludf.XLOOKUP(C957,STUDENTS!$A$5:$A$204,STUDENTS!$C$5:$C$204,""),"")</f>
        <v/>
      </c>
      <c r="E957" s="10" t="str">
        <f ca="1">IFERROR(_xludf.XLOOKUP(C957,STUDENTS!$A$5:$A$204,STUDENTS!$L$5:$L$204,""),"")</f>
        <v/>
      </c>
      <c r="F957" s="8"/>
      <c r="G957" s="10" t="str">
        <f>SETTINGS!$B$8</f>
        <v>2026/2027</v>
      </c>
      <c r="H957" s="10">
        <f t="shared" si="57"/>
        <v>0</v>
      </c>
      <c r="I957" s="10">
        <f t="shared" si="58"/>
        <v>0</v>
      </c>
      <c r="J957" s="13" t="str">
        <f t="shared" si="59"/>
        <v/>
      </c>
    </row>
    <row r="958" spans="1:10" x14ac:dyDescent="0.2">
      <c r="A958" s="10" t="str">
        <f t="shared" si="56"/>
        <v/>
      </c>
      <c r="B958" s="9"/>
      <c r="C958" s="8"/>
      <c r="D958" s="10" t="str">
        <f ca="1">IFERROR(_xludf.XLOOKUP(C958,STUDENTS!$A$5:$A$204,STUDENTS!$C$5:$C$204,""),"")</f>
        <v/>
      </c>
      <c r="E958" s="10" t="str">
        <f ca="1">IFERROR(_xludf.XLOOKUP(C958,STUDENTS!$A$5:$A$204,STUDENTS!$L$5:$L$204,""),"")</f>
        <v/>
      </c>
      <c r="F958" s="8"/>
      <c r="G958" s="10" t="str">
        <f>SETTINGS!$B$8</f>
        <v>2026/2027</v>
      </c>
      <c r="H958" s="10">
        <f t="shared" si="57"/>
        <v>0</v>
      </c>
      <c r="I958" s="10">
        <f t="shared" si="58"/>
        <v>0</v>
      </c>
      <c r="J958" s="13" t="str">
        <f t="shared" si="59"/>
        <v/>
      </c>
    </row>
    <row r="959" spans="1:10" x14ac:dyDescent="0.2">
      <c r="A959" s="10" t="str">
        <f t="shared" si="56"/>
        <v/>
      </c>
      <c r="B959" s="9"/>
      <c r="C959" s="8"/>
      <c r="D959" s="10" t="str">
        <f ca="1">IFERROR(_xludf.XLOOKUP(C959,STUDENTS!$A$5:$A$204,STUDENTS!$C$5:$C$204,""),"")</f>
        <v/>
      </c>
      <c r="E959" s="10" t="str">
        <f ca="1">IFERROR(_xludf.XLOOKUP(C959,STUDENTS!$A$5:$A$204,STUDENTS!$L$5:$L$204,""),"")</f>
        <v/>
      </c>
      <c r="F959" s="8"/>
      <c r="G959" s="10" t="str">
        <f>SETTINGS!$B$8</f>
        <v>2026/2027</v>
      </c>
      <c r="H959" s="10">
        <f t="shared" si="57"/>
        <v>0</v>
      </c>
      <c r="I959" s="10">
        <f t="shared" si="58"/>
        <v>0</v>
      </c>
      <c r="J959" s="13" t="str">
        <f t="shared" si="59"/>
        <v/>
      </c>
    </row>
    <row r="960" spans="1:10" x14ac:dyDescent="0.2">
      <c r="A960" s="10" t="str">
        <f t="shared" si="56"/>
        <v/>
      </c>
      <c r="B960" s="9"/>
      <c r="C960" s="8"/>
      <c r="D960" s="10" t="str">
        <f ca="1">IFERROR(_xludf.XLOOKUP(C960,STUDENTS!$A$5:$A$204,STUDENTS!$C$5:$C$204,""),"")</f>
        <v/>
      </c>
      <c r="E960" s="10" t="str">
        <f ca="1">IFERROR(_xludf.XLOOKUP(C960,STUDENTS!$A$5:$A$204,STUDENTS!$L$5:$L$204,""),"")</f>
        <v/>
      </c>
      <c r="F960" s="8"/>
      <c r="G960" s="10" t="str">
        <f>SETTINGS!$B$8</f>
        <v>2026/2027</v>
      </c>
      <c r="H960" s="10">
        <f t="shared" si="57"/>
        <v>0</v>
      </c>
      <c r="I960" s="10">
        <f t="shared" si="58"/>
        <v>0</v>
      </c>
      <c r="J960" s="13" t="str">
        <f t="shared" si="59"/>
        <v/>
      </c>
    </row>
    <row r="961" spans="1:10" x14ac:dyDescent="0.2">
      <c r="A961" s="10" t="str">
        <f t="shared" si="56"/>
        <v/>
      </c>
      <c r="B961" s="9"/>
      <c r="C961" s="8"/>
      <c r="D961" s="10" t="str">
        <f ca="1">IFERROR(_xludf.XLOOKUP(C961,STUDENTS!$A$5:$A$204,STUDENTS!$C$5:$C$204,""),"")</f>
        <v/>
      </c>
      <c r="E961" s="10" t="str">
        <f ca="1">IFERROR(_xludf.XLOOKUP(C961,STUDENTS!$A$5:$A$204,STUDENTS!$L$5:$L$204,""),"")</f>
        <v/>
      </c>
      <c r="F961" s="8"/>
      <c r="G961" s="10" t="str">
        <f>SETTINGS!$B$8</f>
        <v>2026/2027</v>
      </c>
      <c r="H961" s="10">
        <f t="shared" si="57"/>
        <v>0</v>
      </c>
      <c r="I961" s="10">
        <f t="shared" si="58"/>
        <v>0</v>
      </c>
      <c r="J961" s="13" t="str">
        <f t="shared" si="59"/>
        <v/>
      </c>
    </row>
    <row r="962" spans="1:10" x14ac:dyDescent="0.2">
      <c r="A962" s="10" t="str">
        <f t="shared" si="56"/>
        <v/>
      </c>
      <c r="B962" s="9"/>
      <c r="C962" s="8"/>
      <c r="D962" s="10" t="str">
        <f ca="1">IFERROR(_xludf.XLOOKUP(C962,STUDENTS!$A$5:$A$204,STUDENTS!$C$5:$C$204,""),"")</f>
        <v/>
      </c>
      <c r="E962" s="10" t="str">
        <f ca="1">IFERROR(_xludf.XLOOKUP(C962,STUDENTS!$A$5:$A$204,STUDENTS!$L$5:$L$204,""),"")</f>
        <v/>
      </c>
      <c r="F962" s="8"/>
      <c r="G962" s="10" t="str">
        <f>SETTINGS!$B$8</f>
        <v>2026/2027</v>
      </c>
      <c r="H962" s="10">
        <f t="shared" si="57"/>
        <v>0</v>
      </c>
      <c r="I962" s="10">
        <f t="shared" si="58"/>
        <v>0</v>
      </c>
      <c r="J962" s="13" t="str">
        <f t="shared" si="59"/>
        <v/>
      </c>
    </row>
    <row r="963" spans="1:10" x14ac:dyDescent="0.2">
      <c r="A963" s="10" t="str">
        <f t="shared" si="56"/>
        <v/>
      </c>
      <c r="B963" s="9"/>
      <c r="C963" s="8"/>
      <c r="D963" s="10" t="str">
        <f ca="1">IFERROR(_xludf.XLOOKUP(C963,STUDENTS!$A$5:$A$204,STUDENTS!$C$5:$C$204,""),"")</f>
        <v/>
      </c>
      <c r="E963" s="10" t="str">
        <f ca="1">IFERROR(_xludf.XLOOKUP(C963,STUDENTS!$A$5:$A$204,STUDENTS!$L$5:$L$204,""),"")</f>
        <v/>
      </c>
      <c r="F963" s="8"/>
      <c r="G963" s="10" t="str">
        <f>SETTINGS!$B$8</f>
        <v>2026/2027</v>
      </c>
      <c r="H963" s="10">
        <f t="shared" si="57"/>
        <v>0</v>
      </c>
      <c r="I963" s="10">
        <f t="shared" si="58"/>
        <v>0</v>
      </c>
      <c r="J963" s="13" t="str">
        <f t="shared" si="59"/>
        <v/>
      </c>
    </row>
    <row r="964" spans="1:10" x14ac:dyDescent="0.2">
      <c r="A964" s="10" t="str">
        <f t="shared" si="56"/>
        <v/>
      </c>
      <c r="B964" s="9"/>
      <c r="C964" s="8"/>
      <c r="D964" s="10" t="str">
        <f ca="1">IFERROR(_xludf.XLOOKUP(C964,STUDENTS!$A$5:$A$204,STUDENTS!$C$5:$C$204,""),"")</f>
        <v/>
      </c>
      <c r="E964" s="10" t="str">
        <f ca="1">IFERROR(_xludf.XLOOKUP(C964,STUDENTS!$A$5:$A$204,STUDENTS!$L$5:$L$204,""),"")</f>
        <v/>
      </c>
      <c r="F964" s="8"/>
      <c r="G964" s="10" t="str">
        <f>SETTINGS!$B$8</f>
        <v>2026/2027</v>
      </c>
      <c r="H964" s="10">
        <f t="shared" si="57"/>
        <v>0</v>
      </c>
      <c r="I964" s="10">
        <f t="shared" si="58"/>
        <v>0</v>
      </c>
      <c r="J964" s="13" t="str">
        <f t="shared" si="59"/>
        <v/>
      </c>
    </row>
    <row r="965" spans="1:10" x14ac:dyDescent="0.2">
      <c r="A965" s="10" t="str">
        <f t="shared" ref="A965:A1028" si="60">IF(C965="","","AT-"&amp;TEXT(ROW()-4,"00000"))</f>
        <v/>
      </c>
      <c r="B965" s="9"/>
      <c r="C965" s="8"/>
      <c r="D965" s="10" t="str">
        <f ca="1">IFERROR(_xludf.XLOOKUP(C965,STUDENTS!$A$5:$A$204,STUDENTS!$C$5:$C$204,""),"")</f>
        <v/>
      </c>
      <c r="E965" s="10" t="str">
        <f ca="1">IFERROR(_xludf.XLOOKUP(C965,STUDENTS!$A$5:$A$204,STUDENTS!$L$5:$L$204,""),"")</f>
        <v/>
      </c>
      <c r="F965" s="8"/>
      <c r="G965" s="10" t="str">
        <f>SETTINGS!$B$8</f>
        <v>2026/2027</v>
      </c>
      <c r="H965" s="10">
        <f t="shared" ref="H965:H1028" si="61">IF(F965="Present",1,0)</f>
        <v>0</v>
      </c>
      <c r="I965" s="10">
        <f t="shared" ref="I965:I1028" si="62">IF(F965="Absent",1,0)</f>
        <v>0</v>
      </c>
      <c r="J965" s="13" t="str">
        <f t="shared" ref="J965:J1028" si="63">IF(OR(H965="",I965=""),"",IF(H965+I965=0,"",H965/(H965+I965)))</f>
        <v/>
      </c>
    </row>
    <row r="966" spans="1:10" x14ac:dyDescent="0.2">
      <c r="A966" s="10" t="str">
        <f t="shared" si="60"/>
        <v/>
      </c>
      <c r="B966" s="9"/>
      <c r="C966" s="8"/>
      <c r="D966" s="10" t="str">
        <f ca="1">IFERROR(_xludf.XLOOKUP(C966,STUDENTS!$A$5:$A$204,STUDENTS!$C$5:$C$204,""),"")</f>
        <v/>
      </c>
      <c r="E966" s="10" t="str">
        <f ca="1">IFERROR(_xludf.XLOOKUP(C966,STUDENTS!$A$5:$A$204,STUDENTS!$L$5:$L$204,""),"")</f>
        <v/>
      </c>
      <c r="F966" s="8"/>
      <c r="G966" s="10" t="str">
        <f>SETTINGS!$B$8</f>
        <v>2026/2027</v>
      </c>
      <c r="H966" s="10">
        <f t="shared" si="61"/>
        <v>0</v>
      </c>
      <c r="I966" s="10">
        <f t="shared" si="62"/>
        <v>0</v>
      </c>
      <c r="J966" s="13" t="str">
        <f t="shared" si="63"/>
        <v/>
      </c>
    </row>
    <row r="967" spans="1:10" x14ac:dyDescent="0.2">
      <c r="A967" s="10" t="str">
        <f t="shared" si="60"/>
        <v/>
      </c>
      <c r="B967" s="9"/>
      <c r="C967" s="8"/>
      <c r="D967" s="10" t="str">
        <f ca="1">IFERROR(_xludf.XLOOKUP(C967,STUDENTS!$A$5:$A$204,STUDENTS!$C$5:$C$204,""),"")</f>
        <v/>
      </c>
      <c r="E967" s="10" t="str">
        <f ca="1">IFERROR(_xludf.XLOOKUP(C967,STUDENTS!$A$5:$A$204,STUDENTS!$L$5:$L$204,""),"")</f>
        <v/>
      </c>
      <c r="F967" s="8"/>
      <c r="G967" s="10" t="str">
        <f>SETTINGS!$B$8</f>
        <v>2026/2027</v>
      </c>
      <c r="H967" s="10">
        <f t="shared" si="61"/>
        <v>0</v>
      </c>
      <c r="I967" s="10">
        <f t="shared" si="62"/>
        <v>0</v>
      </c>
      <c r="J967" s="13" t="str">
        <f t="shared" si="63"/>
        <v/>
      </c>
    </row>
    <row r="968" spans="1:10" x14ac:dyDescent="0.2">
      <c r="A968" s="10" t="str">
        <f t="shared" si="60"/>
        <v/>
      </c>
      <c r="B968" s="9"/>
      <c r="C968" s="8"/>
      <c r="D968" s="10" t="str">
        <f ca="1">IFERROR(_xludf.XLOOKUP(C968,STUDENTS!$A$5:$A$204,STUDENTS!$C$5:$C$204,""),"")</f>
        <v/>
      </c>
      <c r="E968" s="10" t="str">
        <f ca="1">IFERROR(_xludf.XLOOKUP(C968,STUDENTS!$A$5:$A$204,STUDENTS!$L$5:$L$204,""),"")</f>
        <v/>
      </c>
      <c r="F968" s="8"/>
      <c r="G968" s="10" t="str">
        <f>SETTINGS!$B$8</f>
        <v>2026/2027</v>
      </c>
      <c r="H968" s="10">
        <f t="shared" si="61"/>
        <v>0</v>
      </c>
      <c r="I968" s="10">
        <f t="shared" si="62"/>
        <v>0</v>
      </c>
      <c r="J968" s="13" t="str">
        <f t="shared" si="63"/>
        <v/>
      </c>
    </row>
    <row r="969" spans="1:10" x14ac:dyDescent="0.2">
      <c r="A969" s="10" t="str">
        <f t="shared" si="60"/>
        <v/>
      </c>
      <c r="B969" s="9"/>
      <c r="C969" s="8"/>
      <c r="D969" s="10" t="str">
        <f ca="1">IFERROR(_xludf.XLOOKUP(C969,STUDENTS!$A$5:$A$204,STUDENTS!$C$5:$C$204,""),"")</f>
        <v/>
      </c>
      <c r="E969" s="10" t="str">
        <f ca="1">IFERROR(_xludf.XLOOKUP(C969,STUDENTS!$A$5:$A$204,STUDENTS!$L$5:$L$204,""),"")</f>
        <v/>
      </c>
      <c r="F969" s="8"/>
      <c r="G969" s="10" t="str">
        <f>SETTINGS!$B$8</f>
        <v>2026/2027</v>
      </c>
      <c r="H969" s="10">
        <f t="shared" si="61"/>
        <v>0</v>
      </c>
      <c r="I969" s="10">
        <f t="shared" si="62"/>
        <v>0</v>
      </c>
      <c r="J969" s="13" t="str">
        <f t="shared" si="63"/>
        <v/>
      </c>
    </row>
    <row r="970" spans="1:10" x14ac:dyDescent="0.2">
      <c r="A970" s="10" t="str">
        <f t="shared" si="60"/>
        <v/>
      </c>
      <c r="B970" s="9"/>
      <c r="C970" s="8"/>
      <c r="D970" s="10" t="str">
        <f ca="1">IFERROR(_xludf.XLOOKUP(C970,STUDENTS!$A$5:$A$204,STUDENTS!$C$5:$C$204,""),"")</f>
        <v/>
      </c>
      <c r="E970" s="10" t="str">
        <f ca="1">IFERROR(_xludf.XLOOKUP(C970,STUDENTS!$A$5:$A$204,STUDENTS!$L$5:$L$204,""),"")</f>
        <v/>
      </c>
      <c r="F970" s="8"/>
      <c r="G970" s="10" t="str">
        <f>SETTINGS!$B$8</f>
        <v>2026/2027</v>
      </c>
      <c r="H970" s="10">
        <f t="shared" si="61"/>
        <v>0</v>
      </c>
      <c r="I970" s="10">
        <f t="shared" si="62"/>
        <v>0</v>
      </c>
      <c r="J970" s="13" t="str">
        <f t="shared" si="63"/>
        <v/>
      </c>
    </row>
    <row r="971" spans="1:10" x14ac:dyDescent="0.2">
      <c r="A971" s="10" t="str">
        <f t="shared" si="60"/>
        <v/>
      </c>
      <c r="B971" s="9"/>
      <c r="C971" s="8"/>
      <c r="D971" s="10" t="str">
        <f ca="1">IFERROR(_xludf.XLOOKUP(C971,STUDENTS!$A$5:$A$204,STUDENTS!$C$5:$C$204,""),"")</f>
        <v/>
      </c>
      <c r="E971" s="10" t="str">
        <f ca="1">IFERROR(_xludf.XLOOKUP(C971,STUDENTS!$A$5:$A$204,STUDENTS!$L$5:$L$204,""),"")</f>
        <v/>
      </c>
      <c r="F971" s="8"/>
      <c r="G971" s="10" t="str">
        <f>SETTINGS!$B$8</f>
        <v>2026/2027</v>
      </c>
      <c r="H971" s="10">
        <f t="shared" si="61"/>
        <v>0</v>
      </c>
      <c r="I971" s="10">
        <f t="shared" si="62"/>
        <v>0</v>
      </c>
      <c r="J971" s="13" t="str">
        <f t="shared" si="63"/>
        <v/>
      </c>
    </row>
    <row r="972" spans="1:10" x14ac:dyDescent="0.2">
      <c r="A972" s="10" t="str">
        <f t="shared" si="60"/>
        <v/>
      </c>
      <c r="B972" s="9"/>
      <c r="C972" s="8"/>
      <c r="D972" s="10" t="str">
        <f ca="1">IFERROR(_xludf.XLOOKUP(C972,STUDENTS!$A$5:$A$204,STUDENTS!$C$5:$C$204,""),"")</f>
        <v/>
      </c>
      <c r="E972" s="10" t="str">
        <f ca="1">IFERROR(_xludf.XLOOKUP(C972,STUDENTS!$A$5:$A$204,STUDENTS!$L$5:$L$204,""),"")</f>
        <v/>
      </c>
      <c r="F972" s="8"/>
      <c r="G972" s="10" t="str">
        <f>SETTINGS!$B$8</f>
        <v>2026/2027</v>
      </c>
      <c r="H972" s="10">
        <f t="shared" si="61"/>
        <v>0</v>
      </c>
      <c r="I972" s="10">
        <f t="shared" si="62"/>
        <v>0</v>
      </c>
      <c r="J972" s="13" t="str">
        <f t="shared" si="63"/>
        <v/>
      </c>
    </row>
    <row r="973" spans="1:10" x14ac:dyDescent="0.2">
      <c r="A973" s="10" t="str">
        <f t="shared" si="60"/>
        <v/>
      </c>
      <c r="B973" s="9"/>
      <c r="C973" s="8"/>
      <c r="D973" s="10" t="str">
        <f ca="1">IFERROR(_xludf.XLOOKUP(C973,STUDENTS!$A$5:$A$204,STUDENTS!$C$5:$C$204,""),"")</f>
        <v/>
      </c>
      <c r="E973" s="10" t="str">
        <f ca="1">IFERROR(_xludf.XLOOKUP(C973,STUDENTS!$A$5:$A$204,STUDENTS!$L$5:$L$204,""),"")</f>
        <v/>
      </c>
      <c r="F973" s="8"/>
      <c r="G973" s="10" t="str">
        <f>SETTINGS!$B$8</f>
        <v>2026/2027</v>
      </c>
      <c r="H973" s="10">
        <f t="shared" si="61"/>
        <v>0</v>
      </c>
      <c r="I973" s="10">
        <f t="shared" si="62"/>
        <v>0</v>
      </c>
      <c r="J973" s="13" t="str">
        <f t="shared" si="63"/>
        <v/>
      </c>
    </row>
    <row r="974" spans="1:10" x14ac:dyDescent="0.2">
      <c r="A974" s="10" t="str">
        <f t="shared" si="60"/>
        <v/>
      </c>
      <c r="B974" s="9"/>
      <c r="C974" s="8"/>
      <c r="D974" s="10" t="str">
        <f ca="1">IFERROR(_xludf.XLOOKUP(C974,STUDENTS!$A$5:$A$204,STUDENTS!$C$5:$C$204,""),"")</f>
        <v/>
      </c>
      <c r="E974" s="10" t="str">
        <f ca="1">IFERROR(_xludf.XLOOKUP(C974,STUDENTS!$A$5:$A$204,STUDENTS!$L$5:$L$204,""),"")</f>
        <v/>
      </c>
      <c r="F974" s="8"/>
      <c r="G974" s="10" t="str">
        <f>SETTINGS!$B$8</f>
        <v>2026/2027</v>
      </c>
      <c r="H974" s="10">
        <f t="shared" si="61"/>
        <v>0</v>
      </c>
      <c r="I974" s="10">
        <f t="shared" si="62"/>
        <v>0</v>
      </c>
      <c r="J974" s="13" t="str">
        <f t="shared" si="63"/>
        <v/>
      </c>
    </row>
    <row r="975" spans="1:10" x14ac:dyDescent="0.2">
      <c r="A975" s="10" t="str">
        <f t="shared" si="60"/>
        <v/>
      </c>
      <c r="B975" s="9"/>
      <c r="C975" s="8"/>
      <c r="D975" s="10" t="str">
        <f ca="1">IFERROR(_xludf.XLOOKUP(C975,STUDENTS!$A$5:$A$204,STUDENTS!$C$5:$C$204,""),"")</f>
        <v/>
      </c>
      <c r="E975" s="10" t="str">
        <f ca="1">IFERROR(_xludf.XLOOKUP(C975,STUDENTS!$A$5:$A$204,STUDENTS!$L$5:$L$204,""),"")</f>
        <v/>
      </c>
      <c r="F975" s="8"/>
      <c r="G975" s="10" t="str">
        <f>SETTINGS!$B$8</f>
        <v>2026/2027</v>
      </c>
      <c r="H975" s="10">
        <f t="shared" si="61"/>
        <v>0</v>
      </c>
      <c r="I975" s="10">
        <f t="shared" si="62"/>
        <v>0</v>
      </c>
      <c r="J975" s="13" t="str">
        <f t="shared" si="63"/>
        <v/>
      </c>
    </row>
    <row r="976" spans="1:10" x14ac:dyDescent="0.2">
      <c r="A976" s="10" t="str">
        <f t="shared" si="60"/>
        <v/>
      </c>
      <c r="B976" s="9"/>
      <c r="C976" s="8"/>
      <c r="D976" s="10" t="str">
        <f ca="1">IFERROR(_xludf.XLOOKUP(C976,STUDENTS!$A$5:$A$204,STUDENTS!$C$5:$C$204,""),"")</f>
        <v/>
      </c>
      <c r="E976" s="10" t="str">
        <f ca="1">IFERROR(_xludf.XLOOKUP(C976,STUDENTS!$A$5:$A$204,STUDENTS!$L$5:$L$204,""),"")</f>
        <v/>
      </c>
      <c r="F976" s="8"/>
      <c r="G976" s="10" t="str">
        <f>SETTINGS!$B$8</f>
        <v>2026/2027</v>
      </c>
      <c r="H976" s="10">
        <f t="shared" si="61"/>
        <v>0</v>
      </c>
      <c r="I976" s="10">
        <f t="shared" si="62"/>
        <v>0</v>
      </c>
      <c r="J976" s="13" t="str">
        <f t="shared" si="63"/>
        <v/>
      </c>
    </row>
    <row r="977" spans="1:10" x14ac:dyDescent="0.2">
      <c r="A977" s="10" t="str">
        <f t="shared" si="60"/>
        <v/>
      </c>
      <c r="B977" s="9"/>
      <c r="C977" s="8"/>
      <c r="D977" s="10" t="str">
        <f ca="1">IFERROR(_xludf.XLOOKUP(C977,STUDENTS!$A$5:$A$204,STUDENTS!$C$5:$C$204,""),"")</f>
        <v/>
      </c>
      <c r="E977" s="10" t="str">
        <f ca="1">IFERROR(_xludf.XLOOKUP(C977,STUDENTS!$A$5:$A$204,STUDENTS!$L$5:$L$204,""),"")</f>
        <v/>
      </c>
      <c r="F977" s="8"/>
      <c r="G977" s="10" t="str">
        <f>SETTINGS!$B$8</f>
        <v>2026/2027</v>
      </c>
      <c r="H977" s="10">
        <f t="shared" si="61"/>
        <v>0</v>
      </c>
      <c r="I977" s="10">
        <f t="shared" si="62"/>
        <v>0</v>
      </c>
      <c r="J977" s="13" t="str">
        <f t="shared" si="63"/>
        <v/>
      </c>
    </row>
    <row r="978" spans="1:10" x14ac:dyDescent="0.2">
      <c r="A978" s="10" t="str">
        <f t="shared" si="60"/>
        <v/>
      </c>
      <c r="B978" s="9"/>
      <c r="C978" s="8"/>
      <c r="D978" s="10" t="str">
        <f ca="1">IFERROR(_xludf.XLOOKUP(C978,STUDENTS!$A$5:$A$204,STUDENTS!$C$5:$C$204,""),"")</f>
        <v/>
      </c>
      <c r="E978" s="10" t="str">
        <f ca="1">IFERROR(_xludf.XLOOKUP(C978,STUDENTS!$A$5:$A$204,STUDENTS!$L$5:$L$204,""),"")</f>
        <v/>
      </c>
      <c r="F978" s="8"/>
      <c r="G978" s="10" t="str">
        <f>SETTINGS!$B$8</f>
        <v>2026/2027</v>
      </c>
      <c r="H978" s="10">
        <f t="shared" si="61"/>
        <v>0</v>
      </c>
      <c r="I978" s="10">
        <f t="shared" si="62"/>
        <v>0</v>
      </c>
      <c r="J978" s="13" t="str">
        <f t="shared" si="63"/>
        <v/>
      </c>
    </row>
    <row r="979" spans="1:10" x14ac:dyDescent="0.2">
      <c r="A979" s="10" t="str">
        <f t="shared" si="60"/>
        <v/>
      </c>
      <c r="B979" s="9"/>
      <c r="C979" s="8"/>
      <c r="D979" s="10" t="str">
        <f ca="1">IFERROR(_xludf.XLOOKUP(C979,STUDENTS!$A$5:$A$204,STUDENTS!$C$5:$C$204,""),"")</f>
        <v/>
      </c>
      <c r="E979" s="10" t="str">
        <f ca="1">IFERROR(_xludf.XLOOKUP(C979,STUDENTS!$A$5:$A$204,STUDENTS!$L$5:$L$204,""),"")</f>
        <v/>
      </c>
      <c r="F979" s="8"/>
      <c r="G979" s="10" t="str">
        <f>SETTINGS!$B$8</f>
        <v>2026/2027</v>
      </c>
      <c r="H979" s="10">
        <f t="shared" si="61"/>
        <v>0</v>
      </c>
      <c r="I979" s="10">
        <f t="shared" si="62"/>
        <v>0</v>
      </c>
      <c r="J979" s="13" t="str">
        <f t="shared" si="63"/>
        <v/>
      </c>
    </row>
    <row r="980" spans="1:10" x14ac:dyDescent="0.2">
      <c r="A980" s="10" t="str">
        <f t="shared" si="60"/>
        <v/>
      </c>
      <c r="B980" s="9"/>
      <c r="C980" s="8"/>
      <c r="D980" s="10" t="str">
        <f ca="1">IFERROR(_xludf.XLOOKUP(C980,STUDENTS!$A$5:$A$204,STUDENTS!$C$5:$C$204,""),"")</f>
        <v/>
      </c>
      <c r="E980" s="10" t="str">
        <f ca="1">IFERROR(_xludf.XLOOKUP(C980,STUDENTS!$A$5:$A$204,STUDENTS!$L$5:$L$204,""),"")</f>
        <v/>
      </c>
      <c r="F980" s="8"/>
      <c r="G980" s="10" t="str">
        <f>SETTINGS!$B$8</f>
        <v>2026/2027</v>
      </c>
      <c r="H980" s="10">
        <f t="shared" si="61"/>
        <v>0</v>
      </c>
      <c r="I980" s="10">
        <f t="shared" si="62"/>
        <v>0</v>
      </c>
      <c r="J980" s="13" t="str">
        <f t="shared" si="63"/>
        <v/>
      </c>
    </row>
    <row r="981" spans="1:10" x14ac:dyDescent="0.2">
      <c r="A981" s="10" t="str">
        <f t="shared" si="60"/>
        <v/>
      </c>
      <c r="B981" s="9"/>
      <c r="C981" s="8"/>
      <c r="D981" s="10" t="str">
        <f ca="1">IFERROR(_xludf.XLOOKUP(C981,STUDENTS!$A$5:$A$204,STUDENTS!$C$5:$C$204,""),"")</f>
        <v/>
      </c>
      <c r="E981" s="10" t="str">
        <f ca="1">IFERROR(_xludf.XLOOKUP(C981,STUDENTS!$A$5:$A$204,STUDENTS!$L$5:$L$204,""),"")</f>
        <v/>
      </c>
      <c r="F981" s="8"/>
      <c r="G981" s="10" t="str">
        <f>SETTINGS!$B$8</f>
        <v>2026/2027</v>
      </c>
      <c r="H981" s="10">
        <f t="shared" si="61"/>
        <v>0</v>
      </c>
      <c r="I981" s="10">
        <f t="shared" si="62"/>
        <v>0</v>
      </c>
      <c r="J981" s="13" t="str">
        <f t="shared" si="63"/>
        <v/>
      </c>
    </row>
    <row r="982" spans="1:10" x14ac:dyDescent="0.2">
      <c r="A982" s="10" t="str">
        <f t="shared" si="60"/>
        <v/>
      </c>
      <c r="B982" s="9"/>
      <c r="C982" s="8"/>
      <c r="D982" s="10" t="str">
        <f ca="1">IFERROR(_xludf.XLOOKUP(C982,STUDENTS!$A$5:$A$204,STUDENTS!$C$5:$C$204,""),"")</f>
        <v/>
      </c>
      <c r="E982" s="10" t="str">
        <f ca="1">IFERROR(_xludf.XLOOKUP(C982,STUDENTS!$A$5:$A$204,STUDENTS!$L$5:$L$204,""),"")</f>
        <v/>
      </c>
      <c r="F982" s="8"/>
      <c r="G982" s="10" t="str">
        <f>SETTINGS!$B$8</f>
        <v>2026/2027</v>
      </c>
      <c r="H982" s="10">
        <f t="shared" si="61"/>
        <v>0</v>
      </c>
      <c r="I982" s="10">
        <f t="shared" si="62"/>
        <v>0</v>
      </c>
      <c r="J982" s="13" t="str">
        <f t="shared" si="63"/>
        <v/>
      </c>
    </row>
    <row r="983" spans="1:10" x14ac:dyDescent="0.2">
      <c r="A983" s="10" t="str">
        <f t="shared" si="60"/>
        <v/>
      </c>
      <c r="B983" s="9"/>
      <c r="C983" s="8"/>
      <c r="D983" s="10" t="str">
        <f ca="1">IFERROR(_xludf.XLOOKUP(C983,STUDENTS!$A$5:$A$204,STUDENTS!$C$5:$C$204,""),"")</f>
        <v/>
      </c>
      <c r="E983" s="10" t="str">
        <f ca="1">IFERROR(_xludf.XLOOKUP(C983,STUDENTS!$A$5:$A$204,STUDENTS!$L$5:$L$204,""),"")</f>
        <v/>
      </c>
      <c r="F983" s="8"/>
      <c r="G983" s="10" t="str">
        <f>SETTINGS!$B$8</f>
        <v>2026/2027</v>
      </c>
      <c r="H983" s="10">
        <f t="shared" si="61"/>
        <v>0</v>
      </c>
      <c r="I983" s="10">
        <f t="shared" si="62"/>
        <v>0</v>
      </c>
      <c r="J983" s="13" t="str">
        <f t="shared" si="63"/>
        <v/>
      </c>
    </row>
    <row r="984" spans="1:10" x14ac:dyDescent="0.2">
      <c r="A984" s="10" t="str">
        <f t="shared" si="60"/>
        <v/>
      </c>
      <c r="B984" s="9"/>
      <c r="C984" s="8"/>
      <c r="D984" s="10" t="str">
        <f ca="1">IFERROR(_xludf.XLOOKUP(C984,STUDENTS!$A$5:$A$204,STUDENTS!$C$5:$C$204,""),"")</f>
        <v/>
      </c>
      <c r="E984" s="10" t="str">
        <f ca="1">IFERROR(_xludf.XLOOKUP(C984,STUDENTS!$A$5:$A$204,STUDENTS!$L$5:$L$204,""),"")</f>
        <v/>
      </c>
      <c r="F984" s="8"/>
      <c r="G984" s="10" t="str">
        <f>SETTINGS!$B$8</f>
        <v>2026/2027</v>
      </c>
      <c r="H984" s="10">
        <f t="shared" si="61"/>
        <v>0</v>
      </c>
      <c r="I984" s="10">
        <f t="shared" si="62"/>
        <v>0</v>
      </c>
      <c r="J984" s="13" t="str">
        <f t="shared" si="63"/>
        <v/>
      </c>
    </row>
    <row r="985" spans="1:10" x14ac:dyDescent="0.2">
      <c r="A985" s="10" t="str">
        <f t="shared" si="60"/>
        <v/>
      </c>
      <c r="B985" s="9"/>
      <c r="C985" s="8"/>
      <c r="D985" s="10" t="str">
        <f ca="1">IFERROR(_xludf.XLOOKUP(C985,STUDENTS!$A$5:$A$204,STUDENTS!$C$5:$C$204,""),"")</f>
        <v/>
      </c>
      <c r="E985" s="10" t="str">
        <f ca="1">IFERROR(_xludf.XLOOKUP(C985,STUDENTS!$A$5:$A$204,STUDENTS!$L$5:$L$204,""),"")</f>
        <v/>
      </c>
      <c r="F985" s="8"/>
      <c r="G985" s="10" t="str">
        <f>SETTINGS!$B$8</f>
        <v>2026/2027</v>
      </c>
      <c r="H985" s="10">
        <f t="shared" si="61"/>
        <v>0</v>
      </c>
      <c r="I985" s="10">
        <f t="shared" si="62"/>
        <v>0</v>
      </c>
      <c r="J985" s="13" t="str">
        <f t="shared" si="63"/>
        <v/>
      </c>
    </row>
    <row r="986" spans="1:10" x14ac:dyDescent="0.2">
      <c r="A986" s="10" t="str">
        <f t="shared" si="60"/>
        <v/>
      </c>
      <c r="B986" s="9"/>
      <c r="C986" s="8"/>
      <c r="D986" s="10" t="str">
        <f ca="1">IFERROR(_xludf.XLOOKUP(C986,STUDENTS!$A$5:$A$204,STUDENTS!$C$5:$C$204,""),"")</f>
        <v/>
      </c>
      <c r="E986" s="10" t="str">
        <f ca="1">IFERROR(_xludf.XLOOKUP(C986,STUDENTS!$A$5:$A$204,STUDENTS!$L$5:$L$204,""),"")</f>
        <v/>
      </c>
      <c r="F986" s="8"/>
      <c r="G986" s="10" t="str">
        <f>SETTINGS!$B$8</f>
        <v>2026/2027</v>
      </c>
      <c r="H986" s="10">
        <f t="shared" si="61"/>
        <v>0</v>
      </c>
      <c r="I986" s="10">
        <f t="shared" si="62"/>
        <v>0</v>
      </c>
      <c r="J986" s="13" t="str">
        <f t="shared" si="63"/>
        <v/>
      </c>
    </row>
    <row r="987" spans="1:10" x14ac:dyDescent="0.2">
      <c r="A987" s="10" t="str">
        <f t="shared" si="60"/>
        <v/>
      </c>
      <c r="B987" s="9"/>
      <c r="C987" s="8"/>
      <c r="D987" s="10" t="str">
        <f ca="1">IFERROR(_xludf.XLOOKUP(C987,STUDENTS!$A$5:$A$204,STUDENTS!$C$5:$C$204,""),"")</f>
        <v/>
      </c>
      <c r="E987" s="10" t="str">
        <f ca="1">IFERROR(_xludf.XLOOKUP(C987,STUDENTS!$A$5:$A$204,STUDENTS!$L$5:$L$204,""),"")</f>
        <v/>
      </c>
      <c r="F987" s="8"/>
      <c r="G987" s="10" t="str">
        <f>SETTINGS!$B$8</f>
        <v>2026/2027</v>
      </c>
      <c r="H987" s="10">
        <f t="shared" si="61"/>
        <v>0</v>
      </c>
      <c r="I987" s="10">
        <f t="shared" si="62"/>
        <v>0</v>
      </c>
      <c r="J987" s="13" t="str">
        <f t="shared" si="63"/>
        <v/>
      </c>
    </row>
    <row r="988" spans="1:10" x14ac:dyDescent="0.2">
      <c r="A988" s="10" t="str">
        <f t="shared" si="60"/>
        <v/>
      </c>
      <c r="B988" s="9"/>
      <c r="C988" s="8"/>
      <c r="D988" s="10" t="str">
        <f ca="1">IFERROR(_xludf.XLOOKUP(C988,STUDENTS!$A$5:$A$204,STUDENTS!$C$5:$C$204,""),"")</f>
        <v/>
      </c>
      <c r="E988" s="10" t="str">
        <f ca="1">IFERROR(_xludf.XLOOKUP(C988,STUDENTS!$A$5:$A$204,STUDENTS!$L$5:$L$204,""),"")</f>
        <v/>
      </c>
      <c r="F988" s="8"/>
      <c r="G988" s="10" t="str">
        <f>SETTINGS!$B$8</f>
        <v>2026/2027</v>
      </c>
      <c r="H988" s="10">
        <f t="shared" si="61"/>
        <v>0</v>
      </c>
      <c r="I988" s="10">
        <f t="shared" si="62"/>
        <v>0</v>
      </c>
      <c r="J988" s="13" t="str">
        <f t="shared" si="63"/>
        <v/>
      </c>
    </row>
    <row r="989" spans="1:10" x14ac:dyDescent="0.2">
      <c r="A989" s="10" t="str">
        <f t="shared" si="60"/>
        <v/>
      </c>
      <c r="B989" s="9"/>
      <c r="C989" s="8"/>
      <c r="D989" s="10" t="str">
        <f ca="1">IFERROR(_xludf.XLOOKUP(C989,STUDENTS!$A$5:$A$204,STUDENTS!$C$5:$C$204,""),"")</f>
        <v/>
      </c>
      <c r="E989" s="10" t="str">
        <f ca="1">IFERROR(_xludf.XLOOKUP(C989,STUDENTS!$A$5:$A$204,STUDENTS!$L$5:$L$204,""),"")</f>
        <v/>
      </c>
      <c r="F989" s="8"/>
      <c r="G989" s="10" t="str">
        <f>SETTINGS!$B$8</f>
        <v>2026/2027</v>
      </c>
      <c r="H989" s="10">
        <f t="shared" si="61"/>
        <v>0</v>
      </c>
      <c r="I989" s="10">
        <f t="shared" si="62"/>
        <v>0</v>
      </c>
      <c r="J989" s="13" t="str">
        <f t="shared" si="63"/>
        <v/>
      </c>
    </row>
    <row r="990" spans="1:10" x14ac:dyDescent="0.2">
      <c r="A990" s="10" t="str">
        <f t="shared" si="60"/>
        <v/>
      </c>
      <c r="B990" s="9"/>
      <c r="C990" s="8"/>
      <c r="D990" s="10" t="str">
        <f ca="1">IFERROR(_xludf.XLOOKUP(C990,STUDENTS!$A$5:$A$204,STUDENTS!$C$5:$C$204,""),"")</f>
        <v/>
      </c>
      <c r="E990" s="10" t="str">
        <f ca="1">IFERROR(_xludf.XLOOKUP(C990,STUDENTS!$A$5:$A$204,STUDENTS!$L$5:$L$204,""),"")</f>
        <v/>
      </c>
      <c r="F990" s="8"/>
      <c r="G990" s="10" t="str">
        <f>SETTINGS!$B$8</f>
        <v>2026/2027</v>
      </c>
      <c r="H990" s="10">
        <f t="shared" si="61"/>
        <v>0</v>
      </c>
      <c r="I990" s="10">
        <f t="shared" si="62"/>
        <v>0</v>
      </c>
      <c r="J990" s="13" t="str">
        <f t="shared" si="63"/>
        <v/>
      </c>
    </row>
    <row r="991" spans="1:10" x14ac:dyDescent="0.2">
      <c r="A991" s="10" t="str">
        <f t="shared" si="60"/>
        <v/>
      </c>
      <c r="B991" s="9"/>
      <c r="C991" s="8"/>
      <c r="D991" s="10" t="str">
        <f ca="1">IFERROR(_xludf.XLOOKUP(C991,STUDENTS!$A$5:$A$204,STUDENTS!$C$5:$C$204,""),"")</f>
        <v/>
      </c>
      <c r="E991" s="10" t="str">
        <f ca="1">IFERROR(_xludf.XLOOKUP(C991,STUDENTS!$A$5:$A$204,STUDENTS!$L$5:$L$204,""),"")</f>
        <v/>
      </c>
      <c r="F991" s="8"/>
      <c r="G991" s="10" t="str">
        <f>SETTINGS!$B$8</f>
        <v>2026/2027</v>
      </c>
      <c r="H991" s="10">
        <f t="shared" si="61"/>
        <v>0</v>
      </c>
      <c r="I991" s="10">
        <f t="shared" si="62"/>
        <v>0</v>
      </c>
      <c r="J991" s="13" t="str">
        <f t="shared" si="63"/>
        <v/>
      </c>
    </row>
    <row r="992" spans="1:10" x14ac:dyDescent="0.2">
      <c r="A992" s="10" t="str">
        <f t="shared" si="60"/>
        <v/>
      </c>
      <c r="B992" s="9"/>
      <c r="C992" s="8"/>
      <c r="D992" s="10" t="str">
        <f ca="1">IFERROR(_xludf.XLOOKUP(C992,STUDENTS!$A$5:$A$204,STUDENTS!$C$5:$C$204,""),"")</f>
        <v/>
      </c>
      <c r="E992" s="10" t="str">
        <f ca="1">IFERROR(_xludf.XLOOKUP(C992,STUDENTS!$A$5:$A$204,STUDENTS!$L$5:$L$204,""),"")</f>
        <v/>
      </c>
      <c r="F992" s="8"/>
      <c r="G992" s="10" t="str">
        <f>SETTINGS!$B$8</f>
        <v>2026/2027</v>
      </c>
      <c r="H992" s="10">
        <f t="shared" si="61"/>
        <v>0</v>
      </c>
      <c r="I992" s="10">
        <f t="shared" si="62"/>
        <v>0</v>
      </c>
      <c r="J992" s="13" t="str">
        <f t="shared" si="63"/>
        <v/>
      </c>
    </row>
    <row r="993" spans="1:10" x14ac:dyDescent="0.2">
      <c r="A993" s="10" t="str">
        <f t="shared" si="60"/>
        <v/>
      </c>
      <c r="B993" s="9"/>
      <c r="C993" s="8"/>
      <c r="D993" s="10" t="str">
        <f ca="1">IFERROR(_xludf.XLOOKUP(C993,STUDENTS!$A$5:$A$204,STUDENTS!$C$5:$C$204,""),"")</f>
        <v/>
      </c>
      <c r="E993" s="10" t="str">
        <f ca="1">IFERROR(_xludf.XLOOKUP(C993,STUDENTS!$A$5:$A$204,STUDENTS!$L$5:$L$204,""),"")</f>
        <v/>
      </c>
      <c r="F993" s="8"/>
      <c r="G993" s="10" t="str">
        <f>SETTINGS!$B$8</f>
        <v>2026/2027</v>
      </c>
      <c r="H993" s="10">
        <f t="shared" si="61"/>
        <v>0</v>
      </c>
      <c r="I993" s="10">
        <f t="shared" si="62"/>
        <v>0</v>
      </c>
      <c r="J993" s="13" t="str">
        <f t="shared" si="63"/>
        <v/>
      </c>
    </row>
    <row r="994" spans="1:10" x14ac:dyDescent="0.2">
      <c r="A994" s="10" t="str">
        <f t="shared" si="60"/>
        <v/>
      </c>
      <c r="B994" s="9"/>
      <c r="C994" s="8"/>
      <c r="D994" s="10" t="str">
        <f ca="1">IFERROR(_xludf.XLOOKUP(C994,STUDENTS!$A$5:$A$204,STUDENTS!$C$5:$C$204,""),"")</f>
        <v/>
      </c>
      <c r="E994" s="10" t="str">
        <f ca="1">IFERROR(_xludf.XLOOKUP(C994,STUDENTS!$A$5:$A$204,STUDENTS!$L$5:$L$204,""),"")</f>
        <v/>
      </c>
      <c r="F994" s="8"/>
      <c r="G994" s="10" t="str">
        <f>SETTINGS!$B$8</f>
        <v>2026/2027</v>
      </c>
      <c r="H994" s="10">
        <f t="shared" si="61"/>
        <v>0</v>
      </c>
      <c r="I994" s="10">
        <f t="shared" si="62"/>
        <v>0</v>
      </c>
      <c r="J994" s="13" t="str">
        <f t="shared" si="63"/>
        <v/>
      </c>
    </row>
    <row r="995" spans="1:10" x14ac:dyDescent="0.2">
      <c r="A995" s="10" t="str">
        <f t="shared" si="60"/>
        <v/>
      </c>
      <c r="B995" s="9"/>
      <c r="C995" s="8"/>
      <c r="D995" s="10" t="str">
        <f ca="1">IFERROR(_xludf.XLOOKUP(C995,STUDENTS!$A$5:$A$204,STUDENTS!$C$5:$C$204,""),"")</f>
        <v/>
      </c>
      <c r="E995" s="10" t="str">
        <f ca="1">IFERROR(_xludf.XLOOKUP(C995,STUDENTS!$A$5:$A$204,STUDENTS!$L$5:$L$204,""),"")</f>
        <v/>
      </c>
      <c r="F995" s="8"/>
      <c r="G995" s="10" t="str">
        <f>SETTINGS!$B$8</f>
        <v>2026/2027</v>
      </c>
      <c r="H995" s="10">
        <f t="shared" si="61"/>
        <v>0</v>
      </c>
      <c r="I995" s="10">
        <f t="shared" si="62"/>
        <v>0</v>
      </c>
      <c r="J995" s="13" t="str">
        <f t="shared" si="63"/>
        <v/>
      </c>
    </row>
    <row r="996" spans="1:10" x14ac:dyDescent="0.2">
      <c r="A996" s="10" t="str">
        <f t="shared" si="60"/>
        <v/>
      </c>
      <c r="B996" s="9"/>
      <c r="C996" s="8"/>
      <c r="D996" s="10" t="str">
        <f ca="1">IFERROR(_xludf.XLOOKUP(C996,STUDENTS!$A$5:$A$204,STUDENTS!$C$5:$C$204,""),"")</f>
        <v/>
      </c>
      <c r="E996" s="10" t="str">
        <f ca="1">IFERROR(_xludf.XLOOKUP(C996,STUDENTS!$A$5:$A$204,STUDENTS!$L$5:$L$204,""),"")</f>
        <v/>
      </c>
      <c r="F996" s="8"/>
      <c r="G996" s="10" t="str">
        <f>SETTINGS!$B$8</f>
        <v>2026/2027</v>
      </c>
      <c r="H996" s="10">
        <f t="shared" si="61"/>
        <v>0</v>
      </c>
      <c r="I996" s="10">
        <f t="shared" si="62"/>
        <v>0</v>
      </c>
      <c r="J996" s="13" t="str">
        <f t="shared" si="63"/>
        <v/>
      </c>
    </row>
    <row r="997" spans="1:10" x14ac:dyDescent="0.2">
      <c r="A997" s="10" t="str">
        <f t="shared" si="60"/>
        <v/>
      </c>
      <c r="B997" s="9"/>
      <c r="C997" s="8"/>
      <c r="D997" s="10" t="str">
        <f ca="1">IFERROR(_xludf.XLOOKUP(C997,STUDENTS!$A$5:$A$204,STUDENTS!$C$5:$C$204,""),"")</f>
        <v/>
      </c>
      <c r="E997" s="10" t="str">
        <f ca="1">IFERROR(_xludf.XLOOKUP(C997,STUDENTS!$A$5:$A$204,STUDENTS!$L$5:$L$204,""),"")</f>
        <v/>
      </c>
      <c r="F997" s="8"/>
      <c r="G997" s="10" t="str">
        <f>SETTINGS!$B$8</f>
        <v>2026/2027</v>
      </c>
      <c r="H997" s="10">
        <f t="shared" si="61"/>
        <v>0</v>
      </c>
      <c r="I997" s="10">
        <f t="shared" si="62"/>
        <v>0</v>
      </c>
      <c r="J997" s="13" t="str">
        <f t="shared" si="63"/>
        <v/>
      </c>
    </row>
    <row r="998" spans="1:10" x14ac:dyDescent="0.2">
      <c r="A998" s="10" t="str">
        <f t="shared" si="60"/>
        <v/>
      </c>
      <c r="B998" s="9"/>
      <c r="C998" s="8"/>
      <c r="D998" s="10" t="str">
        <f ca="1">IFERROR(_xludf.XLOOKUP(C998,STUDENTS!$A$5:$A$204,STUDENTS!$C$5:$C$204,""),"")</f>
        <v/>
      </c>
      <c r="E998" s="10" t="str">
        <f ca="1">IFERROR(_xludf.XLOOKUP(C998,STUDENTS!$A$5:$A$204,STUDENTS!$L$5:$L$204,""),"")</f>
        <v/>
      </c>
      <c r="F998" s="8"/>
      <c r="G998" s="10" t="str">
        <f>SETTINGS!$B$8</f>
        <v>2026/2027</v>
      </c>
      <c r="H998" s="10">
        <f t="shared" si="61"/>
        <v>0</v>
      </c>
      <c r="I998" s="10">
        <f t="shared" si="62"/>
        <v>0</v>
      </c>
      <c r="J998" s="13" t="str">
        <f t="shared" si="63"/>
        <v/>
      </c>
    </row>
    <row r="999" spans="1:10" x14ac:dyDescent="0.2">
      <c r="A999" s="10" t="str">
        <f t="shared" si="60"/>
        <v/>
      </c>
      <c r="B999" s="9"/>
      <c r="C999" s="8"/>
      <c r="D999" s="10" t="str">
        <f ca="1">IFERROR(_xludf.XLOOKUP(C999,STUDENTS!$A$5:$A$204,STUDENTS!$C$5:$C$204,""),"")</f>
        <v/>
      </c>
      <c r="E999" s="10" t="str">
        <f ca="1">IFERROR(_xludf.XLOOKUP(C999,STUDENTS!$A$5:$A$204,STUDENTS!$L$5:$L$204,""),"")</f>
        <v/>
      </c>
      <c r="F999" s="8"/>
      <c r="G999" s="10" t="str">
        <f>SETTINGS!$B$8</f>
        <v>2026/2027</v>
      </c>
      <c r="H999" s="10">
        <f t="shared" si="61"/>
        <v>0</v>
      </c>
      <c r="I999" s="10">
        <f t="shared" si="62"/>
        <v>0</v>
      </c>
      <c r="J999" s="13" t="str">
        <f t="shared" si="63"/>
        <v/>
      </c>
    </row>
    <row r="1000" spans="1:10" x14ac:dyDescent="0.2">
      <c r="A1000" s="10" t="str">
        <f t="shared" si="60"/>
        <v/>
      </c>
      <c r="B1000" s="9"/>
      <c r="C1000" s="8"/>
      <c r="D1000" s="10" t="str">
        <f ca="1">IFERROR(_xludf.XLOOKUP(C1000,STUDENTS!$A$5:$A$204,STUDENTS!$C$5:$C$204,""),"")</f>
        <v/>
      </c>
      <c r="E1000" s="10" t="str">
        <f ca="1">IFERROR(_xludf.XLOOKUP(C1000,STUDENTS!$A$5:$A$204,STUDENTS!$L$5:$L$204,""),"")</f>
        <v/>
      </c>
      <c r="F1000" s="8"/>
      <c r="G1000" s="10" t="str">
        <f>SETTINGS!$B$8</f>
        <v>2026/2027</v>
      </c>
      <c r="H1000" s="10">
        <f t="shared" si="61"/>
        <v>0</v>
      </c>
      <c r="I1000" s="10">
        <f t="shared" si="62"/>
        <v>0</v>
      </c>
      <c r="J1000" s="13" t="str">
        <f t="shared" si="63"/>
        <v/>
      </c>
    </row>
    <row r="1001" spans="1:10" x14ac:dyDescent="0.2">
      <c r="A1001" s="10" t="str">
        <f t="shared" si="60"/>
        <v/>
      </c>
      <c r="B1001" s="9"/>
      <c r="C1001" s="8"/>
      <c r="D1001" s="10" t="str">
        <f ca="1">IFERROR(_xludf.XLOOKUP(C1001,STUDENTS!$A$5:$A$204,STUDENTS!$C$5:$C$204,""),"")</f>
        <v/>
      </c>
      <c r="E1001" s="10" t="str">
        <f ca="1">IFERROR(_xludf.XLOOKUP(C1001,STUDENTS!$A$5:$A$204,STUDENTS!$L$5:$L$204,""),"")</f>
        <v/>
      </c>
      <c r="F1001" s="8"/>
      <c r="G1001" s="10" t="str">
        <f>SETTINGS!$B$8</f>
        <v>2026/2027</v>
      </c>
      <c r="H1001" s="10">
        <f t="shared" si="61"/>
        <v>0</v>
      </c>
      <c r="I1001" s="10">
        <f t="shared" si="62"/>
        <v>0</v>
      </c>
      <c r="J1001" s="13" t="str">
        <f t="shared" si="63"/>
        <v/>
      </c>
    </row>
    <row r="1002" spans="1:10" x14ac:dyDescent="0.2">
      <c r="A1002" s="10" t="str">
        <f t="shared" si="60"/>
        <v/>
      </c>
      <c r="B1002" s="9"/>
      <c r="C1002" s="8"/>
      <c r="D1002" s="10" t="str">
        <f ca="1">IFERROR(_xludf.XLOOKUP(C1002,STUDENTS!$A$5:$A$204,STUDENTS!$C$5:$C$204,""),"")</f>
        <v/>
      </c>
      <c r="E1002" s="10" t="str">
        <f ca="1">IFERROR(_xludf.XLOOKUP(C1002,STUDENTS!$A$5:$A$204,STUDENTS!$L$5:$L$204,""),"")</f>
        <v/>
      </c>
      <c r="F1002" s="8"/>
      <c r="G1002" s="10" t="str">
        <f>SETTINGS!$B$8</f>
        <v>2026/2027</v>
      </c>
      <c r="H1002" s="10">
        <f t="shared" si="61"/>
        <v>0</v>
      </c>
      <c r="I1002" s="10">
        <f t="shared" si="62"/>
        <v>0</v>
      </c>
      <c r="J1002" s="13" t="str">
        <f t="shared" si="63"/>
        <v/>
      </c>
    </row>
    <row r="1003" spans="1:10" x14ac:dyDescent="0.2">
      <c r="A1003" s="10" t="str">
        <f t="shared" si="60"/>
        <v/>
      </c>
      <c r="B1003" s="9"/>
      <c r="C1003" s="8"/>
      <c r="D1003" s="10" t="str">
        <f ca="1">IFERROR(_xludf.XLOOKUP(C1003,STUDENTS!$A$5:$A$204,STUDENTS!$C$5:$C$204,""),"")</f>
        <v/>
      </c>
      <c r="E1003" s="10" t="str">
        <f ca="1">IFERROR(_xludf.XLOOKUP(C1003,STUDENTS!$A$5:$A$204,STUDENTS!$L$5:$L$204,""),"")</f>
        <v/>
      </c>
      <c r="F1003" s="8"/>
      <c r="G1003" s="10" t="str">
        <f>SETTINGS!$B$8</f>
        <v>2026/2027</v>
      </c>
      <c r="H1003" s="10">
        <f t="shared" si="61"/>
        <v>0</v>
      </c>
      <c r="I1003" s="10">
        <f t="shared" si="62"/>
        <v>0</v>
      </c>
      <c r="J1003" s="13" t="str">
        <f t="shared" si="63"/>
        <v/>
      </c>
    </row>
    <row r="1004" spans="1:10" x14ac:dyDescent="0.2">
      <c r="A1004" s="10" t="str">
        <f t="shared" si="60"/>
        <v/>
      </c>
      <c r="B1004" s="9"/>
      <c r="C1004" s="8"/>
      <c r="D1004" s="10" t="str">
        <f ca="1">IFERROR(_xludf.XLOOKUP(C1004,STUDENTS!$A$5:$A$204,STUDENTS!$C$5:$C$204,""),"")</f>
        <v/>
      </c>
      <c r="E1004" s="10" t="str">
        <f ca="1">IFERROR(_xludf.XLOOKUP(C1004,STUDENTS!$A$5:$A$204,STUDENTS!$L$5:$L$204,""),"")</f>
        <v/>
      </c>
      <c r="F1004" s="8"/>
      <c r="G1004" s="10" t="str">
        <f>SETTINGS!$B$8</f>
        <v>2026/2027</v>
      </c>
      <c r="H1004" s="10">
        <f t="shared" si="61"/>
        <v>0</v>
      </c>
      <c r="I1004" s="10">
        <f t="shared" si="62"/>
        <v>0</v>
      </c>
      <c r="J1004" s="13" t="str">
        <f t="shared" si="63"/>
        <v/>
      </c>
    </row>
    <row r="1005" spans="1:10" x14ac:dyDescent="0.2">
      <c r="A1005" s="10" t="str">
        <f t="shared" si="60"/>
        <v/>
      </c>
      <c r="B1005" s="9"/>
      <c r="C1005" s="8"/>
      <c r="D1005" s="10" t="str">
        <f ca="1">IFERROR(_xludf.XLOOKUP(C1005,STUDENTS!$A$5:$A$204,STUDENTS!$C$5:$C$204,""),"")</f>
        <v/>
      </c>
      <c r="E1005" s="10" t="str">
        <f ca="1">IFERROR(_xludf.XLOOKUP(C1005,STUDENTS!$A$5:$A$204,STUDENTS!$L$5:$L$204,""),"")</f>
        <v/>
      </c>
      <c r="F1005" s="8"/>
      <c r="G1005" s="10" t="str">
        <f>SETTINGS!$B$8</f>
        <v>2026/2027</v>
      </c>
      <c r="H1005" s="10">
        <f t="shared" si="61"/>
        <v>0</v>
      </c>
      <c r="I1005" s="10">
        <f t="shared" si="62"/>
        <v>0</v>
      </c>
      <c r="J1005" s="13" t="str">
        <f t="shared" si="63"/>
        <v/>
      </c>
    </row>
    <row r="1006" spans="1:10" x14ac:dyDescent="0.2">
      <c r="A1006" s="10" t="str">
        <f t="shared" si="60"/>
        <v/>
      </c>
      <c r="B1006" s="9"/>
      <c r="C1006" s="8"/>
      <c r="D1006" s="10" t="str">
        <f ca="1">IFERROR(_xludf.XLOOKUP(C1006,STUDENTS!$A$5:$A$204,STUDENTS!$C$5:$C$204,""),"")</f>
        <v/>
      </c>
      <c r="E1006" s="10" t="str">
        <f ca="1">IFERROR(_xludf.XLOOKUP(C1006,STUDENTS!$A$5:$A$204,STUDENTS!$L$5:$L$204,""),"")</f>
        <v/>
      </c>
      <c r="F1006" s="8"/>
      <c r="G1006" s="10" t="str">
        <f>SETTINGS!$B$8</f>
        <v>2026/2027</v>
      </c>
      <c r="H1006" s="10">
        <f t="shared" si="61"/>
        <v>0</v>
      </c>
      <c r="I1006" s="10">
        <f t="shared" si="62"/>
        <v>0</v>
      </c>
      <c r="J1006" s="13" t="str">
        <f t="shared" si="63"/>
        <v/>
      </c>
    </row>
    <row r="1007" spans="1:10" x14ac:dyDescent="0.2">
      <c r="A1007" s="10" t="str">
        <f t="shared" si="60"/>
        <v/>
      </c>
      <c r="B1007" s="9"/>
      <c r="C1007" s="8"/>
      <c r="D1007" s="10" t="str">
        <f ca="1">IFERROR(_xludf.XLOOKUP(C1007,STUDENTS!$A$5:$A$204,STUDENTS!$C$5:$C$204,""),"")</f>
        <v/>
      </c>
      <c r="E1007" s="10" t="str">
        <f ca="1">IFERROR(_xludf.XLOOKUP(C1007,STUDENTS!$A$5:$A$204,STUDENTS!$L$5:$L$204,""),"")</f>
        <v/>
      </c>
      <c r="F1007" s="8"/>
      <c r="G1007" s="10" t="str">
        <f>SETTINGS!$B$8</f>
        <v>2026/2027</v>
      </c>
      <c r="H1007" s="10">
        <f t="shared" si="61"/>
        <v>0</v>
      </c>
      <c r="I1007" s="10">
        <f t="shared" si="62"/>
        <v>0</v>
      </c>
      <c r="J1007" s="13" t="str">
        <f t="shared" si="63"/>
        <v/>
      </c>
    </row>
    <row r="1008" spans="1:10" x14ac:dyDescent="0.2">
      <c r="A1008" s="10" t="str">
        <f t="shared" si="60"/>
        <v/>
      </c>
      <c r="B1008" s="9"/>
      <c r="C1008" s="8"/>
      <c r="D1008" s="10" t="str">
        <f ca="1">IFERROR(_xludf.XLOOKUP(C1008,STUDENTS!$A$5:$A$204,STUDENTS!$C$5:$C$204,""),"")</f>
        <v/>
      </c>
      <c r="E1008" s="10" t="str">
        <f ca="1">IFERROR(_xludf.XLOOKUP(C1008,STUDENTS!$A$5:$A$204,STUDENTS!$L$5:$L$204,""),"")</f>
        <v/>
      </c>
      <c r="F1008" s="8"/>
      <c r="G1008" s="10" t="str">
        <f>SETTINGS!$B$8</f>
        <v>2026/2027</v>
      </c>
      <c r="H1008" s="10">
        <f t="shared" si="61"/>
        <v>0</v>
      </c>
      <c r="I1008" s="10">
        <f t="shared" si="62"/>
        <v>0</v>
      </c>
      <c r="J1008" s="13" t="str">
        <f t="shared" si="63"/>
        <v/>
      </c>
    </row>
    <row r="1009" spans="1:10" x14ac:dyDescent="0.2">
      <c r="A1009" s="10" t="str">
        <f t="shared" si="60"/>
        <v/>
      </c>
      <c r="B1009" s="9"/>
      <c r="C1009" s="8"/>
      <c r="D1009" s="10" t="str">
        <f ca="1">IFERROR(_xludf.XLOOKUP(C1009,STUDENTS!$A$5:$A$204,STUDENTS!$C$5:$C$204,""),"")</f>
        <v/>
      </c>
      <c r="E1009" s="10" t="str">
        <f ca="1">IFERROR(_xludf.XLOOKUP(C1009,STUDENTS!$A$5:$A$204,STUDENTS!$L$5:$L$204,""),"")</f>
        <v/>
      </c>
      <c r="F1009" s="8"/>
      <c r="G1009" s="10" t="str">
        <f>SETTINGS!$B$8</f>
        <v>2026/2027</v>
      </c>
      <c r="H1009" s="10">
        <f t="shared" si="61"/>
        <v>0</v>
      </c>
      <c r="I1009" s="10">
        <f t="shared" si="62"/>
        <v>0</v>
      </c>
      <c r="J1009" s="13" t="str">
        <f t="shared" si="63"/>
        <v/>
      </c>
    </row>
    <row r="1010" spans="1:10" x14ac:dyDescent="0.2">
      <c r="A1010" s="10" t="str">
        <f t="shared" si="60"/>
        <v/>
      </c>
      <c r="B1010" s="9"/>
      <c r="C1010" s="8"/>
      <c r="D1010" s="10" t="str">
        <f ca="1">IFERROR(_xludf.XLOOKUP(C1010,STUDENTS!$A$5:$A$204,STUDENTS!$C$5:$C$204,""),"")</f>
        <v/>
      </c>
      <c r="E1010" s="10" t="str">
        <f ca="1">IFERROR(_xludf.XLOOKUP(C1010,STUDENTS!$A$5:$A$204,STUDENTS!$L$5:$L$204,""),"")</f>
        <v/>
      </c>
      <c r="F1010" s="8"/>
      <c r="G1010" s="10" t="str">
        <f>SETTINGS!$B$8</f>
        <v>2026/2027</v>
      </c>
      <c r="H1010" s="10">
        <f t="shared" si="61"/>
        <v>0</v>
      </c>
      <c r="I1010" s="10">
        <f t="shared" si="62"/>
        <v>0</v>
      </c>
      <c r="J1010" s="13" t="str">
        <f t="shared" si="63"/>
        <v/>
      </c>
    </row>
    <row r="1011" spans="1:10" x14ac:dyDescent="0.2">
      <c r="A1011" s="10" t="str">
        <f t="shared" si="60"/>
        <v/>
      </c>
      <c r="B1011" s="9"/>
      <c r="C1011" s="8"/>
      <c r="D1011" s="10" t="str">
        <f ca="1">IFERROR(_xludf.XLOOKUP(C1011,STUDENTS!$A$5:$A$204,STUDENTS!$C$5:$C$204,""),"")</f>
        <v/>
      </c>
      <c r="E1011" s="10" t="str">
        <f ca="1">IFERROR(_xludf.XLOOKUP(C1011,STUDENTS!$A$5:$A$204,STUDENTS!$L$5:$L$204,""),"")</f>
        <v/>
      </c>
      <c r="F1011" s="8"/>
      <c r="G1011" s="10" t="str">
        <f>SETTINGS!$B$8</f>
        <v>2026/2027</v>
      </c>
      <c r="H1011" s="10">
        <f t="shared" si="61"/>
        <v>0</v>
      </c>
      <c r="I1011" s="10">
        <f t="shared" si="62"/>
        <v>0</v>
      </c>
      <c r="J1011" s="13" t="str">
        <f t="shared" si="63"/>
        <v/>
      </c>
    </row>
    <row r="1012" spans="1:10" x14ac:dyDescent="0.2">
      <c r="A1012" s="10" t="str">
        <f t="shared" si="60"/>
        <v/>
      </c>
      <c r="B1012" s="9"/>
      <c r="C1012" s="8"/>
      <c r="D1012" s="10" t="str">
        <f ca="1">IFERROR(_xludf.XLOOKUP(C1012,STUDENTS!$A$5:$A$204,STUDENTS!$C$5:$C$204,""),"")</f>
        <v/>
      </c>
      <c r="E1012" s="10" t="str">
        <f ca="1">IFERROR(_xludf.XLOOKUP(C1012,STUDENTS!$A$5:$A$204,STUDENTS!$L$5:$L$204,""),"")</f>
        <v/>
      </c>
      <c r="F1012" s="8"/>
      <c r="G1012" s="10" t="str">
        <f>SETTINGS!$B$8</f>
        <v>2026/2027</v>
      </c>
      <c r="H1012" s="10">
        <f t="shared" si="61"/>
        <v>0</v>
      </c>
      <c r="I1012" s="10">
        <f t="shared" si="62"/>
        <v>0</v>
      </c>
      <c r="J1012" s="13" t="str">
        <f t="shared" si="63"/>
        <v/>
      </c>
    </row>
    <row r="1013" spans="1:10" x14ac:dyDescent="0.2">
      <c r="A1013" s="10" t="str">
        <f t="shared" si="60"/>
        <v/>
      </c>
      <c r="B1013" s="9"/>
      <c r="C1013" s="8"/>
      <c r="D1013" s="10" t="str">
        <f ca="1">IFERROR(_xludf.XLOOKUP(C1013,STUDENTS!$A$5:$A$204,STUDENTS!$C$5:$C$204,""),"")</f>
        <v/>
      </c>
      <c r="E1013" s="10" t="str">
        <f ca="1">IFERROR(_xludf.XLOOKUP(C1013,STUDENTS!$A$5:$A$204,STUDENTS!$L$5:$L$204,""),"")</f>
        <v/>
      </c>
      <c r="F1013" s="8"/>
      <c r="G1013" s="10" t="str">
        <f>SETTINGS!$B$8</f>
        <v>2026/2027</v>
      </c>
      <c r="H1013" s="10">
        <f t="shared" si="61"/>
        <v>0</v>
      </c>
      <c r="I1013" s="10">
        <f t="shared" si="62"/>
        <v>0</v>
      </c>
      <c r="J1013" s="13" t="str">
        <f t="shared" si="63"/>
        <v/>
      </c>
    </row>
    <row r="1014" spans="1:10" x14ac:dyDescent="0.2">
      <c r="A1014" s="10" t="str">
        <f t="shared" si="60"/>
        <v/>
      </c>
      <c r="B1014" s="9"/>
      <c r="C1014" s="8"/>
      <c r="D1014" s="10" t="str">
        <f ca="1">IFERROR(_xludf.XLOOKUP(C1014,STUDENTS!$A$5:$A$204,STUDENTS!$C$5:$C$204,""),"")</f>
        <v/>
      </c>
      <c r="E1014" s="10" t="str">
        <f ca="1">IFERROR(_xludf.XLOOKUP(C1014,STUDENTS!$A$5:$A$204,STUDENTS!$L$5:$L$204,""),"")</f>
        <v/>
      </c>
      <c r="F1014" s="8"/>
      <c r="G1014" s="10" t="str">
        <f>SETTINGS!$B$8</f>
        <v>2026/2027</v>
      </c>
      <c r="H1014" s="10">
        <f t="shared" si="61"/>
        <v>0</v>
      </c>
      <c r="I1014" s="10">
        <f t="shared" si="62"/>
        <v>0</v>
      </c>
      <c r="J1014" s="13" t="str">
        <f t="shared" si="63"/>
        <v/>
      </c>
    </row>
    <row r="1015" spans="1:10" x14ac:dyDescent="0.2">
      <c r="A1015" s="10" t="str">
        <f t="shared" si="60"/>
        <v/>
      </c>
      <c r="B1015" s="9"/>
      <c r="C1015" s="8"/>
      <c r="D1015" s="10" t="str">
        <f ca="1">IFERROR(_xludf.XLOOKUP(C1015,STUDENTS!$A$5:$A$204,STUDENTS!$C$5:$C$204,""),"")</f>
        <v/>
      </c>
      <c r="E1015" s="10" t="str">
        <f ca="1">IFERROR(_xludf.XLOOKUP(C1015,STUDENTS!$A$5:$A$204,STUDENTS!$L$5:$L$204,""),"")</f>
        <v/>
      </c>
      <c r="F1015" s="8"/>
      <c r="G1015" s="10" t="str">
        <f>SETTINGS!$B$8</f>
        <v>2026/2027</v>
      </c>
      <c r="H1015" s="10">
        <f t="shared" si="61"/>
        <v>0</v>
      </c>
      <c r="I1015" s="10">
        <f t="shared" si="62"/>
        <v>0</v>
      </c>
      <c r="J1015" s="13" t="str">
        <f t="shared" si="63"/>
        <v/>
      </c>
    </row>
    <row r="1016" spans="1:10" x14ac:dyDescent="0.2">
      <c r="A1016" s="10" t="str">
        <f t="shared" si="60"/>
        <v/>
      </c>
      <c r="B1016" s="9"/>
      <c r="C1016" s="8"/>
      <c r="D1016" s="10" t="str">
        <f ca="1">IFERROR(_xludf.XLOOKUP(C1016,STUDENTS!$A$5:$A$204,STUDENTS!$C$5:$C$204,""),"")</f>
        <v/>
      </c>
      <c r="E1016" s="10" t="str">
        <f ca="1">IFERROR(_xludf.XLOOKUP(C1016,STUDENTS!$A$5:$A$204,STUDENTS!$L$5:$L$204,""),"")</f>
        <v/>
      </c>
      <c r="F1016" s="8"/>
      <c r="G1016" s="10" t="str">
        <f>SETTINGS!$B$8</f>
        <v>2026/2027</v>
      </c>
      <c r="H1016" s="10">
        <f t="shared" si="61"/>
        <v>0</v>
      </c>
      <c r="I1016" s="10">
        <f t="shared" si="62"/>
        <v>0</v>
      </c>
      <c r="J1016" s="13" t="str">
        <f t="shared" si="63"/>
        <v/>
      </c>
    </row>
    <row r="1017" spans="1:10" x14ac:dyDescent="0.2">
      <c r="A1017" s="10" t="str">
        <f t="shared" si="60"/>
        <v/>
      </c>
      <c r="B1017" s="9"/>
      <c r="C1017" s="8"/>
      <c r="D1017" s="10" t="str">
        <f ca="1">IFERROR(_xludf.XLOOKUP(C1017,STUDENTS!$A$5:$A$204,STUDENTS!$C$5:$C$204,""),"")</f>
        <v/>
      </c>
      <c r="E1017" s="10" t="str">
        <f ca="1">IFERROR(_xludf.XLOOKUP(C1017,STUDENTS!$A$5:$A$204,STUDENTS!$L$5:$L$204,""),"")</f>
        <v/>
      </c>
      <c r="F1017" s="8"/>
      <c r="G1017" s="10" t="str">
        <f>SETTINGS!$B$8</f>
        <v>2026/2027</v>
      </c>
      <c r="H1017" s="10">
        <f t="shared" si="61"/>
        <v>0</v>
      </c>
      <c r="I1017" s="10">
        <f t="shared" si="62"/>
        <v>0</v>
      </c>
      <c r="J1017" s="13" t="str">
        <f t="shared" si="63"/>
        <v/>
      </c>
    </row>
    <row r="1018" spans="1:10" x14ac:dyDescent="0.2">
      <c r="A1018" s="10" t="str">
        <f t="shared" si="60"/>
        <v/>
      </c>
      <c r="B1018" s="9"/>
      <c r="C1018" s="8"/>
      <c r="D1018" s="10" t="str">
        <f ca="1">IFERROR(_xludf.XLOOKUP(C1018,STUDENTS!$A$5:$A$204,STUDENTS!$C$5:$C$204,""),"")</f>
        <v/>
      </c>
      <c r="E1018" s="10" t="str">
        <f ca="1">IFERROR(_xludf.XLOOKUP(C1018,STUDENTS!$A$5:$A$204,STUDENTS!$L$5:$L$204,""),"")</f>
        <v/>
      </c>
      <c r="F1018" s="8"/>
      <c r="G1018" s="10" t="str">
        <f>SETTINGS!$B$8</f>
        <v>2026/2027</v>
      </c>
      <c r="H1018" s="10">
        <f t="shared" si="61"/>
        <v>0</v>
      </c>
      <c r="I1018" s="10">
        <f t="shared" si="62"/>
        <v>0</v>
      </c>
      <c r="J1018" s="13" t="str">
        <f t="shared" si="63"/>
        <v/>
      </c>
    </row>
    <row r="1019" spans="1:10" x14ac:dyDescent="0.2">
      <c r="A1019" s="10" t="str">
        <f t="shared" si="60"/>
        <v/>
      </c>
      <c r="B1019" s="9"/>
      <c r="C1019" s="8"/>
      <c r="D1019" s="10" t="str">
        <f ca="1">IFERROR(_xludf.XLOOKUP(C1019,STUDENTS!$A$5:$A$204,STUDENTS!$C$5:$C$204,""),"")</f>
        <v/>
      </c>
      <c r="E1019" s="10" t="str">
        <f ca="1">IFERROR(_xludf.XLOOKUP(C1019,STUDENTS!$A$5:$A$204,STUDENTS!$L$5:$L$204,""),"")</f>
        <v/>
      </c>
      <c r="F1019" s="8"/>
      <c r="G1019" s="10" t="str">
        <f>SETTINGS!$B$8</f>
        <v>2026/2027</v>
      </c>
      <c r="H1019" s="10">
        <f t="shared" si="61"/>
        <v>0</v>
      </c>
      <c r="I1019" s="10">
        <f t="shared" si="62"/>
        <v>0</v>
      </c>
      <c r="J1019" s="13" t="str">
        <f t="shared" si="63"/>
        <v/>
      </c>
    </row>
    <row r="1020" spans="1:10" x14ac:dyDescent="0.2">
      <c r="A1020" s="10" t="str">
        <f t="shared" si="60"/>
        <v/>
      </c>
      <c r="B1020" s="9"/>
      <c r="C1020" s="8"/>
      <c r="D1020" s="10" t="str">
        <f ca="1">IFERROR(_xludf.XLOOKUP(C1020,STUDENTS!$A$5:$A$204,STUDENTS!$C$5:$C$204,""),"")</f>
        <v/>
      </c>
      <c r="E1020" s="10" t="str">
        <f ca="1">IFERROR(_xludf.XLOOKUP(C1020,STUDENTS!$A$5:$A$204,STUDENTS!$L$5:$L$204,""),"")</f>
        <v/>
      </c>
      <c r="F1020" s="8"/>
      <c r="G1020" s="10" t="str">
        <f>SETTINGS!$B$8</f>
        <v>2026/2027</v>
      </c>
      <c r="H1020" s="10">
        <f t="shared" si="61"/>
        <v>0</v>
      </c>
      <c r="I1020" s="10">
        <f t="shared" si="62"/>
        <v>0</v>
      </c>
      <c r="J1020" s="13" t="str">
        <f t="shared" si="63"/>
        <v/>
      </c>
    </row>
    <row r="1021" spans="1:10" x14ac:dyDescent="0.2">
      <c r="A1021" s="10" t="str">
        <f t="shared" si="60"/>
        <v/>
      </c>
      <c r="B1021" s="9"/>
      <c r="C1021" s="8"/>
      <c r="D1021" s="10" t="str">
        <f ca="1">IFERROR(_xludf.XLOOKUP(C1021,STUDENTS!$A$5:$A$204,STUDENTS!$C$5:$C$204,""),"")</f>
        <v/>
      </c>
      <c r="E1021" s="10" t="str">
        <f ca="1">IFERROR(_xludf.XLOOKUP(C1021,STUDENTS!$A$5:$A$204,STUDENTS!$L$5:$L$204,""),"")</f>
        <v/>
      </c>
      <c r="F1021" s="8"/>
      <c r="G1021" s="10" t="str">
        <f>SETTINGS!$B$8</f>
        <v>2026/2027</v>
      </c>
      <c r="H1021" s="10">
        <f t="shared" si="61"/>
        <v>0</v>
      </c>
      <c r="I1021" s="10">
        <f t="shared" si="62"/>
        <v>0</v>
      </c>
      <c r="J1021" s="13" t="str">
        <f t="shared" si="63"/>
        <v/>
      </c>
    </row>
    <row r="1022" spans="1:10" x14ac:dyDescent="0.2">
      <c r="A1022" s="10" t="str">
        <f t="shared" si="60"/>
        <v/>
      </c>
      <c r="B1022" s="9"/>
      <c r="C1022" s="8"/>
      <c r="D1022" s="10" t="str">
        <f ca="1">IFERROR(_xludf.XLOOKUP(C1022,STUDENTS!$A$5:$A$204,STUDENTS!$C$5:$C$204,""),"")</f>
        <v/>
      </c>
      <c r="E1022" s="10" t="str">
        <f ca="1">IFERROR(_xludf.XLOOKUP(C1022,STUDENTS!$A$5:$A$204,STUDENTS!$L$5:$L$204,""),"")</f>
        <v/>
      </c>
      <c r="F1022" s="8"/>
      <c r="G1022" s="10" t="str">
        <f>SETTINGS!$B$8</f>
        <v>2026/2027</v>
      </c>
      <c r="H1022" s="10">
        <f t="shared" si="61"/>
        <v>0</v>
      </c>
      <c r="I1022" s="10">
        <f t="shared" si="62"/>
        <v>0</v>
      </c>
      <c r="J1022" s="13" t="str">
        <f t="shared" si="63"/>
        <v/>
      </c>
    </row>
    <row r="1023" spans="1:10" x14ac:dyDescent="0.2">
      <c r="A1023" s="10" t="str">
        <f t="shared" si="60"/>
        <v/>
      </c>
      <c r="B1023" s="9"/>
      <c r="C1023" s="8"/>
      <c r="D1023" s="10" t="str">
        <f ca="1">IFERROR(_xludf.XLOOKUP(C1023,STUDENTS!$A$5:$A$204,STUDENTS!$C$5:$C$204,""),"")</f>
        <v/>
      </c>
      <c r="E1023" s="10" t="str">
        <f ca="1">IFERROR(_xludf.XLOOKUP(C1023,STUDENTS!$A$5:$A$204,STUDENTS!$L$5:$L$204,""),"")</f>
        <v/>
      </c>
      <c r="F1023" s="8"/>
      <c r="G1023" s="10" t="str">
        <f>SETTINGS!$B$8</f>
        <v>2026/2027</v>
      </c>
      <c r="H1023" s="10">
        <f t="shared" si="61"/>
        <v>0</v>
      </c>
      <c r="I1023" s="10">
        <f t="shared" si="62"/>
        <v>0</v>
      </c>
      <c r="J1023" s="13" t="str">
        <f t="shared" si="63"/>
        <v/>
      </c>
    </row>
    <row r="1024" spans="1:10" x14ac:dyDescent="0.2">
      <c r="A1024" s="10" t="str">
        <f t="shared" si="60"/>
        <v/>
      </c>
      <c r="B1024" s="9"/>
      <c r="C1024" s="8"/>
      <c r="D1024" s="10" t="str">
        <f ca="1">IFERROR(_xludf.XLOOKUP(C1024,STUDENTS!$A$5:$A$204,STUDENTS!$C$5:$C$204,""),"")</f>
        <v/>
      </c>
      <c r="E1024" s="10" t="str">
        <f ca="1">IFERROR(_xludf.XLOOKUP(C1024,STUDENTS!$A$5:$A$204,STUDENTS!$L$5:$L$204,""),"")</f>
        <v/>
      </c>
      <c r="F1024" s="8"/>
      <c r="G1024" s="10" t="str">
        <f>SETTINGS!$B$8</f>
        <v>2026/2027</v>
      </c>
      <c r="H1024" s="10">
        <f t="shared" si="61"/>
        <v>0</v>
      </c>
      <c r="I1024" s="10">
        <f t="shared" si="62"/>
        <v>0</v>
      </c>
      <c r="J1024" s="13" t="str">
        <f t="shared" si="63"/>
        <v/>
      </c>
    </row>
    <row r="1025" spans="1:10" x14ac:dyDescent="0.2">
      <c r="A1025" s="10" t="str">
        <f t="shared" si="60"/>
        <v/>
      </c>
      <c r="B1025" s="9"/>
      <c r="C1025" s="8"/>
      <c r="D1025" s="10" t="str">
        <f ca="1">IFERROR(_xludf.XLOOKUP(C1025,STUDENTS!$A$5:$A$204,STUDENTS!$C$5:$C$204,""),"")</f>
        <v/>
      </c>
      <c r="E1025" s="10" t="str">
        <f ca="1">IFERROR(_xludf.XLOOKUP(C1025,STUDENTS!$A$5:$A$204,STUDENTS!$L$5:$L$204,""),"")</f>
        <v/>
      </c>
      <c r="F1025" s="8"/>
      <c r="G1025" s="10" t="str">
        <f>SETTINGS!$B$8</f>
        <v>2026/2027</v>
      </c>
      <c r="H1025" s="10">
        <f t="shared" si="61"/>
        <v>0</v>
      </c>
      <c r="I1025" s="10">
        <f t="shared" si="62"/>
        <v>0</v>
      </c>
      <c r="J1025" s="13" t="str">
        <f t="shared" si="63"/>
        <v/>
      </c>
    </row>
    <row r="1026" spans="1:10" x14ac:dyDescent="0.2">
      <c r="A1026" s="10" t="str">
        <f t="shared" si="60"/>
        <v/>
      </c>
      <c r="B1026" s="9"/>
      <c r="C1026" s="8"/>
      <c r="D1026" s="10" t="str">
        <f ca="1">IFERROR(_xludf.XLOOKUP(C1026,STUDENTS!$A$5:$A$204,STUDENTS!$C$5:$C$204,""),"")</f>
        <v/>
      </c>
      <c r="E1026" s="10" t="str">
        <f ca="1">IFERROR(_xludf.XLOOKUP(C1026,STUDENTS!$A$5:$A$204,STUDENTS!$L$5:$L$204,""),"")</f>
        <v/>
      </c>
      <c r="F1026" s="8"/>
      <c r="G1026" s="10" t="str">
        <f>SETTINGS!$B$8</f>
        <v>2026/2027</v>
      </c>
      <c r="H1026" s="10">
        <f t="shared" si="61"/>
        <v>0</v>
      </c>
      <c r="I1026" s="10">
        <f t="shared" si="62"/>
        <v>0</v>
      </c>
      <c r="J1026" s="13" t="str">
        <f t="shared" si="63"/>
        <v/>
      </c>
    </row>
    <row r="1027" spans="1:10" x14ac:dyDescent="0.2">
      <c r="A1027" s="10" t="str">
        <f t="shared" si="60"/>
        <v/>
      </c>
      <c r="B1027" s="9"/>
      <c r="C1027" s="8"/>
      <c r="D1027" s="10" t="str">
        <f ca="1">IFERROR(_xludf.XLOOKUP(C1027,STUDENTS!$A$5:$A$204,STUDENTS!$C$5:$C$204,""),"")</f>
        <v/>
      </c>
      <c r="E1027" s="10" t="str">
        <f ca="1">IFERROR(_xludf.XLOOKUP(C1027,STUDENTS!$A$5:$A$204,STUDENTS!$L$5:$L$204,""),"")</f>
        <v/>
      </c>
      <c r="F1027" s="8"/>
      <c r="G1027" s="10" t="str">
        <f>SETTINGS!$B$8</f>
        <v>2026/2027</v>
      </c>
      <c r="H1027" s="10">
        <f t="shared" si="61"/>
        <v>0</v>
      </c>
      <c r="I1027" s="10">
        <f t="shared" si="62"/>
        <v>0</v>
      </c>
      <c r="J1027" s="13" t="str">
        <f t="shared" si="63"/>
        <v/>
      </c>
    </row>
    <row r="1028" spans="1:10" x14ac:dyDescent="0.2">
      <c r="A1028" s="10" t="str">
        <f t="shared" si="60"/>
        <v/>
      </c>
      <c r="B1028" s="9"/>
      <c r="C1028" s="8"/>
      <c r="D1028" s="10" t="str">
        <f ca="1">IFERROR(_xludf.XLOOKUP(C1028,STUDENTS!$A$5:$A$204,STUDENTS!$C$5:$C$204,""),"")</f>
        <v/>
      </c>
      <c r="E1028" s="10" t="str">
        <f ca="1">IFERROR(_xludf.XLOOKUP(C1028,STUDENTS!$A$5:$A$204,STUDENTS!$L$5:$L$204,""),"")</f>
        <v/>
      </c>
      <c r="F1028" s="8"/>
      <c r="G1028" s="10" t="str">
        <f>SETTINGS!$B$8</f>
        <v>2026/2027</v>
      </c>
      <c r="H1028" s="10">
        <f t="shared" si="61"/>
        <v>0</v>
      </c>
      <c r="I1028" s="10">
        <f t="shared" si="62"/>
        <v>0</v>
      </c>
      <c r="J1028" s="13" t="str">
        <f t="shared" si="63"/>
        <v/>
      </c>
    </row>
    <row r="1029" spans="1:10" x14ac:dyDescent="0.2">
      <c r="A1029" s="10" t="str">
        <f t="shared" ref="A1029:A1092" si="64">IF(C1029="","","AT-"&amp;TEXT(ROW()-4,"00000"))</f>
        <v/>
      </c>
      <c r="B1029" s="9"/>
      <c r="C1029" s="8"/>
      <c r="D1029" s="10" t="str">
        <f ca="1">IFERROR(_xludf.XLOOKUP(C1029,STUDENTS!$A$5:$A$204,STUDENTS!$C$5:$C$204,""),"")</f>
        <v/>
      </c>
      <c r="E1029" s="10" t="str">
        <f ca="1">IFERROR(_xludf.XLOOKUP(C1029,STUDENTS!$A$5:$A$204,STUDENTS!$L$5:$L$204,""),"")</f>
        <v/>
      </c>
      <c r="F1029" s="8"/>
      <c r="G1029" s="10" t="str">
        <f>SETTINGS!$B$8</f>
        <v>2026/2027</v>
      </c>
      <c r="H1029" s="10">
        <f t="shared" ref="H1029:H1092" si="65">IF(F1029="Present",1,0)</f>
        <v>0</v>
      </c>
      <c r="I1029" s="10">
        <f t="shared" ref="I1029:I1092" si="66">IF(F1029="Absent",1,0)</f>
        <v>0</v>
      </c>
      <c r="J1029" s="13" t="str">
        <f t="shared" ref="J1029:J1092" si="67">IF(OR(H1029="",I1029=""),"",IF(H1029+I1029=0,"",H1029/(H1029+I1029)))</f>
        <v/>
      </c>
    </row>
    <row r="1030" spans="1:10" x14ac:dyDescent="0.2">
      <c r="A1030" s="10" t="str">
        <f t="shared" si="64"/>
        <v/>
      </c>
      <c r="B1030" s="9"/>
      <c r="C1030" s="8"/>
      <c r="D1030" s="10" t="str">
        <f ca="1">IFERROR(_xludf.XLOOKUP(C1030,STUDENTS!$A$5:$A$204,STUDENTS!$C$5:$C$204,""),"")</f>
        <v/>
      </c>
      <c r="E1030" s="10" t="str">
        <f ca="1">IFERROR(_xludf.XLOOKUP(C1030,STUDENTS!$A$5:$A$204,STUDENTS!$L$5:$L$204,""),"")</f>
        <v/>
      </c>
      <c r="F1030" s="8"/>
      <c r="G1030" s="10" t="str">
        <f>SETTINGS!$B$8</f>
        <v>2026/2027</v>
      </c>
      <c r="H1030" s="10">
        <f t="shared" si="65"/>
        <v>0</v>
      </c>
      <c r="I1030" s="10">
        <f t="shared" si="66"/>
        <v>0</v>
      </c>
      <c r="J1030" s="13" t="str">
        <f t="shared" si="67"/>
        <v/>
      </c>
    </row>
    <row r="1031" spans="1:10" x14ac:dyDescent="0.2">
      <c r="A1031" s="10" t="str">
        <f t="shared" si="64"/>
        <v/>
      </c>
      <c r="B1031" s="9"/>
      <c r="C1031" s="8"/>
      <c r="D1031" s="10" t="str">
        <f ca="1">IFERROR(_xludf.XLOOKUP(C1031,STUDENTS!$A$5:$A$204,STUDENTS!$C$5:$C$204,""),"")</f>
        <v/>
      </c>
      <c r="E1031" s="10" t="str">
        <f ca="1">IFERROR(_xludf.XLOOKUP(C1031,STUDENTS!$A$5:$A$204,STUDENTS!$L$5:$L$204,""),"")</f>
        <v/>
      </c>
      <c r="F1031" s="8"/>
      <c r="G1031" s="10" t="str">
        <f>SETTINGS!$B$8</f>
        <v>2026/2027</v>
      </c>
      <c r="H1031" s="10">
        <f t="shared" si="65"/>
        <v>0</v>
      </c>
      <c r="I1031" s="10">
        <f t="shared" si="66"/>
        <v>0</v>
      </c>
      <c r="J1031" s="13" t="str">
        <f t="shared" si="67"/>
        <v/>
      </c>
    </row>
    <row r="1032" spans="1:10" x14ac:dyDescent="0.2">
      <c r="A1032" s="10" t="str">
        <f t="shared" si="64"/>
        <v/>
      </c>
      <c r="B1032" s="9"/>
      <c r="C1032" s="8"/>
      <c r="D1032" s="10" t="str">
        <f ca="1">IFERROR(_xludf.XLOOKUP(C1032,STUDENTS!$A$5:$A$204,STUDENTS!$C$5:$C$204,""),"")</f>
        <v/>
      </c>
      <c r="E1032" s="10" t="str">
        <f ca="1">IFERROR(_xludf.XLOOKUP(C1032,STUDENTS!$A$5:$A$204,STUDENTS!$L$5:$L$204,""),"")</f>
        <v/>
      </c>
      <c r="F1032" s="8"/>
      <c r="G1032" s="10" t="str">
        <f>SETTINGS!$B$8</f>
        <v>2026/2027</v>
      </c>
      <c r="H1032" s="10">
        <f t="shared" si="65"/>
        <v>0</v>
      </c>
      <c r="I1032" s="10">
        <f t="shared" si="66"/>
        <v>0</v>
      </c>
      <c r="J1032" s="13" t="str">
        <f t="shared" si="67"/>
        <v/>
      </c>
    </row>
    <row r="1033" spans="1:10" x14ac:dyDescent="0.2">
      <c r="A1033" s="10" t="str">
        <f t="shared" si="64"/>
        <v/>
      </c>
      <c r="B1033" s="9"/>
      <c r="C1033" s="8"/>
      <c r="D1033" s="10" t="str">
        <f ca="1">IFERROR(_xludf.XLOOKUP(C1033,STUDENTS!$A$5:$A$204,STUDENTS!$C$5:$C$204,""),"")</f>
        <v/>
      </c>
      <c r="E1033" s="10" t="str">
        <f ca="1">IFERROR(_xludf.XLOOKUP(C1033,STUDENTS!$A$5:$A$204,STUDENTS!$L$5:$L$204,""),"")</f>
        <v/>
      </c>
      <c r="F1033" s="8"/>
      <c r="G1033" s="10" t="str">
        <f>SETTINGS!$B$8</f>
        <v>2026/2027</v>
      </c>
      <c r="H1033" s="10">
        <f t="shared" si="65"/>
        <v>0</v>
      </c>
      <c r="I1033" s="10">
        <f t="shared" si="66"/>
        <v>0</v>
      </c>
      <c r="J1033" s="13" t="str">
        <f t="shared" si="67"/>
        <v/>
      </c>
    </row>
    <row r="1034" spans="1:10" x14ac:dyDescent="0.2">
      <c r="A1034" s="10" t="str">
        <f t="shared" si="64"/>
        <v/>
      </c>
      <c r="B1034" s="9"/>
      <c r="C1034" s="8"/>
      <c r="D1034" s="10" t="str">
        <f ca="1">IFERROR(_xludf.XLOOKUP(C1034,STUDENTS!$A$5:$A$204,STUDENTS!$C$5:$C$204,""),"")</f>
        <v/>
      </c>
      <c r="E1034" s="10" t="str">
        <f ca="1">IFERROR(_xludf.XLOOKUP(C1034,STUDENTS!$A$5:$A$204,STUDENTS!$L$5:$L$204,""),"")</f>
        <v/>
      </c>
      <c r="F1034" s="8"/>
      <c r="G1034" s="10" t="str">
        <f>SETTINGS!$B$8</f>
        <v>2026/2027</v>
      </c>
      <c r="H1034" s="10">
        <f t="shared" si="65"/>
        <v>0</v>
      </c>
      <c r="I1034" s="10">
        <f t="shared" si="66"/>
        <v>0</v>
      </c>
      <c r="J1034" s="13" t="str">
        <f t="shared" si="67"/>
        <v/>
      </c>
    </row>
    <row r="1035" spans="1:10" x14ac:dyDescent="0.2">
      <c r="A1035" s="10" t="str">
        <f t="shared" si="64"/>
        <v/>
      </c>
      <c r="B1035" s="9"/>
      <c r="C1035" s="8"/>
      <c r="D1035" s="10" t="str">
        <f ca="1">IFERROR(_xludf.XLOOKUP(C1035,STUDENTS!$A$5:$A$204,STUDENTS!$C$5:$C$204,""),"")</f>
        <v/>
      </c>
      <c r="E1035" s="10" t="str">
        <f ca="1">IFERROR(_xludf.XLOOKUP(C1035,STUDENTS!$A$5:$A$204,STUDENTS!$L$5:$L$204,""),"")</f>
        <v/>
      </c>
      <c r="F1035" s="8"/>
      <c r="G1035" s="10" t="str">
        <f>SETTINGS!$B$8</f>
        <v>2026/2027</v>
      </c>
      <c r="H1035" s="10">
        <f t="shared" si="65"/>
        <v>0</v>
      </c>
      <c r="I1035" s="10">
        <f t="shared" si="66"/>
        <v>0</v>
      </c>
      <c r="J1035" s="13" t="str">
        <f t="shared" si="67"/>
        <v/>
      </c>
    </row>
    <row r="1036" spans="1:10" x14ac:dyDescent="0.2">
      <c r="A1036" s="10" t="str">
        <f t="shared" si="64"/>
        <v/>
      </c>
      <c r="B1036" s="9"/>
      <c r="C1036" s="8"/>
      <c r="D1036" s="10" t="str">
        <f ca="1">IFERROR(_xludf.XLOOKUP(C1036,STUDENTS!$A$5:$A$204,STUDENTS!$C$5:$C$204,""),"")</f>
        <v/>
      </c>
      <c r="E1036" s="10" t="str">
        <f ca="1">IFERROR(_xludf.XLOOKUP(C1036,STUDENTS!$A$5:$A$204,STUDENTS!$L$5:$L$204,""),"")</f>
        <v/>
      </c>
      <c r="F1036" s="8"/>
      <c r="G1036" s="10" t="str">
        <f>SETTINGS!$B$8</f>
        <v>2026/2027</v>
      </c>
      <c r="H1036" s="10">
        <f t="shared" si="65"/>
        <v>0</v>
      </c>
      <c r="I1036" s="10">
        <f t="shared" si="66"/>
        <v>0</v>
      </c>
      <c r="J1036" s="13" t="str">
        <f t="shared" si="67"/>
        <v/>
      </c>
    </row>
    <row r="1037" spans="1:10" x14ac:dyDescent="0.2">
      <c r="A1037" s="10" t="str">
        <f t="shared" si="64"/>
        <v/>
      </c>
      <c r="B1037" s="9"/>
      <c r="C1037" s="8"/>
      <c r="D1037" s="10" t="str">
        <f ca="1">IFERROR(_xludf.XLOOKUP(C1037,STUDENTS!$A$5:$A$204,STUDENTS!$C$5:$C$204,""),"")</f>
        <v/>
      </c>
      <c r="E1037" s="10" t="str">
        <f ca="1">IFERROR(_xludf.XLOOKUP(C1037,STUDENTS!$A$5:$A$204,STUDENTS!$L$5:$L$204,""),"")</f>
        <v/>
      </c>
      <c r="F1037" s="8"/>
      <c r="G1037" s="10" t="str">
        <f>SETTINGS!$B$8</f>
        <v>2026/2027</v>
      </c>
      <c r="H1037" s="10">
        <f t="shared" si="65"/>
        <v>0</v>
      </c>
      <c r="I1037" s="10">
        <f t="shared" si="66"/>
        <v>0</v>
      </c>
      <c r="J1037" s="13" t="str">
        <f t="shared" si="67"/>
        <v/>
      </c>
    </row>
    <row r="1038" spans="1:10" x14ac:dyDescent="0.2">
      <c r="A1038" s="10" t="str">
        <f t="shared" si="64"/>
        <v/>
      </c>
      <c r="B1038" s="9"/>
      <c r="C1038" s="8"/>
      <c r="D1038" s="10" t="str">
        <f ca="1">IFERROR(_xludf.XLOOKUP(C1038,STUDENTS!$A$5:$A$204,STUDENTS!$C$5:$C$204,""),"")</f>
        <v/>
      </c>
      <c r="E1038" s="10" t="str">
        <f ca="1">IFERROR(_xludf.XLOOKUP(C1038,STUDENTS!$A$5:$A$204,STUDENTS!$L$5:$L$204,""),"")</f>
        <v/>
      </c>
      <c r="F1038" s="8"/>
      <c r="G1038" s="10" t="str">
        <f>SETTINGS!$B$8</f>
        <v>2026/2027</v>
      </c>
      <c r="H1038" s="10">
        <f t="shared" si="65"/>
        <v>0</v>
      </c>
      <c r="I1038" s="10">
        <f t="shared" si="66"/>
        <v>0</v>
      </c>
      <c r="J1038" s="13" t="str">
        <f t="shared" si="67"/>
        <v/>
      </c>
    </row>
    <row r="1039" spans="1:10" x14ac:dyDescent="0.2">
      <c r="A1039" s="10" t="str">
        <f t="shared" si="64"/>
        <v/>
      </c>
      <c r="B1039" s="9"/>
      <c r="C1039" s="8"/>
      <c r="D1039" s="10" t="str">
        <f ca="1">IFERROR(_xludf.XLOOKUP(C1039,STUDENTS!$A$5:$A$204,STUDENTS!$C$5:$C$204,""),"")</f>
        <v/>
      </c>
      <c r="E1039" s="10" t="str">
        <f ca="1">IFERROR(_xludf.XLOOKUP(C1039,STUDENTS!$A$5:$A$204,STUDENTS!$L$5:$L$204,""),"")</f>
        <v/>
      </c>
      <c r="F1039" s="8"/>
      <c r="G1039" s="10" t="str">
        <f>SETTINGS!$B$8</f>
        <v>2026/2027</v>
      </c>
      <c r="H1039" s="10">
        <f t="shared" si="65"/>
        <v>0</v>
      </c>
      <c r="I1039" s="10">
        <f t="shared" si="66"/>
        <v>0</v>
      </c>
      <c r="J1039" s="13" t="str">
        <f t="shared" si="67"/>
        <v/>
      </c>
    </row>
    <row r="1040" spans="1:10" x14ac:dyDescent="0.2">
      <c r="A1040" s="10" t="str">
        <f t="shared" si="64"/>
        <v/>
      </c>
      <c r="B1040" s="9"/>
      <c r="C1040" s="8"/>
      <c r="D1040" s="10" t="str">
        <f ca="1">IFERROR(_xludf.XLOOKUP(C1040,STUDENTS!$A$5:$A$204,STUDENTS!$C$5:$C$204,""),"")</f>
        <v/>
      </c>
      <c r="E1040" s="10" t="str">
        <f ca="1">IFERROR(_xludf.XLOOKUP(C1040,STUDENTS!$A$5:$A$204,STUDENTS!$L$5:$L$204,""),"")</f>
        <v/>
      </c>
      <c r="F1040" s="8"/>
      <c r="G1040" s="10" t="str">
        <f>SETTINGS!$B$8</f>
        <v>2026/2027</v>
      </c>
      <c r="H1040" s="10">
        <f t="shared" si="65"/>
        <v>0</v>
      </c>
      <c r="I1040" s="10">
        <f t="shared" si="66"/>
        <v>0</v>
      </c>
      <c r="J1040" s="13" t="str">
        <f t="shared" si="67"/>
        <v/>
      </c>
    </row>
    <row r="1041" spans="1:10" x14ac:dyDescent="0.2">
      <c r="A1041" s="10" t="str">
        <f t="shared" si="64"/>
        <v/>
      </c>
      <c r="B1041" s="9"/>
      <c r="C1041" s="8"/>
      <c r="D1041" s="10" t="str">
        <f ca="1">IFERROR(_xludf.XLOOKUP(C1041,STUDENTS!$A$5:$A$204,STUDENTS!$C$5:$C$204,""),"")</f>
        <v/>
      </c>
      <c r="E1041" s="10" t="str">
        <f ca="1">IFERROR(_xludf.XLOOKUP(C1041,STUDENTS!$A$5:$A$204,STUDENTS!$L$5:$L$204,""),"")</f>
        <v/>
      </c>
      <c r="F1041" s="8"/>
      <c r="G1041" s="10" t="str">
        <f>SETTINGS!$B$8</f>
        <v>2026/2027</v>
      </c>
      <c r="H1041" s="10">
        <f t="shared" si="65"/>
        <v>0</v>
      </c>
      <c r="I1041" s="10">
        <f t="shared" si="66"/>
        <v>0</v>
      </c>
      <c r="J1041" s="13" t="str">
        <f t="shared" si="67"/>
        <v/>
      </c>
    </row>
    <row r="1042" spans="1:10" x14ac:dyDescent="0.2">
      <c r="A1042" s="10" t="str">
        <f t="shared" si="64"/>
        <v/>
      </c>
      <c r="B1042" s="9"/>
      <c r="C1042" s="8"/>
      <c r="D1042" s="10" t="str">
        <f ca="1">IFERROR(_xludf.XLOOKUP(C1042,STUDENTS!$A$5:$A$204,STUDENTS!$C$5:$C$204,""),"")</f>
        <v/>
      </c>
      <c r="E1042" s="10" t="str">
        <f ca="1">IFERROR(_xludf.XLOOKUP(C1042,STUDENTS!$A$5:$A$204,STUDENTS!$L$5:$L$204,""),"")</f>
        <v/>
      </c>
      <c r="F1042" s="8"/>
      <c r="G1042" s="10" t="str">
        <f>SETTINGS!$B$8</f>
        <v>2026/2027</v>
      </c>
      <c r="H1042" s="10">
        <f t="shared" si="65"/>
        <v>0</v>
      </c>
      <c r="I1042" s="10">
        <f t="shared" si="66"/>
        <v>0</v>
      </c>
      <c r="J1042" s="13" t="str">
        <f t="shared" si="67"/>
        <v/>
      </c>
    </row>
    <row r="1043" spans="1:10" x14ac:dyDescent="0.2">
      <c r="A1043" s="10" t="str">
        <f t="shared" si="64"/>
        <v/>
      </c>
      <c r="B1043" s="9"/>
      <c r="C1043" s="8"/>
      <c r="D1043" s="10" t="str">
        <f ca="1">IFERROR(_xludf.XLOOKUP(C1043,STUDENTS!$A$5:$A$204,STUDENTS!$C$5:$C$204,""),"")</f>
        <v/>
      </c>
      <c r="E1043" s="10" t="str">
        <f ca="1">IFERROR(_xludf.XLOOKUP(C1043,STUDENTS!$A$5:$A$204,STUDENTS!$L$5:$L$204,""),"")</f>
        <v/>
      </c>
      <c r="F1043" s="8"/>
      <c r="G1043" s="10" t="str">
        <f>SETTINGS!$B$8</f>
        <v>2026/2027</v>
      </c>
      <c r="H1043" s="10">
        <f t="shared" si="65"/>
        <v>0</v>
      </c>
      <c r="I1043" s="10">
        <f t="shared" si="66"/>
        <v>0</v>
      </c>
      <c r="J1043" s="13" t="str">
        <f t="shared" si="67"/>
        <v/>
      </c>
    </row>
    <row r="1044" spans="1:10" x14ac:dyDescent="0.2">
      <c r="A1044" s="10" t="str">
        <f t="shared" si="64"/>
        <v/>
      </c>
      <c r="B1044" s="9"/>
      <c r="C1044" s="8"/>
      <c r="D1044" s="10" t="str">
        <f ca="1">IFERROR(_xludf.XLOOKUP(C1044,STUDENTS!$A$5:$A$204,STUDENTS!$C$5:$C$204,""),"")</f>
        <v/>
      </c>
      <c r="E1044" s="10" t="str">
        <f ca="1">IFERROR(_xludf.XLOOKUP(C1044,STUDENTS!$A$5:$A$204,STUDENTS!$L$5:$L$204,""),"")</f>
        <v/>
      </c>
      <c r="F1044" s="8"/>
      <c r="G1044" s="10" t="str">
        <f>SETTINGS!$B$8</f>
        <v>2026/2027</v>
      </c>
      <c r="H1044" s="10">
        <f t="shared" si="65"/>
        <v>0</v>
      </c>
      <c r="I1044" s="10">
        <f t="shared" si="66"/>
        <v>0</v>
      </c>
      <c r="J1044" s="13" t="str">
        <f t="shared" si="67"/>
        <v/>
      </c>
    </row>
    <row r="1045" spans="1:10" x14ac:dyDescent="0.2">
      <c r="A1045" s="10" t="str">
        <f t="shared" si="64"/>
        <v/>
      </c>
      <c r="B1045" s="9"/>
      <c r="C1045" s="8"/>
      <c r="D1045" s="10" t="str">
        <f ca="1">IFERROR(_xludf.XLOOKUP(C1045,STUDENTS!$A$5:$A$204,STUDENTS!$C$5:$C$204,""),"")</f>
        <v/>
      </c>
      <c r="E1045" s="10" t="str">
        <f ca="1">IFERROR(_xludf.XLOOKUP(C1045,STUDENTS!$A$5:$A$204,STUDENTS!$L$5:$L$204,""),"")</f>
        <v/>
      </c>
      <c r="F1045" s="8"/>
      <c r="G1045" s="10" t="str">
        <f>SETTINGS!$B$8</f>
        <v>2026/2027</v>
      </c>
      <c r="H1045" s="10">
        <f t="shared" si="65"/>
        <v>0</v>
      </c>
      <c r="I1045" s="10">
        <f t="shared" si="66"/>
        <v>0</v>
      </c>
      <c r="J1045" s="13" t="str">
        <f t="shared" si="67"/>
        <v/>
      </c>
    </row>
    <row r="1046" spans="1:10" x14ac:dyDescent="0.2">
      <c r="A1046" s="10" t="str">
        <f t="shared" si="64"/>
        <v/>
      </c>
      <c r="B1046" s="9"/>
      <c r="C1046" s="8"/>
      <c r="D1046" s="10" t="str">
        <f ca="1">IFERROR(_xludf.XLOOKUP(C1046,STUDENTS!$A$5:$A$204,STUDENTS!$C$5:$C$204,""),"")</f>
        <v/>
      </c>
      <c r="E1046" s="10" t="str">
        <f ca="1">IFERROR(_xludf.XLOOKUP(C1046,STUDENTS!$A$5:$A$204,STUDENTS!$L$5:$L$204,""),"")</f>
        <v/>
      </c>
      <c r="F1046" s="8"/>
      <c r="G1046" s="10" t="str">
        <f>SETTINGS!$B$8</f>
        <v>2026/2027</v>
      </c>
      <c r="H1046" s="10">
        <f t="shared" si="65"/>
        <v>0</v>
      </c>
      <c r="I1046" s="10">
        <f t="shared" si="66"/>
        <v>0</v>
      </c>
      <c r="J1046" s="13" t="str">
        <f t="shared" si="67"/>
        <v/>
      </c>
    </row>
    <row r="1047" spans="1:10" x14ac:dyDescent="0.2">
      <c r="A1047" s="10" t="str">
        <f t="shared" si="64"/>
        <v/>
      </c>
      <c r="B1047" s="9"/>
      <c r="C1047" s="8"/>
      <c r="D1047" s="10" t="str">
        <f ca="1">IFERROR(_xludf.XLOOKUP(C1047,STUDENTS!$A$5:$A$204,STUDENTS!$C$5:$C$204,""),"")</f>
        <v/>
      </c>
      <c r="E1047" s="10" t="str">
        <f ca="1">IFERROR(_xludf.XLOOKUP(C1047,STUDENTS!$A$5:$A$204,STUDENTS!$L$5:$L$204,""),"")</f>
        <v/>
      </c>
      <c r="F1047" s="8"/>
      <c r="G1047" s="10" t="str">
        <f>SETTINGS!$B$8</f>
        <v>2026/2027</v>
      </c>
      <c r="H1047" s="10">
        <f t="shared" si="65"/>
        <v>0</v>
      </c>
      <c r="I1047" s="10">
        <f t="shared" si="66"/>
        <v>0</v>
      </c>
      <c r="J1047" s="13" t="str">
        <f t="shared" si="67"/>
        <v/>
      </c>
    </row>
    <row r="1048" spans="1:10" x14ac:dyDescent="0.2">
      <c r="A1048" s="10" t="str">
        <f t="shared" si="64"/>
        <v/>
      </c>
      <c r="B1048" s="9"/>
      <c r="C1048" s="8"/>
      <c r="D1048" s="10" t="str">
        <f ca="1">IFERROR(_xludf.XLOOKUP(C1048,STUDENTS!$A$5:$A$204,STUDENTS!$C$5:$C$204,""),"")</f>
        <v/>
      </c>
      <c r="E1048" s="10" t="str">
        <f ca="1">IFERROR(_xludf.XLOOKUP(C1048,STUDENTS!$A$5:$A$204,STUDENTS!$L$5:$L$204,""),"")</f>
        <v/>
      </c>
      <c r="F1048" s="8"/>
      <c r="G1048" s="10" t="str">
        <f>SETTINGS!$B$8</f>
        <v>2026/2027</v>
      </c>
      <c r="H1048" s="10">
        <f t="shared" si="65"/>
        <v>0</v>
      </c>
      <c r="I1048" s="10">
        <f t="shared" si="66"/>
        <v>0</v>
      </c>
      <c r="J1048" s="13" t="str">
        <f t="shared" si="67"/>
        <v/>
      </c>
    </row>
    <row r="1049" spans="1:10" x14ac:dyDescent="0.2">
      <c r="A1049" s="10" t="str">
        <f t="shared" si="64"/>
        <v/>
      </c>
      <c r="B1049" s="9"/>
      <c r="C1049" s="8"/>
      <c r="D1049" s="10" t="str">
        <f ca="1">IFERROR(_xludf.XLOOKUP(C1049,STUDENTS!$A$5:$A$204,STUDENTS!$C$5:$C$204,""),"")</f>
        <v/>
      </c>
      <c r="E1049" s="10" t="str">
        <f ca="1">IFERROR(_xludf.XLOOKUP(C1049,STUDENTS!$A$5:$A$204,STUDENTS!$L$5:$L$204,""),"")</f>
        <v/>
      </c>
      <c r="F1049" s="8"/>
      <c r="G1049" s="10" t="str">
        <f>SETTINGS!$B$8</f>
        <v>2026/2027</v>
      </c>
      <c r="H1049" s="10">
        <f t="shared" si="65"/>
        <v>0</v>
      </c>
      <c r="I1049" s="10">
        <f t="shared" si="66"/>
        <v>0</v>
      </c>
      <c r="J1049" s="13" t="str">
        <f t="shared" si="67"/>
        <v/>
      </c>
    </row>
    <row r="1050" spans="1:10" x14ac:dyDescent="0.2">
      <c r="A1050" s="10" t="str">
        <f t="shared" si="64"/>
        <v/>
      </c>
      <c r="B1050" s="9"/>
      <c r="C1050" s="8"/>
      <c r="D1050" s="10" t="str">
        <f ca="1">IFERROR(_xludf.XLOOKUP(C1050,STUDENTS!$A$5:$A$204,STUDENTS!$C$5:$C$204,""),"")</f>
        <v/>
      </c>
      <c r="E1050" s="10" t="str">
        <f ca="1">IFERROR(_xludf.XLOOKUP(C1050,STUDENTS!$A$5:$A$204,STUDENTS!$L$5:$L$204,""),"")</f>
        <v/>
      </c>
      <c r="F1050" s="8"/>
      <c r="G1050" s="10" t="str">
        <f>SETTINGS!$B$8</f>
        <v>2026/2027</v>
      </c>
      <c r="H1050" s="10">
        <f t="shared" si="65"/>
        <v>0</v>
      </c>
      <c r="I1050" s="10">
        <f t="shared" si="66"/>
        <v>0</v>
      </c>
      <c r="J1050" s="13" t="str">
        <f t="shared" si="67"/>
        <v/>
      </c>
    </row>
    <row r="1051" spans="1:10" x14ac:dyDescent="0.2">
      <c r="A1051" s="10" t="str">
        <f t="shared" si="64"/>
        <v/>
      </c>
      <c r="B1051" s="9"/>
      <c r="C1051" s="8"/>
      <c r="D1051" s="10" t="str">
        <f ca="1">IFERROR(_xludf.XLOOKUP(C1051,STUDENTS!$A$5:$A$204,STUDENTS!$C$5:$C$204,""),"")</f>
        <v/>
      </c>
      <c r="E1051" s="10" t="str">
        <f ca="1">IFERROR(_xludf.XLOOKUP(C1051,STUDENTS!$A$5:$A$204,STUDENTS!$L$5:$L$204,""),"")</f>
        <v/>
      </c>
      <c r="F1051" s="8"/>
      <c r="G1051" s="10" t="str">
        <f>SETTINGS!$B$8</f>
        <v>2026/2027</v>
      </c>
      <c r="H1051" s="10">
        <f t="shared" si="65"/>
        <v>0</v>
      </c>
      <c r="I1051" s="10">
        <f t="shared" si="66"/>
        <v>0</v>
      </c>
      <c r="J1051" s="13" t="str">
        <f t="shared" si="67"/>
        <v/>
      </c>
    </row>
    <row r="1052" spans="1:10" x14ac:dyDescent="0.2">
      <c r="A1052" s="10" t="str">
        <f t="shared" si="64"/>
        <v/>
      </c>
      <c r="B1052" s="9"/>
      <c r="C1052" s="8"/>
      <c r="D1052" s="10" t="str">
        <f ca="1">IFERROR(_xludf.XLOOKUP(C1052,STUDENTS!$A$5:$A$204,STUDENTS!$C$5:$C$204,""),"")</f>
        <v/>
      </c>
      <c r="E1052" s="10" t="str">
        <f ca="1">IFERROR(_xludf.XLOOKUP(C1052,STUDENTS!$A$5:$A$204,STUDENTS!$L$5:$L$204,""),"")</f>
        <v/>
      </c>
      <c r="F1052" s="8"/>
      <c r="G1052" s="10" t="str">
        <f>SETTINGS!$B$8</f>
        <v>2026/2027</v>
      </c>
      <c r="H1052" s="10">
        <f t="shared" si="65"/>
        <v>0</v>
      </c>
      <c r="I1052" s="10">
        <f t="shared" si="66"/>
        <v>0</v>
      </c>
      <c r="J1052" s="13" t="str">
        <f t="shared" si="67"/>
        <v/>
      </c>
    </row>
    <row r="1053" spans="1:10" x14ac:dyDescent="0.2">
      <c r="A1053" s="10" t="str">
        <f t="shared" si="64"/>
        <v/>
      </c>
      <c r="B1053" s="9"/>
      <c r="C1053" s="8"/>
      <c r="D1053" s="10" t="str">
        <f ca="1">IFERROR(_xludf.XLOOKUP(C1053,STUDENTS!$A$5:$A$204,STUDENTS!$C$5:$C$204,""),"")</f>
        <v/>
      </c>
      <c r="E1053" s="10" t="str">
        <f ca="1">IFERROR(_xludf.XLOOKUP(C1053,STUDENTS!$A$5:$A$204,STUDENTS!$L$5:$L$204,""),"")</f>
        <v/>
      </c>
      <c r="F1053" s="8"/>
      <c r="G1053" s="10" t="str">
        <f>SETTINGS!$B$8</f>
        <v>2026/2027</v>
      </c>
      <c r="H1053" s="10">
        <f t="shared" si="65"/>
        <v>0</v>
      </c>
      <c r="I1053" s="10">
        <f t="shared" si="66"/>
        <v>0</v>
      </c>
      <c r="J1053" s="13" t="str">
        <f t="shared" si="67"/>
        <v/>
      </c>
    </row>
    <row r="1054" spans="1:10" x14ac:dyDescent="0.2">
      <c r="A1054" s="10" t="str">
        <f t="shared" si="64"/>
        <v/>
      </c>
      <c r="B1054" s="9"/>
      <c r="C1054" s="8"/>
      <c r="D1054" s="10" t="str">
        <f ca="1">IFERROR(_xludf.XLOOKUP(C1054,STUDENTS!$A$5:$A$204,STUDENTS!$C$5:$C$204,""),"")</f>
        <v/>
      </c>
      <c r="E1054" s="10" t="str">
        <f ca="1">IFERROR(_xludf.XLOOKUP(C1054,STUDENTS!$A$5:$A$204,STUDENTS!$L$5:$L$204,""),"")</f>
        <v/>
      </c>
      <c r="F1054" s="8"/>
      <c r="G1054" s="10" t="str">
        <f>SETTINGS!$B$8</f>
        <v>2026/2027</v>
      </c>
      <c r="H1054" s="10">
        <f t="shared" si="65"/>
        <v>0</v>
      </c>
      <c r="I1054" s="10">
        <f t="shared" si="66"/>
        <v>0</v>
      </c>
      <c r="J1054" s="13" t="str">
        <f t="shared" si="67"/>
        <v/>
      </c>
    </row>
    <row r="1055" spans="1:10" x14ac:dyDescent="0.2">
      <c r="A1055" s="10" t="str">
        <f t="shared" si="64"/>
        <v/>
      </c>
      <c r="B1055" s="9"/>
      <c r="C1055" s="8"/>
      <c r="D1055" s="10" t="str">
        <f ca="1">IFERROR(_xludf.XLOOKUP(C1055,STUDENTS!$A$5:$A$204,STUDENTS!$C$5:$C$204,""),"")</f>
        <v/>
      </c>
      <c r="E1055" s="10" t="str">
        <f ca="1">IFERROR(_xludf.XLOOKUP(C1055,STUDENTS!$A$5:$A$204,STUDENTS!$L$5:$L$204,""),"")</f>
        <v/>
      </c>
      <c r="F1055" s="8"/>
      <c r="G1055" s="10" t="str">
        <f>SETTINGS!$B$8</f>
        <v>2026/2027</v>
      </c>
      <c r="H1055" s="10">
        <f t="shared" si="65"/>
        <v>0</v>
      </c>
      <c r="I1055" s="10">
        <f t="shared" si="66"/>
        <v>0</v>
      </c>
      <c r="J1055" s="13" t="str">
        <f t="shared" si="67"/>
        <v/>
      </c>
    </row>
    <row r="1056" spans="1:10" x14ac:dyDescent="0.2">
      <c r="A1056" s="10" t="str">
        <f t="shared" si="64"/>
        <v/>
      </c>
      <c r="B1056" s="9"/>
      <c r="C1056" s="8"/>
      <c r="D1056" s="10" t="str">
        <f ca="1">IFERROR(_xludf.XLOOKUP(C1056,STUDENTS!$A$5:$A$204,STUDENTS!$C$5:$C$204,""),"")</f>
        <v/>
      </c>
      <c r="E1056" s="10" t="str">
        <f ca="1">IFERROR(_xludf.XLOOKUP(C1056,STUDENTS!$A$5:$A$204,STUDENTS!$L$5:$L$204,""),"")</f>
        <v/>
      </c>
      <c r="F1056" s="8"/>
      <c r="G1056" s="10" t="str">
        <f>SETTINGS!$B$8</f>
        <v>2026/2027</v>
      </c>
      <c r="H1056" s="10">
        <f t="shared" si="65"/>
        <v>0</v>
      </c>
      <c r="I1056" s="10">
        <f t="shared" si="66"/>
        <v>0</v>
      </c>
      <c r="J1056" s="13" t="str">
        <f t="shared" si="67"/>
        <v/>
      </c>
    </row>
    <row r="1057" spans="1:10" x14ac:dyDescent="0.2">
      <c r="A1057" s="10" t="str">
        <f t="shared" si="64"/>
        <v/>
      </c>
      <c r="B1057" s="9"/>
      <c r="C1057" s="8"/>
      <c r="D1057" s="10" t="str">
        <f ca="1">IFERROR(_xludf.XLOOKUP(C1057,STUDENTS!$A$5:$A$204,STUDENTS!$C$5:$C$204,""),"")</f>
        <v/>
      </c>
      <c r="E1057" s="10" t="str">
        <f ca="1">IFERROR(_xludf.XLOOKUP(C1057,STUDENTS!$A$5:$A$204,STUDENTS!$L$5:$L$204,""),"")</f>
        <v/>
      </c>
      <c r="F1057" s="8"/>
      <c r="G1057" s="10" t="str">
        <f>SETTINGS!$B$8</f>
        <v>2026/2027</v>
      </c>
      <c r="H1057" s="10">
        <f t="shared" si="65"/>
        <v>0</v>
      </c>
      <c r="I1057" s="10">
        <f t="shared" si="66"/>
        <v>0</v>
      </c>
      <c r="J1057" s="13" t="str">
        <f t="shared" si="67"/>
        <v/>
      </c>
    </row>
    <row r="1058" spans="1:10" x14ac:dyDescent="0.2">
      <c r="A1058" s="10" t="str">
        <f t="shared" si="64"/>
        <v/>
      </c>
      <c r="B1058" s="9"/>
      <c r="C1058" s="8"/>
      <c r="D1058" s="10" t="str">
        <f ca="1">IFERROR(_xludf.XLOOKUP(C1058,STUDENTS!$A$5:$A$204,STUDENTS!$C$5:$C$204,""),"")</f>
        <v/>
      </c>
      <c r="E1058" s="10" t="str">
        <f ca="1">IFERROR(_xludf.XLOOKUP(C1058,STUDENTS!$A$5:$A$204,STUDENTS!$L$5:$L$204,""),"")</f>
        <v/>
      </c>
      <c r="F1058" s="8"/>
      <c r="G1058" s="10" t="str">
        <f>SETTINGS!$B$8</f>
        <v>2026/2027</v>
      </c>
      <c r="H1058" s="10">
        <f t="shared" si="65"/>
        <v>0</v>
      </c>
      <c r="I1058" s="10">
        <f t="shared" si="66"/>
        <v>0</v>
      </c>
      <c r="J1058" s="13" t="str">
        <f t="shared" si="67"/>
        <v/>
      </c>
    </row>
    <row r="1059" spans="1:10" x14ac:dyDescent="0.2">
      <c r="A1059" s="10" t="str">
        <f t="shared" si="64"/>
        <v/>
      </c>
      <c r="B1059" s="9"/>
      <c r="C1059" s="8"/>
      <c r="D1059" s="10" t="str">
        <f ca="1">IFERROR(_xludf.XLOOKUP(C1059,STUDENTS!$A$5:$A$204,STUDENTS!$C$5:$C$204,""),"")</f>
        <v/>
      </c>
      <c r="E1059" s="10" t="str">
        <f ca="1">IFERROR(_xludf.XLOOKUP(C1059,STUDENTS!$A$5:$A$204,STUDENTS!$L$5:$L$204,""),"")</f>
        <v/>
      </c>
      <c r="F1059" s="8"/>
      <c r="G1059" s="10" t="str">
        <f>SETTINGS!$B$8</f>
        <v>2026/2027</v>
      </c>
      <c r="H1059" s="10">
        <f t="shared" si="65"/>
        <v>0</v>
      </c>
      <c r="I1059" s="10">
        <f t="shared" si="66"/>
        <v>0</v>
      </c>
      <c r="J1059" s="13" t="str">
        <f t="shared" si="67"/>
        <v/>
      </c>
    </row>
    <row r="1060" spans="1:10" x14ac:dyDescent="0.2">
      <c r="A1060" s="10" t="str">
        <f t="shared" si="64"/>
        <v/>
      </c>
      <c r="B1060" s="9"/>
      <c r="C1060" s="8"/>
      <c r="D1060" s="10" t="str">
        <f ca="1">IFERROR(_xludf.XLOOKUP(C1060,STUDENTS!$A$5:$A$204,STUDENTS!$C$5:$C$204,""),"")</f>
        <v/>
      </c>
      <c r="E1060" s="10" t="str">
        <f ca="1">IFERROR(_xludf.XLOOKUP(C1060,STUDENTS!$A$5:$A$204,STUDENTS!$L$5:$L$204,""),"")</f>
        <v/>
      </c>
      <c r="F1060" s="8"/>
      <c r="G1060" s="10" t="str">
        <f>SETTINGS!$B$8</f>
        <v>2026/2027</v>
      </c>
      <c r="H1060" s="10">
        <f t="shared" si="65"/>
        <v>0</v>
      </c>
      <c r="I1060" s="10">
        <f t="shared" si="66"/>
        <v>0</v>
      </c>
      <c r="J1060" s="13" t="str">
        <f t="shared" si="67"/>
        <v/>
      </c>
    </row>
    <row r="1061" spans="1:10" x14ac:dyDescent="0.2">
      <c r="A1061" s="10" t="str">
        <f t="shared" si="64"/>
        <v/>
      </c>
      <c r="B1061" s="9"/>
      <c r="C1061" s="8"/>
      <c r="D1061" s="10" t="str">
        <f ca="1">IFERROR(_xludf.XLOOKUP(C1061,STUDENTS!$A$5:$A$204,STUDENTS!$C$5:$C$204,""),"")</f>
        <v/>
      </c>
      <c r="E1061" s="10" t="str">
        <f ca="1">IFERROR(_xludf.XLOOKUP(C1061,STUDENTS!$A$5:$A$204,STUDENTS!$L$5:$L$204,""),"")</f>
        <v/>
      </c>
      <c r="F1061" s="8"/>
      <c r="G1061" s="10" t="str">
        <f>SETTINGS!$B$8</f>
        <v>2026/2027</v>
      </c>
      <c r="H1061" s="10">
        <f t="shared" si="65"/>
        <v>0</v>
      </c>
      <c r="I1061" s="10">
        <f t="shared" si="66"/>
        <v>0</v>
      </c>
      <c r="J1061" s="13" t="str">
        <f t="shared" si="67"/>
        <v/>
      </c>
    </row>
    <row r="1062" spans="1:10" x14ac:dyDescent="0.2">
      <c r="A1062" s="10" t="str">
        <f t="shared" si="64"/>
        <v/>
      </c>
      <c r="B1062" s="9"/>
      <c r="C1062" s="8"/>
      <c r="D1062" s="10" t="str">
        <f ca="1">IFERROR(_xludf.XLOOKUP(C1062,STUDENTS!$A$5:$A$204,STUDENTS!$C$5:$C$204,""),"")</f>
        <v/>
      </c>
      <c r="E1062" s="10" t="str">
        <f ca="1">IFERROR(_xludf.XLOOKUP(C1062,STUDENTS!$A$5:$A$204,STUDENTS!$L$5:$L$204,""),"")</f>
        <v/>
      </c>
      <c r="F1062" s="8"/>
      <c r="G1062" s="10" t="str">
        <f>SETTINGS!$B$8</f>
        <v>2026/2027</v>
      </c>
      <c r="H1062" s="10">
        <f t="shared" si="65"/>
        <v>0</v>
      </c>
      <c r="I1062" s="10">
        <f t="shared" si="66"/>
        <v>0</v>
      </c>
      <c r="J1062" s="13" t="str">
        <f t="shared" si="67"/>
        <v/>
      </c>
    </row>
    <row r="1063" spans="1:10" x14ac:dyDescent="0.2">
      <c r="A1063" s="10" t="str">
        <f t="shared" si="64"/>
        <v/>
      </c>
      <c r="B1063" s="9"/>
      <c r="C1063" s="8"/>
      <c r="D1063" s="10" t="str">
        <f ca="1">IFERROR(_xludf.XLOOKUP(C1063,STUDENTS!$A$5:$A$204,STUDENTS!$C$5:$C$204,""),"")</f>
        <v/>
      </c>
      <c r="E1063" s="10" t="str">
        <f ca="1">IFERROR(_xludf.XLOOKUP(C1063,STUDENTS!$A$5:$A$204,STUDENTS!$L$5:$L$204,""),"")</f>
        <v/>
      </c>
      <c r="F1063" s="8"/>
      <c r="G1063" s="10" t="str">
        <f>SETTINGS!$B$8</f>
        <v>2026/2027</v>
      </c>
      <c r="H1063" s="10">
        <f t="shared" si="65"/>
        <v>0</v>
      </c>
      <c r="I1063" s="10">
        <f t="shared" si="66"/>
        <v>0</v>
      </c>
      <c r="J1063" s="13" t="str">
        <f t="shared" si="67"/>
        <v/>
      </c>
    </row>
    <row r="1064" spans="1:10" x14ac:dyDescent="0.2">
      <c r="A1064" s="10" t="str">
        <f t="shared" si="64"/>
        <v/>
      </c>
      <c r="B1064" s="9"/>
      <c r="C1064" s="8"/>
      <c r="D1064" s="10" t="str">
        <f ca="1">IFERROR(_xludf.XLOOKUP(C1064,STUDENTS!$A$5:$A$204,STUDENTS!$C$5:$C$204,""),"")</f>
        <v/>
      </c>
      <c r="E1064" s="10" t="str">
        <f ca="1">IFERROR(_xludf.XLOOKUP(C1064,STUDENTS!$A$5:$A$204,STUDENTS!$L$5:$L$204,""),"")</f>
        <v/>
      </c>
      <c r="F1064" s="8"/>
      <c r="G1064" s="10" t="str">
        <f>SETTINGS!$B$8</f>
        <v>2026/2027</v>
      </c>
      <c r="H1064" s="10">
        <f t="shared" si="65"/>
        <v>0</v>
      </c>
      <c r="I1064" s="10">
        <f t="shared" si="66"/>
        <v>0</v>
      </c>
      <c r="J1064" s="13" t="str">
        <f t="shared" si="67"/>
        <v/>
      </c>
    </row>
    <row r="1065" spans="1:10" x14ac:dyDescent="0.2">
      <c r="A1065" s="10" t="str">
        <f t="shared" si="64"/>
        <v/>
      </c>
      <c r="B1065" s="9"/>
      <c r="C1065" s="8"/>
      <c r="D1065" s="10" t="str">
        <f ca="1">IFERROR(_xludf.XLOOKUP(C1065,STUDENTS!$A$5:$A$204,STUDENTS!$C$5:$C$204,""),"")</f>
        <v/>
      </c>
      <c r="E1065" s="10" t="str">
        <f ca="1">IFERROR(_xludf.XLOOKUP(C1065,STUDENTS!$A$5:$A$204,STUDENTS!$L$5:$L$204,""),"")</f>
        <v/>
      </c>
      <c r="F1065" s="8"/>
      <c r="G1065" s="10" t="str">
        <f>SETTINGS!$B$8</f>
        <v>2026/2027</v>
      </c>
      <c r="H1065" s="10">
        <f t="shared" si="65"/>
        <v>0</v>
      </c>
      <c r="I1065" s="10">
        <f t="shared" si="66"/>
        <v>0</v>
      </c>
      <c r="J1065" s="13" t="str">
        <f t="shared" si="67"/>
        <v/>
      </c>
    </row>
    <row r="1066" spans="1:10" x14ac:dyDescent="0.2">
      <c r="A1066" s="10" t="str">
        <f t="shared" si="64"/>
        <v/>
      </c>
      <c r="B1066" s="9"/>
      <c r="C1066" s="8"/>
      <c r="D1066" s="10" t="str">
        <f ca="1">IFERROR(_xludf.XLOOKUP(C1066,STUDENTS!$A$5:$A$204,STUDENTS!$C$5:$C$204,""),"")</f>
        <v/>
      </c>
      <c r="E1066" s="10" t="str">
        <f ca="1">IFERROR(_xludf.XLOOKUP(C1066,STUDENTS!$A$5:$A$204,STUDENTS!$L$5:$L$204,""),"")</f>
        <v/>
      </c>
      <c r="F1066" s="8"/>
      <c r="G1066" s="10" t="str">
        <f>SETTINGS!$B$8</f>
        <v>2026/2027</v>
      </c>
      <c r="H1066" s="10">
        <f t="shared" si="65"/>
        <v>0</v>
      </c>
      <c r="I1066" s="10">
        <f t="shared" si="66"/>
        <v>0</v>
      </c>
      <c r="J1066" s="13" t="str">
        <f t="shared" si="67"/>
        <v/>
      </c>
    </row>
    <row r="1067" spans="1:10" x14ac:dyDescent="0.2">
      <c r="A1067" s="10" t="str">
        <f t="shared" si="64"/>
        <v/>
      </c>
      <c r="B1067" s="9"/>
      <c r="C1067" s="8"/>
      <c r="D1067" s="10" t="str">
        <f ca="1">IFERROR(_xludf.XLOOKUP(C1067,STUDENTS!$A$5:$A$204,STUDENTS!$C$5:$C$204,""),"")</f>
        <v/>
      </c>
      <c r="E1067" s="10" t="str">
        <f ca="1">IFERROR(_xludf.XLOOKUP(C1067,STUDENTS!$A$5:$A$204,STUDENTS!$L$5:$L$204,""),"")</f>
        <v/>
      </c>
      <c r="F1067" s="8"/>
      <c r="G1067" s="10" t="str">
        <f>SETTINGS!$B$8</f>
        <v>2026/2027</v>
      </c>
      <c r="H1067" s="10">
        <f t="shared" si="65"/>
        <v>0</v>
      </c>
      <c r="I1067" s="10">
        <f t="shared" si="66"/>
        <v>0</v>
      </c>
      <c r="J1067" s="13" t="str">
        <f t="shared" si="67"/>
        <v/>
      </c>
    </row>
    <row r="1068" spans="1:10" x14ac:dyDescent="0.2">
      <c r="A1068" s="10" t="str">
        <f t="shared" si="64"/>
        <v/>
      </c>
      <c r="B1068" s="9"/>
      <c r="C1068" s="8"/>
      <c r="D1068" s="10" t="str">
        <f ca="1">IFERROR(_xludf.XLOOKUP(C1068,STUDENTS!$A$5:$A$204,STUDENTS!$C$5:$C$204,""),"")</f>
        <v/>
      </c>
      <c r="E1068" s="10" t="str">
        <f ca="1">IFERROR(_xludf.XLOOKUP(C1068,STUDENTS!$A$5:$A$204,STUDENTS!$L$5:$L$204,""),"")</f>
        <v/>
      </c>
      <c r="F1068" s="8"/>
      <c r="G1068" s="10" t="str">
        <f>SETTINGS!$B$8</f>
        <v>2026/2027</v>
      </c>
      <c r="H1068" s="10">
        <f t="shared" si="65"/>
        <v>0</v>
      </c>
      <c r="I1068" s="10">
        <f t="shared" si="66"/>
        <v>0</v>
      </c>
      <c r="J1068" s="13" t="str">
        <f t="shared" si="67"/>
        <v/>
      </c>
    </row>
    <row r="1069" spans="1:10" x14ac:dyDescent="0.2">
      <c r="A1069" s="10" t="str">
        <f t="shared" si="64"/>
        <v/>
      </c>
      <c r="B1069" s="9"/>
      <c r="C1069" s="8"/>
      <c r="D1069" s="10" t="str">
        <f ca="1">IFERROR(_xludf.XLOOKUP(C1069,STUDENTS!$A$5:$A$204,STUDENTS!$C$5:$C$204,""),"")</f>
        <v/>
      </c>
      <c r="E1069" s="10" t="str">
        <f ca="1">IFERROR(_xludf.XLOOKUP(C1069,STUDENTS!$A$5:$A$204,STUDENTS!$L$5:$L$204,""),"")</f>
        <v/>
      </c>
      <c r="F1069" s="8"/>
      <c r="G1069" s="10" t="str">
        <f>SETTINGS!$B$8</f>
        <v>2026/2027</v>
      </c>
      <c r="H1069" s="10">
        <f t="shared" si="65"/>
        <v>0</v>
      </c>
      <c r="I1069" s="10">
        <f t="shared" si="66"/>
        <v>0</v>
      </c>
      <c r="J1069" s="13" t="str">
        <f t="shared" si="67"/>
        <v/>
      </c>
    </row>
    <row r="1070" spans="1:10" x14ac:dyDescent="0.2">
      <c r="A1070" s="10" t="str">
        <f t="shared" si="64"/>
        <v/>
      </c>
      <c r="B1070" s="9"/>
      <c r="C1070" s="8"/>
      <c r="D1070" s="10" t="str">
        <f ca="1">IFERROR(_xludf.XLOOKUP(C1070,STUDENTS!$A$5:$A$204,STUDENTS!$C$5:$C$204,""),"")</f>
        <v/>
      </c>
      <c r="E1070" s="10" t="str">
        <f ca="1">IFERROR(_xludf.XLOOKUP(C1070,STUDENTS!$A$5:$A$204,STUDENTS!$L$5:$L$204,""),"")</f>
        <v/>
      </c>
      <c r="F1070" s="8"/>
      <c r="G1070" s="10" t="str">
        <f>SETTINGS!$B$8</f>
        <v>2026/2027</v>
      </c>
      <c r="H1070" s="10">
        <f t="shared" si="65"/>
        <v>0</v>
      </c>
      <c r="I1070" s="10">
        <f t="shared" si="66"/>
        <v>0</v>
      </c>
      <c r="J1070" s="13" t="str">
        <f t="shared" si="67"/>
        <v/>
      </c>
    </row>
    <row r="1071" spans="1:10" x14ac:dyDescent="0.2">
      <c r="A1071" s="10" t="str">
        <f t="shared" si="64"/>
        <v/>
      </c>
      <c r="B1071" s="9"/>
      <c r="C1071" s="8"/>
      <c r="D1071" s="10" t="str">
        <f ca="1">IFERROR(_xludf.XLOOKUP(C1071,STUDENTS!$A$5:$A$204,STUDENTS!$C$5:$C$204,""),"")</f>
        <v/>
      </c>
      <c r="E1071" s="10" t="str">
        <f ca="1">IFERROR(_xludf.XLOOKUP(C1071,STUDENTS!$A$5:$A$204,STUDENTS!$L$5:$L$204,""),"")</f>
        <v/>
      </c>
      <c r="F1071" s="8"/>
      <c r="G1071" s="10" t="str">
        <f>SETTINGS!$B$8</f>
        <v>2026/2027</v>
      </c>
      <c r="H1071" s="10">
        <f t="shared" si="65"/>
        <v>0</v>
      </c>
      <c r="I1071" s="10">
        <f t="shared" si="66"/>
        <v>0</v>
      </c>
      <c r="J1071" s="13" t="str">
        <f t="shared" si="67"/>
        <v/>
      </c>
    </row>
    <row r="1072" spans="1:10" x14ac:dyDescent="0.2">
      <c r="A1072" s="10" t="str">
        <f t="shared" si="64"/>
        <v/>
      </c>
      <c r="B1072" s="9"/>
      <c r="C1072" s="8"/>
      <c r="D1072" s="10" t="str">
        <f ca="1">IFERROR(_xludf.XLOOKUP(C1072,STUDENTS!$A$5:$A$204,STUDENTS!$C$5:$C$204,""),"")</f>
        <v/>
      </c>
      <c r="E1072" s="10" t="str">
        <f ca="1">IFERROR(_xludf.XLOOKUP(C1072,STUDENTS!$A$5:$A$204,STUDENTS!$L$5:$L$204,""),"")</f>
        <v/>
      </c>
      <c r="F1072" s="8"/>
      <c r="G1072" s="10" t="str">
        <f>SETTINGS!$B$8</f>
        <v>2026/2027</v>
      </c>
      <c r="H1072" s="10">
        <f t="shared" si="65"/>
        <v>0</v>
      </c>
      <c r="I1072" s="10">
        <f t="shared" si="66"/>
        <v>0</v>
      </c>
      <c r="J1072" s="13" t="str">
        <f t="shared" si="67"/>
        <v/>
      </c>
    </row>
    <row r="1073" spans="1:10" x14ac:dyDescent="0.2">
      <c r="A1073" s="10" t="str">
        <f t="shared" si="64"/>
        <v/>
      </c>
      <c r="B1073" s="9"/>
      <c r="C1073" s="8"/>
      <c r="D1073" s="10" t="str">
        <f ca="1">IFERROR(_xludf.XLOOKUP(C1073,STUDENTS!$A$5:$A$204,STUDENTS!$C$5:$C$204,""),"")</f>
        <v/>
      </c>
      <c r="E1073" s="10" t="str">
        <f ca="1">IFERROR(_xludf.XLOOKUP(C1073,STUDENTS!$A$5:$A$204,STUDENTS!$L$5:$L$204,""),"")</f>
        <v/>
      </c>
      <c r="F1073" s="8"/>
      <c r="G1073" s="10" t="str">
        <f>SETTINGS!$B$8</f>
        <v>2026/2027</v>
      </c>
      <c r="H1073" s="10">
        <f t="shared" si="65"/>
        <v>0</v>
      </c>
      <c r="I1073" s="10">
        <f t="shared" si="66"/>
        <v>0</v>
      </c>
      <c r="J1073" s="13" t="str">
        <f t="shared" si="67"/>
        <v/>
      </c>
    </row>
    <row r="1074" spans="1:10" x14ac:dyDescent="0.2">
      <c r="A1074" s="10" t="str">
        <f t="shared" si="64"/>
        <v/>
      </c>
      <c r="B1074" s="9"/>
      <c r="C1074" s="8"/>
      <c r="D1074" s="10" t="str">
        <f ca="1">IFERROR(_xludf.XLOOKUP(C1074,STUDENTS!$A$5:$A$204,STUDENTS!$C$5:$C$204,""),"")</f>
        <v/>
      </c>
      <c r="E1074" s="10" t="str">
        <f ca="1">IFERROR(_xludf.XLOOKUP(C1074,STUDENTS!$A$5:$A$204,STUDENTS!$L$5:$L$204,""),"")</f>
        <v/>
      </c>
      <c r="F1074" s="8"/>
      <c r="G1074" s="10" t="str">
        <f>SETTINGS!$B$8</f>
        <v>2026/2027</v>
      </c>
      <c r="H1074" s="10">
        <f t="shared" si="65"/>
        <v>0</v>
      </c>
      <c r="I1074" s="10">
        <f t="shared" si="66"/>
        <v>0</v>
      </c>
      <c r="J1074" s="13" t="str">
        <f t="shared" si="67"/>
        <v/>
      </c>
    </row>
    <row r="1075" spans="1:10" x14ac:dyDescent="0.2">
      <c r="A1075" s="10" t="str">
        <f t="shared" si="64"/>
        <v/>
      </c>
      <c r="B1075" s="9"/>
      <c r="C1075" s="8"/>
      <c r="D1075" s="10" t="str">
        <f ca="1">IFERROR(_xludf.XLOOKUP(C1075,STUDENTS!$A$5:$A$204,STUDENTS!$C$5:$C$204,""),"")</f>
        <v/>
      </c>
      <c r="E1075" s="10" t="str">
        <f ca="1">IFERROR(_xludf.XLOOKUP(C1075,STUDENTS!$A$5:$A$204,STUDENTS!$L$5:$L$204,""),"")</f>
        <v/>
      </c>
      <c r="F1075" s="8"/>
      <c r="G1075" s="10" t="str">
        <f>SETTINGS!$B$8</f>
        <v>2026/2027</v>
      </c>
      <c r="H1075" s="10">
        <f t="shared" si="65"/>
        <v>0</v>
      </c>
      <c r="I1075" s="10">
        <f t="shared" si="66"/>
        <v>0</v>
      </c>
      <c r="J1075" s="13" t="str">
        <f t="shared" si="67"/>
        <v/>
      </c>
    </row>
    <row r="1076" spans="1:10" x14ac:dyDescent="0.2">
      <c r="A1076" s="10" t="str">
        <f t="shared" si="64"/>
        <v/>
      </c>
      <c r="B1076" s="9"/>
      <c r="C1076" s="8"/>
      <c r="D1076" s="10" t="str">
        <f ca="1">IFERROR(_xludf.XLOOKUP(C1076,STUDENTS!$A$5:$A$204,STUDENTS!$C$5:$C$204,""),"")</f>
        <v/>
      </c>
      <c r="E1076" s="10" t="str">
        <f ca="1">IFERROR(_xludf.XLOOKUP(C1076,STUDENTS!$A$5:$A$204,STUDENTS!$L$5:$L$204,""),"")</f>
        <v/>
      </c>
      <c r="F1076" s="8"/>
      <c r="G1076" s="10" t="str">
        <f>SETTINGS!$B$8</f>
        <v>2026/2027</v>
      </c>
      <c r="H1076" s="10">
        <f t="shared" si="65"/>
        <v>0</v>
      </c>
      <c r="I1076" s="10">
        <f t="shared" si="66"/>
        <v>0</v>
      </c>
      <c r="J1076" s="13" t="str">
        <f t="shared" si="67"/>
        <v/>
      </c>
    </row>
    <row r="1077" spans="1:10" x14ac:dyDescent="0.2">
      <c r="A1077" s="10" t="str">
        <f t="shared" si="64"/>
        <v/>
      </c>
      <c r="B1077" s="9"/>
      <c r="C1077" s="8"/>
      <c r="D1077" s="10" t="str">
        <f ca="1">IFERROR(_xludf.XLOOKUP(C1077,STUDENTS!$A$5:$A$204,STUDENTS!$C$5:$C$204,""),"")</f>
        <v/>
      </c>
      <c r="E1077" s="10" t="str">
        <f ca="1">IFERROR(_xludf.XLOOKUP(C1077,STUDENTS!$A$5:$A$204,STUDENTS!$L$5:$L$204,""),"")</f>
        <v/>
      </c>
      <c r="F1077" s="8"/>
      <c r="G1077" s="10" t="str">
        <f>SETTINGS!$B$8</f>
        <v>2026/2027</v>
      </c>
      <c r="H1077" s="10">
        <f t="shared" si="65"/>
        <v>0</v>
      </c>
      <c r="I1077" s="10">
        <f t="shared" si="66"/>
        <v>0</v>
      </c>
      <c r="J1077" s="13" t="str">
        <f t="shared" si="67"/>
        <v/>
      </c>
    </row>
    <row r="1078" spans="1:10" x14ac:dyDescent="0.2">
      <c r="A1078" s="10" t="str">
        <f t="shared" si="64"/>
        <v/>
      </c>
      <c r="B1078" s="9"/>
      <c r="C1078" s="8"/>
      <c r="D1078" s="10" t="str">
        <f ca="1">IFERROR(_xludf.XLOOKUP(C1078,STUDENTS!$A$5:$A$204,STUDENTS!$C$5:$C$204,""),"")</f>
        <v/>
      </c>
      <c r="E1078" s="10" t="str">
        <f ca="1">IFERROR(_xludf.XLOOKUP(C1078,STUDENTS!$A$5:$A$204,STUDENTS!$L$5:$L$204,""),"")</f>
        <v/>
      </c>
      <c r="F1078" s="8"/>
      <c r="G1078" s="10" t="str">
        <f>SETTINGS!$B$8</f>
        <v>2026/2027</v>
      </c>
      <c r="H1078" s="10">
        <f t="shared" si="65"/>
        <v>0</v>
      </c>
      <c r="I1078" s="10">
        <f t="shared" si="66"/>
        <v>0</v>
      </c>
      <c r="J1078" s="13" t="str">
        <f t="shared" si="67"/>
        <v/>
      </c>
    </row>
    <row r="1079" spans="1:10" x14ac:dyDescent="0.2">
      <c r="A1079" s="10" t="str">
        <f t="shared" si="64"/>
        <v/>
      </c>
      <c r="B1079" s="9"/>
      <c r="C1079" s="8"/>
      <c r="D1079" s="10" t="str">
        <f ca="1">IFERROR(_xludf.XLOOKUP(C1079,STUDENTS!$A$5:$A$204,STUDENTS!$C$5:$C$204,""),"")</f>
        <v/>
      </c>
      <c r="E1079" s="10" t="str">
        <f ca="1">IFERROR(_xludf.XLOOKUP(C1079,STUDENTS!$A$5:$A$204,STUDENTS!$L$5:$L$204,""),"")</f>
        <v/>
      </c>
      <c r="F1079" s="8"/>
      <c r="G1079" s="10" t="str">
        <f>SETTINGS!$B$8</f>
        <v>2026/2027</v>
      </c>
      <c r="H1079" s="10">
        <f t="shared" si="65"/>
        <v>0</v>
      </c>
      <c r="I1079" s="10">
        <f t="shared" si="66"/>
        <v>0</v>
      </c>
      <c r="J1079" s="13" t="str">
        <f t="shared" si="67"/>
        <v/>
      </c>
    </row>
    <row r="1080" spans="1:10" x14ac:dyDescent="0.2">
      <c r="A1080" s="10" t="str">
        <f t="shared" si="64"/>
        <v/>
      </c>
      <c r="B1080" s="9"/>
      <c r="C1080" s="8"/>
      <c r="D1080" s="10" t="str">
        <f ca="1">IFERROR(_xludf.XLOOKUP(C1080,STUDENTS!$A$5:$A$204,STUDENTS!$C$5:$C$204,""),"")</f>
        <v/>
      </c>
      <c r="E1080" s="10" t="str">
        <f ca="1">IFERROR(_xludf.XLOOKUP(C1080,STUDENTS!$A$5:$A$204,STUDENTS!$L$5:$L$204,""),"")</f>
        <v/>
      </c>
      <c r="F1080" s="8"/>
      <c r="G1080" s="10" t="str">
        <f>SETTINGS!$B$8</f>
        <v>2026/2027</v>
      </c>
      <c r="H1080" s="10">
        <f t="shared" si="65"/>
        <v>0</v>
      </c>
      <c r="I1080" s="10">
        <f t="shared" si="66"/>
        <v>0</v>
      </c>
      <c r="J1080" s="13" t="str">
        <f t="shared" si="67"/>
        <v/>
      </c>
    </row>
    <row r="1081" spans="1:10" x14ac:dyDescent="0.2">
      <c r="A1081" s="10" t="str">
        <f t="shared" si="64"/>
        <v/>
      </c>
      <c r="B1081" s="9"/>
      <c r="C1081" s="8"/>
      <c r="D1081" s="10" t="str">
        <f ca="1">IFERROR(_xludf.XLOOKUP(C1081,STUDENTS!$A$5:$A$204,STUDENTS!$C$5:$C$204,""),"")</f>
        <v/>
      </c>
      <c r="E1081" s="10" t="str">
        <f ca="1">IFERROR(_xludf.XLOOKUP(C1081,STUDENTS!$A$5:$A$204,STUDENTS!$L$5:$L$204,""),"")</f>
        <v/>
      </c>
      <c r="F1081" s="8"/>
      <c r="G1081" s="10" t="str">
        <f>SETTINGS!$B$8</f>
        <v>2026/2027</v>
      </c>
      <c r="H1081" s="10">
        <f t="shared" si="65"/>
        <v>0</v>
      </c>
      <c r="I1081" s="10">
        <f t="shared" si="66"/>
        <v>0</v>
      </c>
      <c r="J1081" s="13" t="str">
        <f t="shared" si="67"/>
        <v/>
      </c>
    </row>
    <row r="1082" spans="1:10" x14ac:dyDescent="0.2">
      <c r="A1082" s="10" t="str">
        <f t="shared" si="64"/>
        <v/>
      </c>
      <c r="B1082" s="9"/>
      <c r="C1082" s="8"/>
      <c r="D1082" s="10" t="str">
        <f ca="1">IFERROR(_xludf.XLOOKUP(C1082,STUDENTS!$A$5:$A$204,STUDENTS!$C$5:$C$204,""),"")</f>
        <v/>
      </c>
      <c r="E1082" s="10" t="str">
        <f ca="1">IFERROR(_xludf.XLOOKUP(C1082,STUDENTS!$A$5:$A$204,STUDENTS!$L$5:$L$204,""),"")</f>
        <v/>
      </c>
      <c r="F1082" s="8"/>
      <c r="G1082" s="10" t="str">
        <f>SETTINGS!$B$8</f>
        <v>2026/2027</v>
      </c>
      <c r="H1082" s="10">
        <f t="shared" si="65"/>
        <v>0</v>
      </c>
      <c r="I1082" s="10">
        <f t="shared" si="66"/>
        <v>0</v>
      </c>
      <c r="J1082" s="13" t="str">
        <f t="shared" si="67"/>
        <v/>
      </c>
    </row>
    <row r="1083" spans="1:10" x14ac:dyDescent="0.2">
      <c r="A1083" s="10" t="str">
        <f t="shared" si="64"/>
        <v/>
      </c>
      <c r="B1083" s="9"/>
      <c r="C1083" s="8"/>
      <c r="D1083" s="10" t="str">
        <f ca="1">IFERROR(_xludf.XLOOKUP(C1083,STUDENTS!$A$5:$A$204,STUDENTS!$C$5:$C$204,""),"")</f>
        <v/>
      </c>
      <c r="E1083" s="10" t="str">
        <f ca="1">IFERROR(_xludf.XLOOKUP(C1083,STUDENTS!$A$5:$A$204,STUDENTS!$L$5:$L$204,""),"")</f>
        <v/>
      </c>
      <c r="F1083" s="8"/>
      <c r="G1083" s="10" t="str">
        <f>SETTINGS!$B$8</f>
        <v>2026/2027</v>
      </c>
      <c r="H1083" s="10">
        <f t="shared" si="65"/>
        <v>0</v>
      </c>
      <c r="I1083" s="10">
        <f t="shared" si="66"/>
        <v>0</v>
      </c>
      <c r="J1083" s="13" t="str">
        <f t="shared" si="67"/>
        <v/>
      </c>
    </row>
    <row r="1084" spans="1:10" x14ac:dyDescent="0.2">
      <c r="A1084" s="10" t="str">
        <f t="shared" si="64"/>
        <v/>
      </c>
      <c r="B1084" s="9"/>
      <c r="C1084" s="8"/>
      <c r="D1084" s="10" t="str">
        <f ca="1">IFERROR(_xludf.XLOOKUP(C1084,STUDENTS!$A$5:$A$204,STUDENTS!$C$5:$C$204,""),"")</f>
        <v/>
      </c>
      <c r="E1084" s="10" t="str">
        <f ca="1">IFERROR(_xludf.XLOOKUP(C1084,STUDENTS!$A$5:$A$204,STUDENTS!$L$5:$L$204,""),"")</f>
        <v/>
      </c>
      <c r="F1084" s="8"/>
      <c r="G1084" s="10" t="str">
        <f>SETTINGS!$B$8</f>
        <v>2026/2027</v>
      </c>
      <c r="H1084" s="10">
        <f t="shared" si="65"/>
        <v>0</v>
      </c>
      <c r="I1084" s="10">
        <f t="shared" si="66"/>
        <v>0</v>
      </c>
      <c r="J1084" s="13" t="str">
        <f t="shared" si="67"/>
        <v/>
      </c>
    </row>
    <row r="1085" spans="1:10" x14ac:dyDescent="0.2">
      <c r="A1085" s="10" t="str">
        <f t="shared" si="64"/>
        <v/>
      </c>
      <c r="B1085" s="9"/>
      <c r="C1085" s="8"/>
      <c r="D1085" s="10" t="str">
        <f ca="1">IFERROR(_xludf.XLOOKUP(C1085,STUDENTS!$A$5:$A$204,STUDENTS!$C$5:$C$204,""),"")</f>
        <v/>
      </c>
      <c r="E1085" s="10" t="str">
        <f ca="1">IFERROR(_xludf.XLOOKUP(C1085,STUDENTS!$A$5:$A$204,STUDENTS!$L$5:$L$204,""),"")</f>
        <v/>
      </c>
      <c r="F1085" s="8"/>
      <c r="G1085" s="10" t="str">
        <f>SETTINGS!$B$8</f>
        <v>2026/2027</v>
      </c>
      <c r="H1085" s="10">
        <f t="shared" si="65"/>
        <v>0</v>
      </c>
      <c r="I1085" s="10">
        <f t="shared" si="66"/>
        <v>0</v>
      </c>
      <c r="J1085" s="13" t="str">
        <f t="shared" si="67"/>
        <v/>
      </c>
    </row>
    <row r="1086" spans="1:10" x14ac:dyDescent="0.2">
      <c r="A1086" s="10" t="str">
        <f t="shared" si="64"/>
        <v/>
      </c>
      <c r="B1086" s="9"/>
      <c r="C1086" s="8"/>
      <c r="D1086" s="10" t="str">
        <f ca="1">IFERROR(_xludf.XLOOKUP(C1086,STUDENTS!$A$5:$A$204,STUDENTS!$C$5:$C$204,""),"")</f>
        <v/>
      </c>
      <c r="E1086" s="10" t="str">
        <f ca="1">IFERROR(_xludf.XLOOKUP(C1086,STUDENTS!$A$5:$A$204,STUDENTS!$L$5:$L$204,""),"")</f>
        <v/>
      </c>
      <c r="F1086" s="8"/>
      <c r="G1086" s="10" t="str">
        <f>SETTINGS!$B$8</f>
        <v>2026/2027</v>
      </c>
      <c r="H1086" s="10">
        <f t="shared" si="65"/>
        <v>0</v>
      </c>
      <c r="I1086" s="10">
        <f t="shared" si="66"/>
        <v>0</v>
      </c>
      <c r="J1086" s="13" t="str">
        <f t="shared" si="67"/>
        <v/>
      </c>
    </row>
    <row r="1087" spans="1:10" x14ac:dyDescent="0.2">
      <c r="A1087" s="10" t="str">
        <f t="shared" si="64"/>
        <v/>
      </c>
      <c r="B1087" s="9"/>
      <c r="C1087" s="8"/>
      <c r="D1087" s="10" t="str">
        <f ca="1">IFERROR(_xludf.XLOOKUP(C1087,STUDENTS!$A$5:$A$204,STUDENTS!$C$5:$C$204,""),"")</f>
        <v/>
      </c>
      <c r="E1087" s="10" t="str">
        <f ca="1">IFERROR(_xludf.XLOOKUP(C1087,STUDENTS!$A$5:$A$204,STUDENTS!$L$5:$L$204,""),"")</f>
        <v/>
      </c>
      <c r="F1087" s="8"/>
      <c r="G1087" s="10" t="str">
        <f>SETTINGS!$B$8</f>
        <v>2026/2027</v>
      </c>
      <c r="H1087" s="10">
        <f t="shared" si="65"/>
        <v>0</v>
      </c>
      <c r="I1087" s="10">
        <f t="shared" si="66"/>
        <v>0</v>
      </c>
      <c r="J1087" s="13" t="str">
        <f t="shared" si="67"/>
        <v/>
      </c>
    </row>
    <row r="1088" spans="1:10" x14ac:dyDescent="0.2">
      <c r="A1088" s="10" t="str">
        <f t="shared" si="64"/>
        <v/>
      </c>
      <c r="B1088" s="9"/>
      <c r="C1088" s="8"/>
      <c r="D1088" s="10" t="str">
        <f ca="1">IFERROR(_xludf.XLOOKUP(C1088,STUDENTS!$A$5:$A$204,STUDENTS!$C$5:$C$204,""),"")</f>
        <v/>
      </c>
      <c r="E1088" s="10" t="str">
        <f ca="1">IFERROR(_xludf.XLOOKUP(C1088,STUDENTS!$A$5:$A$204,STUDENTS!$L$5:$L$204,""),"")</f>
        <v/>
      </c>
      <c r="F1088" s="8"/>
      <c r="G1088" s="10" t="str">
        <f>SETTINGS!$B$8</f>
        <v>2026/2027</v>
      </c>
      <c r="H1088" s="10">
        <f t="shared" si="65"/>
        <v>0</v>
      </c>
      <c r="I1088" s="10">
        <f t="shared" si="66"/>
        <v>0</v>
      </c>
      <c r="J1088" s="13" t="str">
        <f t="shared" si="67"/>
        <v/>
      </c>
    </row>
    <row r="1089" spans="1:10" x14ac:dyDescent="0.2">
      <c r="A1089" s="10" t="str">
        <f t="shared" si="64"/>
        <v/>
      </c>
      <c r="B1089" s="9"/>
      <c r="C1089" s="8"/>
      <c r="D1089" s="10" t="str">
        <f ca="1">IFERROR(_xludf.XLOOKUP(C1089,STUDENTS!$A$5:$A$204,STUDENTS!$C$5:$C$204,""),"")</f>
        <v/>
      </c>
      <c r="E1089" s="10" t="str">
        <f ca="1">IFERROR(_xludf.XLOOKUP(C1089,STUDENTS!$A$5:$A$204,STUDENTS!$L$5:$L$204,""),"")</f>
        <v/>
      </c>
      <c r="F1089" s="8"/>
      <c r="G1089" s="10" t="str">
        <f>SETTINGS!$B$8</f>
        <v>2026/2027</v>
      </c>
      <c r="H1089" s="10">
        <f t="shared" si="65"/>
        <v>0</v>
      </c>
      <c r="I1089" s="10">
        <f t="shared" si="66"/>
        <v>0</v>
      </c>
      <c r="J1089" s="13" t="str">
        <f t="shared" si="67"/>
        <v/>
      </c>
    </row>
    <row r="1090" spans="1:10" x14ac:dyDescent="0.2">
      <c r="A1090" s="10" t="str">
        <f t="shared" si="64"/>
        <v/>
      </c>
      <c r="B1090" s="9"/>
      <c r="C1090" s="8"/>
      <c r="D1090" s="10" t="str">
        <f ca="1">IFERROR(_xludf.XLOOKUP(C1090,STUDENTS!$A$5:$A$204,STUDENTS!$C$5:$C$204,""),"")</f>
        <v/>
      </c>
      <c r="E1090" s="10" t="str">
        <f ca="1">IFERROR(_xludf.XLOOKUP(C1090,STUDENTS!$A$5:$A$204,STUDENTS!$L$5:$L$204,""),"")</f>
        <v/>
      </c>
      <c r="F1090" s="8"/>
      <c r="G1090" s="10" t="str">
        <f>SETTINGS!$B$8</f>
        <v>2026/2027</v>
      </c>
      <c r="H1090" s="10">
        <f t="shared" si="65"/>
        <v>0</v>
      </c>
      <c r="I1090" s="10">
        <f t="shared" si="66"/>
        <v>0</v>
      </c>
      <c r="J1090" s="13" t="str">
        <f t="shared" si="67"/>
        <v/>
      </c>
    </row>
    <row r="1091" spans="1:10" x14ac:dyDescent="0.2">
      <c r="A1091" s="10" t="str">
        <f t="shared" si="64"/>
        <v/>
      </c>
      <c r="B1091" s="9"/>
      <c r="C1091" s="8"/>
      <c r="D1091" s="10" t="str">
        <f ca="1">IFERROR(_xludf.XLOOKUP(C1091,STUDENTS!$A$5:$A$204,STUDENTS!$C$5:$C$204,""),"")</f>
        <v/>
      </c>
      <c r="E1091" s="10" t="str">
        <f ca="1">IFERROR(_xludf.XLOOKUP(C1091,STUDENTS!$A$5:$A$204,STUDENTS!$L$5:$L$204,""),"")</f>
        <v/>
      </c>
      <c r="F1091" s="8"/>
      <c r="G1091" s="10" t="str">
        <f>SETTINGS!$B$8</f>
        <v>2026/2027</v>
      </c>
      <c r="H1091" s="10">
        <f t="shared" si="65"/>
        <v>0</v>
      </c>
      <c r="I1091" s="10">
        <f t="shared" si="66"/>
        <v>0</v>
      </c>
      <c r="J1091" s="13" t="str">
        <f t="shared" si="67"/>
        <v/>
      </c>
    </row>
    <row r="1092" spans="1:10" x14ac:dyDescent="0.2">
      <c r="A1092" s="10" t="str">
        <f t="shared" si="64"/>
        <v/>
      </c>
      <c r="B1092" s="9"/>
      <c r="C1092" s="8"/>
      <c r="D1092" s="10" t="str">
        <f ca="1">IFERROR(_xludf.XLOOKUP(C1092,STUDENTS!$A$5:$A$204,STUDENTS!$C$5:$C$204,""),"")</f>
        <v/>
      </c>
      <c r="E1092" s="10" t="str">
        <f ca="1">IFERROR(_xludf.XLOOKUP(C1092,STUDENTS!$A$5:$A$204,STUDENTS!$L$5:$L$204,""),"")</f>
        <v/>
      </c>
      <c r="F1092" s="8"/>
      <c r="G1092" s="10" t="str">
        <f>SETTINGS!$B$8</f>
        <v>2026/2027</v>
      </c>
      <c r="H1092" s="10">
        <f t="shared" si="65"/>
        <v>0</v>
      </c>
      <c r="I1092" s="10">
        <f t="shared" si="66"/>
        <v>0</v>
      </c>
      <c r="J1092" s="13" t="str">
        <f t="shared" si="67"/>
        <v/>
      </c>
    </row>
    <row r="1093" spans="1:10" x14ac:dyDescent="0.2">
      <c r="A1093" s="10" t="str">
        <f t="shared" ref="A1093:A1156" si="68">IF(C1093="","","AT-"&amp;TEXT(ROW()-4,"00000"))</f>
        <v/>
      </c>
      <c r="B1093" s="9"/>
      <c r="C1093" s="8"/>
      <c r="D1093" s="10" t="str">
        <f ca="1">IFERROR(_xludf.XLOOKUP(C1093,STUDENTS!$A$5:$A$204,STUDENTS!$C$5:$C$204,""),"")</f>
        <v/>
      </c>
      <c r="E1093" s="10" t="str">
        <f ca="1">IFERROR(_xludf.XLOOKUP(C1093,STUDENTS!$A$5:$A$204,STUDENTS!$L$5:$L$204,""),"")</f>
        <v/>
      </c>
      <c r="F1093" s="8"/>
      <c r="G1093" s="10" t="str">
        <f>SETTINGS!$B$8</f>
        <v>2026/2027</v>
      </c>
      <c r="H1093" s="10">
        <f t="shared" ref="H1093:H1156" si="69">IF(F1093="Present",1,0)</f>
        <v>0</v>
      </c>
      <c r="I1093" s="10">
        <f t="shared" ref="I1093:I1156" si="70">IF(F1093="Absent",1,0)</f>
        <v>0</v>
      </c>
      <c r="J1093" s="13" t="str">
        <f t="shared" ref="J1093:J1156" si="71">IF(OR(H1093="",I1093=""),"",IF(H1093+I1093=0,"",H1093/(H1093+I1093)))</f>
        <v/>
      </c>
    </row>
    <row r="1094" spans="1:10" x14ac:dyDescent="0.2">
      <c r="A1094" s="10" t="str">
        <f t="shared" si="68"/>
        <v/>
      </c>
      <c r="B1094" s="9"/>
      <c r="C1094" s="8"/>
      <c r="D1094" s="10" t="str">
        <f ca="1">IFERROR(_xludf.XLOOKUP(C1094,STUDENTS!$A$5:$A$204,STUDENTS!$C$5:$C$204,""),"")</f>
        <v/>
      </c>
      <c r="E1094" s="10" t="str">
        <f ca="1">IFERROR(_xludf.XLOOKUP(C1094,STUDENTS!$A$5:$A$204,STUDENTS!$L$5:$L$204,""),"")</f>
        <v/>
      </c>
      <c r="F1094" s="8"/>
      <c r="G1094" s="10" t="str">
        <f>SETTINGS!$B$8</f>
        <v>2026/2027</v>
      </c>
      <c r="H1094" s="10">
        <f t="shared" si="69"/>
        <v>0</v>
      </c>
      <c r="I1094" s="10">
        <f t="shared" si="70"/>
        <v>0</v>
      </c>
      <c r="J1094" s="13" t="str">
        <f t="shared" si="71"/>
        <v/>
      </c>
    </row>
    <row r="1095" spans="1:10" x14ac:dyDescent="0.2">
      <c r="A1095" s="10" t="str">
        <f t="shared" si="68"/>
        <v/>
      </c>
      <c r="B1095" s="9"/>
      <c r="C1095" s="8"/>
      <c r="D1095" s="10" t="str">
        <f ca="1">IFERROR(_xludf.XLOOKUP(C1095,STUDENTS!$A$5:$A$204,STUDENTS!$C$5:$C$204,""),"")</f>
        <v/>
      </c>
      <c r="E1095" s="10" t="str">
        <f ca="1">IFERROR(_xludf.XLOOKUP(C1095,STUDENTS!$A$5:$A$204,STUDENTS!$L$5:$L$204,""),"")</f>
        <v/>
      </c>
      <c r="F1095" s="8"/>
      <c r="G1095" s="10" t="str">
        <f>SETTINGS!$B$8</f>
        <v>2026/2027</v>
      </c>
      <c r="H1095" s="10">
        <f t="shared" si="69"/>
        <v>0</v>
      </c>
      <c r="I1095" s="10">
        <f t="shared" si="70"/>
        <v>0</v>
      </c>
      <c r="J1095" s="13" t="str">
        <f t="shared" si="71"/>
        <v/>
      </c>
    </row>
    <row r="1096" spans="1:10" x14ac:dyDescent="0.2">
      <c r="A1096" s="10" t="str">
        <f t="shared" si="68"/>
        <v/>
      </c>
      <c r="B1096" s="9"/>
      <c r="C1096" s="8"/>
      <c r="D1096" s="10" t="str">
        <f ca="1">IFERROR(_xludf.XLOOKUP(C1096,STUDENTS!$A$5:$A$204,STUDENTS!$C$5:$C$204,""),"")</f>
        <v/>
      </c>
      <c r="E1096" s="10" t="str">
        <f ca="1">IFERROR(_xludf.XLOOKUP(C1096,STUDENTS!$A$5:$A$204,STUDENTS!$L$5:$L$204,""),"")</f>
        <v/>
      </c>
      <c r="F1096" s="8"/>
      <c r="G1096" s="10" t="str">
        <f>SETTINGS!$B$8</f>
        <v>2026/2027</v>
      </c>
      <c r="H1096" s="10">
        <f t="shared" si="69"/>
        <v>0</v>
      </c>
      <c r="I1096" s="10">
        <f t="shared" si="70"/>
        <v>0</v>
      </c>
      <c r="J1096" s="13" t="str">
        <f t="shared" si="71"/>
        <v/>
      </c>
    </row>
    <row r="1097" spans="1:10" x14ac:dyDescent="0.2">
      <c r="A1097" s="10" t="str">
        <f t="shared" si="68"/>
        <v/>
      </c>
      <c r="B1097" s="9"/>
      <c r="C1097" s="8"/>
      <c r="D1097" s="10" t="str">
        <f ca="1">IFERROR(_xludf.XLOOKUP(C1097,STUDENTS!$A$5:$A$204,STUDENTS!$C$5:$C$204,""),"")</f>
        <v/>
      </c>
      <c r="E1097" s="10" t="str">
        <f ca="1">IFERROR(_xludf.XLOOKUP(C1097,STUDENTS!$A$5:$A$204,STUDENTS!$L$5:$L$204,""),"")</f>
        <v/>
      </c>
      <c r="F1097" s="8"/>
      <c r="G1097" s="10" t="str">
        <f>SETTINGS!$B$8</f>
        <v>2026/2027</v>
      </c>
      <c r="H1097" s="10">
        <f t="shared" si="69"/>
        <v>0</v>
      </c>
      <c r="I1097" s="10">
        <f t="shared" si="70"/>
        <v>0</v>
      </c>
      <c r="J1097" s="13" t="str">
        <f t="shared" si="71"/>
        <v/>
      </c>
    </row>
    <row r="1098" spans="1:10" x14ac:dyDescent="0.2">
      <c r="A1098" s="10" t="str">
        <f t="shared" si="68"/>
        <v/>
      </c>
      <c r="B1098" s="9"/>
      <c r="C1098" s="8"/>
      <c r="D1098" s="10" t="str">
        <f ca="1">IFERROR(_xludf.XLOOKUP(C1098,STUDENTS!$A$5:$A$204,STUDENTS!$C$5:$C$204,""),"")</f>
        <v/>
      </c>
      <c r="E1098" s="10" t="str">
        <f ca="1">IFERROR(_xludf.XLOOKUP(C1098,STUDENTS!$A$5:$A$204,STUDENTS!$L$5:$L$204,""),"")</f>
        <v/>
      </c>
      <c r="F1098" s="8"/>
      <c r="G1098" s="10" t="str">
        <f>SETTINGS!$B$8</f>
        <v>2026/2027</v>
      </c>
      <c r="H1098" s="10">
        <f t="shared" si="69"/>
        <v>0</v>
      </c>
      <c r="I1098" s="10">
        <f t="shared" si="70"/>
        <v>0</v>
      </c>
      <c r="J1098" s="13" t="str">
        <f t="shared" si="71"/>
        <v/>
      </c>
    </row>
    <row r="1099" spans="1:10" x14ac:dyDescent="0.2">
      <c r="A1099" s="10" t="str">
        <f t="shared" si="68"/>
        <v/>
      </c>
      <c r="B1099" s="9"/>
      <c r="C1099" s="8"/>
      <c r="D1099" s="10" t="str">
        <f ca="1">IFERROR(_xludf.XLOOKUP(C1099,STUDENTS!$A$5:$A$204,STUDENTS!$C$5:$C$204,""),"")</f>
        <v/>
      </c>
      <c r="E1099" s="10" t="str">
        <f ca="1">IFERROR(_xludf.XLOOKUP(C1099,STUDENTS!$A$5:$A$204,STUDENTS!$L$5:$L$204,""),"")</f>
        <v/>
      </c>
      <c r="F1099" s="8"/>
      <c r="G1099" s="10" t="str">
        <f>SETTINGS!$B$8</f>
        <v>2026/2027</v>
      </c>
      <c r="H1099" s="10">
        <f t="shared" si="69"/>
        <v>0</v>
      </c>
      <c r="I1099" s="10">
        <f t="shared" si="70"/>
        <v>0</v>
      </c>
      <c r="J1099" s="13" t="str">
        <f t="shared" si="71"/>
        <v/>
      </c>
    </row>
    <row r="1100" spans="1:10" x14ac:dyDescent="0.2">
      <c r="A1100" s="10" t="str">
        <f t="shared" si="68"/>
        <v/>
      </c>
      <c r="B1100" s="9"/>
      <c r="C1100" s="8"/>
      <c r="D1100" s="10" t="str">
        <f ca="1">IFERROR(_xludf.XLOOKUP(C1100,STUDENTS!$A$5:$A$204,STUDENTS!$C$5:$C$204,""),"")</f>
        <v/>
      </c>
      <c r="E1100" s="10" t="str">
        <f ca="1">IFERROR(_xludf.XLOOKUP(C1100,STUDENTS!$A$5:$A$204,STUDENTS!$L$5:$L$204,""),"")</f>
        <v/>
      </c>
      <c r="F1100" s="8"/>
      <c r="G1100" s="10" t="str">
        <f>SETTINGS!$B$8</f>
        <v>2026/2027</v>
      </c>
      <c r="H1100" s="10">
        <f t="shared" si="69"/>
        <v>0</v>
      </c>
      <c r="I1100" s="10">
        <f t="shared" si="70"/>
        <v>0</v>
      </c>
      <c r="J1100" s="13" t="str">
        <f t="shared" si="71"/>
        <v/>
      </c>
    </row>
    <row r="1101" spans="1:10" x14ac:dyDescent="0.2">
      <c r="A1101" s="10" t="str">
        <f t="shared" si="68"/>
        <v/>
      </c>
      <c r="B1101" s="9"/>
      <c r="C1101" s="8"/>
      <c r="D1101" s="10" t="str">
        <f ca="1">IFERROR(_xludf.XLOOKUP(C1101,STUDENTS!$A$5:$A$204,STUDENTS!$C$5:$C$204,""),"")</f>
        <v/>
      </c>
      <c r="E1101" s="10" t="str">
        <f ca="1">IFERROR(_xludf.XLOOKUP(C1101,STUDENTS!$A$5:$A$204,STUDENTS!$L$5:$L$204,""),"")</f>
        <v/>
      </c>
      <c r="F1101" s="8"/>
      <c r="G1101" s="10" t="str">
        <f>SETTINGS!$B$8</f>
        <v>2026/2027</v>
      </c>
      <c r="H1101" s="10">
        <f t="shared" si="69"/>
        <v>0</v>
      </c>
      <c r="I1101" s="10">
        <f t="shared" si="70"/>
        <v>0</v>
      </c>
      <c r="J1101" s="13" t="str">
        <f t="shared" si="71"/>
        <v/>
      </c>
    </row>
    <row r="1102" spans="1:10" x14ac:dyDescent="0.2">
      <c r="A1102" s="10" t="str">
        <f t="shared" si="68"/>
        <v/>
      </c>
      <c r="B1102" s="9"/>
      <c r="C1102" s="8"/>
      <c r="D1102" s="10" t="str">
        <f ca="1">IFERROR(_xludf.XLOOKUP(C1102,STUDENTS!$A$5:$A$204,STUDENTS!$C$5:$C$204,""),"")</f>
        <v/>
      </c>
      <c r="E1102" s="10" t="str">
        <f ca="1">IFERROR(_xludf.XLOOKUP(C1102,STUDENTS!$A$5:$A$204,STUDENTS!$L$5:$L$204,""),"")</f>
        <v/>
      </c>
      <c r="F1102" s="8"/>
      <c r="G1102" s="10" t="str">
        <f>SETTINGS!$B$8</f>
        <v>2026/2027</v>
      </c>
      <c r="H1102" s="10">
        <f t="shared" si="69"/>
        <v>0</v>
      </c>
      <c r="I1102" s="10">
        <f t="shared" si="70"/>
        <v>0</v>
      </c>
      <c r="J1102" s="13" t="str">
        <f t="shared" si="71"/>
        <v/>
      </c>
    </row>
    <row r="1103" spans="1:10" x14ac:dyDescent="0.2">
      <c r="A1103" s="10" t="str">
        <f t="shared" si="68"/>
        <v/>
      </c>
      <c r="B1103" s="9"/>
      <c r="C1103" s="8"/>
      <c r="D1103" s="10" t="str">
        <f ca="1">IFERROR(_xludf.XLOOKUP(C1103,STUDENTS!$A$5:$A$204,STUDENTS!$C$5:$C$204,""),"")</f>
        <v/>
      </c>
      <c r="E1103" s="10" t="str">
        <f ca="1">IFERROR(_xludf.XLOOKUP(C1103,STUDENTS!$A$5:$A$204,STUDENTS!$L$5:$L$204,""),"")</f>
        <v/>
      </c>
      <c r="F1103" s="8"/>
      <c r="G1103" s="10" t="str">
        <f>SETTINGS!$B$8</f>
        <v>2026/2027</v>
      </c>
      <c r="H1103" s="10">
        <f t="shared" si="69"/>
        <v>0</v>
      </c>
      <c r="I1103" s="10">
        <f t="shared" si="70"/>
        <v>0</v>
      </c>
      <c r="J1103" s="13" t="str">
        <f t="shared" si="71"/>
        <v/>
      </c>
    </row>
    <row r="1104" spans="1:10" x14ac:dyDescent="0.2">
      <c r="A1104" s="10" t="str">
        <f t="shared" si="68"/>
        <v/>
      </c>
      <c r="B1104" s="9"/>
      <c r="C1104" s="8"/>
      <c r="D1104" s="10" t="str">
        <f ca="1">IFERROR(_xludf.XLOOKUP(C1104,STUDENTS!$A$5:$A$204,STUDENTS!$C$5:$C$204,""),"")</f>
        <v/>
      </c>
      <c r="E1104" s="10" t="str">
        <f ca="1">IFERROR(_xludf.XLOOKUP(C1104,STUDENTS!$A$5:$A$204,STUDENTS!$L$5:$L$204,""),"")</f>
        <v/>
      </c>
      <c r="F1104" s="8"/>
      <c r="G1104" s="10" t="str">
        <f>SETTINGS!$B$8</f>
        <v>2026/2027</v>
      </c>
      <c r="H1104" s="10">
        <f t="shared" si="69"/>
        <v>0</v>
      </c>
      <c r="I1104" s="10">
        <f t="shared" si="70"/>
        <v>0</v>
      </c>
      <c r="J1104" s="13" t="str">
        <f t="shared" si="71"/>
        <v/>
      </c>
    </row>
    <row r="1105" spans="1:10" x14ac:dyDescent="0.2">
      <c r="A1105" s="10" t="str">
        <f t="shared" si="68"/>
        <v/>
      </c>
      <c r="B1105" s="9"/>
      <c r="C1105" s="8"/>
      <c r="D1105" s="10" t="str">
        <f ca="1">IFERROR(_xludf.XLOOKUP(C1105,STUDENTS!$A$5:$A$204,STUDENTS!$C$5:$C$204,""),"")</f>
        <v/>
      </c>
      <c r="E1105" s="10" t="str">
        <f ca="1">IFERROR(_xludf.XLOOKUP(C1105,STUDENTS!$A$5:$A$204,STUDENTS!$L$5:$L$204,""),"")</f>
        <v/>
      </c>
      <c r="F1105" s="8"/>
      <c r="G1105" s="10" t="str">
        <f>SETTINGS!$B$8</f>
        <v>2026/2027</v>
      </c>
      <c r="H1105" s="10">
        <f t="shared" si="69"/>
        <v>0</v>
      </c>
      <c r="I1105" s="10">
        <f t="shared" si="70"/>
        <v>0</v>
      </c>
      <c r="J1105" s="13" t="str">
        <f t="shared" si="71"/>
        <v/>
      </c>
    </row>
    <row r="1106" spans="1:10" x14ac:dyDescent="0.2">
      <c r="A1106" s="10" t="str">
        <f t="shared" si="68"/>
        <v/>
      </c>
      <c r="B1106" s="9"/>
      <c r="C1106" s="8"/>
      <c r="D1106" s="10" t="str">
        <f ca="1">IFERROR(_xludf.XLOOKUP(C1106,STUDENTS!$A$5:$A$204,STUDENTS!$C$5:$C$204,""),"")</f>
        <v/>
      </c>
      <c r="E1106" s="10" t="str">
        <f ca="1">IFERROR(_xludf.XLOOKUP(C1106,STUDENTS!$A$5:$A$204,STUDENTS!$L$5:$L$204,""),"")</f>
        <v/>
      </c>
      <c r="F1106" s="8"/>
      <c r="G1106" s="10" t="str">
        <f>SETTINGS!$B$8</f>
        <v>2026/2027</v>
      </c>
      <c r="H1106" s="10">
        <f t="shared" si="69"/>
        <v>0</v>
      </c>
      <c r="I1106" s="10">
        <f t="shared" si="70"/>
        <v>0</v>
      </c>
      <c r="J1106" s="13" t="str">
        <f t="shared" si="71"/>
        <v/>
      </c>
    </row>
    <row r="1107" spans="1:10" x14ac:dyDescent="0.2">
      <c r="A1107" s="10" t="str">
        <f t="shared" si="68"/>
        <v/>
      </c>
      <c r="B1107" s="9"/>
      <c r="C1107" s="8"/>
      <c r="D1107" s="10" t="str">
        <f ca="1">IFERROR(_xludf.XLOOKUP(C1107,STUDENTS!$A$5:$A$204,STUDENTS!$C$5:$C$204,""),"")</f>
        <v/>
      </c>
      <c r="E1107" s="10" t="str">
        <f ca="1">IFERROR(_xludf.XLOOKUP(C1107,STUDENTS!$A$5:$A$204,STUDENTS!$L$5:$L$204,""),"")</f>
        <v/>
      </c>
      <c r="F1107" s="8"/>
      <c r="G1107" s="10" t="str">
        <f>SETTINGS!$B$8</f>
        <v>2026/2027</v>
      </c>
      <c r="H1107" s="10">
        <f t="shared" si="69"/>
        <v>0</v>
      </c>
      <c r="I1107" s="10">
        <f t="shared" si="70"/>
        <v>0</v>
      </c>
      <c r="J1107" s="13" t="str">
        <f t="shared" si="71"/>
        <v/>
      </c>
    </row>
    <row r="1108" spans="1:10" x14ac:dyDescent="0.2">
      <c r="A1108" s="10" t="str">
        <f t="shared" si="68"/>
        <v/>
      </c>
      <c r="B1108" s="9"/>
      <c r="C1108" s="8"/>
      <c r="D1108" s="10" t="str">
        <f ca="1">IFERROR(_xludf.XLOOKUP(C1108,STUDENTS!$A$5:$A$204,STUDENTS!$C$5:$C$204,""),"")</f>
        <v/>
      </c>
      <c r="E1108" s="10" t="str">
        <f ca="1">IFERROR(_xludf.XLOOKUP(C1108,STUDENTS!$A$5:$A$204,STUDENTS!$L$5:$L$204,""),"")</f>
        <v/>
      </c>
      <c r="F1108" s="8"/>
      <c r="G1108" s="10" t="str">
        <f>SETTINGS!$B$8</f>
        <v>2026/2027</v>
      </c>
      <c r="H1108" s="10">
        <f t="shared" si="69"/>
        <v>0</v>
      </c>
      <c r="I1108" s="10">
        <f t="shared" si="70"/>
        <v>0</v>
      </c>
      <c r="J1108" s="13" t="str">
        <f t="shared" si="71"/>
        <v/>
      </c>
    </row>
    <row r="1109" spans="1:10" x14ac:dyDescent="0.2">
      <c r="A1109" s="10" t="str">
        <f t="shared" si="68"/>
        <v/>
      </c>
      <c r="B1109" s="9"/>
      <c r="C1109" s="8"/>
      <c r="D1109" s="10" t="str">
        <f ca="1">IFERROR(_xludf.XLOOKUP(C1109,STUDENTS!$A$5:$A$204,STUDENTS!$C$5:$C$204,""),"")</f>
        <v/>
      </c>
      <c r="E1109" s="10" t="str">
        <f ca="1">IFERROR(_xludf.XLOOKUP(C1109,STUDENTS!$A$5:$A$204,STUDENTS!$L$5:$L$204,""),"")</f>
        <v/>
      </c>
      <c r="F1109" s="8"/>
      <c r="G1109" s="10" t="str">
        <f>SETTINGS!$B$8</f>
        <v>2026/2027</v>
      </c>
      <c r="H1109" s="10">
        <f t="shared" si="69"/>
        <v>0</v>
      </c>
      <c r="I1109" s="10">
        <f t="shared" si="70"/>
        <v>0</v>
      </c>
      <c r="J1109" s="13" t="str">
        <f t="shared" si="71"/>
        <v/>
      </c>
    </row>
    <row r="1110" spans="1:10" x14ac:dyDescent="0.2">
      <c r="A1110" s="10" t="str">
        <f t="shared" si="68"/>
        <v/>
      </c>
      <c r="B1110" s="9"/>
      <c r="C1110" s="8"/>
      <c r="D1110" s="10" t="str">
        <f ca="1">IFERROR(_xludf.XLOOKUP(C1110,STUDENTS!$A$5:$A$204,STUDENTS!$C$5:$C$204,""),"")</f>
        <v/>
      </c>
      <c r="E1110" s="10" t="str">
        <f ca="1">IFERROR(_xludf.XLOOKUP(C1110,STUDENTS!$A$5:$A$204,STUDENTS!$L$5:$L$204,""),"")</f>
        <v/>
      </c>
      <c r="F1110" s="8"/>
      <c r="G1110" s="10" t="str">
        <f>SETTINGS!$B$8</f>
        <v>2026/2027</v>
      </c>
      <c r="H1110" s="10">
        <f t="shared" si="69"/>
        <v>0</v>
      </c>
      <c r="I1110" s="10">
        <f t="shared" si="70"/>
        <v>0</v>
      </c>
      <c r="J1110" s="13" t="str">
        <f t="shared" si="71"/>
        <v/>
      </c>
    </row>
    <row r="1111" spans="1:10" x14ac:dyDescent="0.2">
      <c r="A1111" s="10" t="str">
        <f t="shared" si="68"/>
        <v/>
      </c>
      <c r="B1111" s="9"/>
      <c r="C1111" s="8"/>
      <c r="D1111" s="10" t="str">
        <f ca="1">IFERROR(_xludf.XLOOKUP(C1111,STUDENTS!$A$5:$A$204,STUDENTS!$C$5:$C$204,""),"")</f>
        <v/>
      </c>
      <c r="E1111" s="10" t="str">
        <f ca="1">IFERROR(_xludf.XLOOKUP(C1111,STUDENTS!$A$5:$A$204,STUDENTS!$L$5:$L$204,""),"")</f>
        <v/>
      </c>
      <c r="F1111" s="8"/>
      <c r="G1111" s="10" t="str">
        <f>SETTINGS!$B$8</f>
        <v>2026/2027</v>
      </c>
      <c r="H1111" s="10">
        <f t="shared" si="69"/>
        <v>0</v>
      </c>
      <c r="I1111" s="10">
        <f t="shared" si="70"/>
        <v>0</v>
      </c>
      <c r="J1111" s="13" t="str">
        <f t="shared" si="71"/>
        <v/>
      </c>
    </row>
    <row r="1112" spans="1:10" x14ac:dyDescent="0.2">
      <c r="A1112" s="10" t="str">
        <f t="shared" si="68"/>
        <v/>
      </c>
      <c r="B1112" s="9"/>
      <c r="C1112" s="8"/>
      <c r="D1112" s="10" t="str">
        <f ca="1">IFERROR(_xludf.XLOOKUP(C1112,STUDENTS!$A$5:$A$204,STUDENTS!$C$5:$C$204,""),"")</f>
        <v/>
      </c>
      <c r="E1112" s="10" t="str">
        <f ca="1">IFERROR(_xludf.XLOOKUP(C1112,STUDENTS!$A$5:$A$204,STUDENTS!$L$5:$L$204,""),"")</f>
        <v/>
      </c>
      <c r="F1112" s="8"/>
      <c r="G1112" s="10" t="str">
        <f>SETTINGS!$B$8</f>
        <v>2026/2027</v>
      </c>
      <c r="H1112" s="10">
        <f t="shared" si="69"/>
        <v>0</v>
      </c>
      <c r="I1112" s="10">
        <f t="shared" si="70"/>
        <v>0</v>
      </c>
      <c r="J1112" s="13" t="str">
        <f t="shared" si="71"/>
        <v/>
      </c>
    </row>
    <row r="1113" spans="1:10" x14ac:dyDescent="0.2">
      <c r="A1113" s="10" t="str">
        <f t="shared" si="68"/>
        <v/>
      </c>
      <c r="B1113" s="9"/>
      <c r="C1113" s="8"/>
      <c r="D1113" s="10" t="str">
        <f ca="1">IFERROR(_xludf.XLOOKUP(C1113,STUDENTS!$A$5:$A$204,STUDENTS!$C$5:$C$204,""),"")</f>
        <v/>
      </c>
      <c r="E1113" s="10" t="str">
        <f ca="1">IFERROR(_xludf.XLOOKUP(C1113,STUDENTS!$A$5:$A$204,STUDENTS!$L$5:$L$204,""),"")</f>
        <v/>
      </c>
      <c r="F1113" s="8"/>
      <c r="G1113" s="10" t="str">
        <f>SETTINGS!$B$8</f>
        <v>2026/2027</v>
      </c>
      <c r="H1113" s="10">
        <f t="shared" si="69"/>
        <v>0</v>
      </c>
      <c r="I1113" s="10">
        <f t="shared" si="70"/>
        <v>0</v>
      </c>
      <c r="J1113" s="13" t="str">
        <f t="shared" si="71"/>
        <v/>
      </c>
    </row>
    <row r="1114" spans="1:10" x14ac:dyDescent="0.2">
      <c r="A1114" s="10" t="str">
        <f t="shared" si="68"/>
        <v/>
      </c>
      <c r="B1114" s="9"/>
      <c r="C1114" s="8"/>
      <c r="D1114" s="10" t="str">
        <f ca="1">IFERROR(_xludf.XLOOKUP(C1114,STUDENTS!$A$5:$A$204,STUDENTS!$C$5:$C$204,""),"")</f>
        <v/>
      </c>
      <c r="E1114" s="10" t="str">
        <f ca="1">IFERROR(_xludf.XLOOKUP(C1114,STUDENTS!$A$5:$A$204,STUDENTS!$L$5:$L$204,""),"")</f>
        <v/>
      </c>
      <c r="F1114" s="8"/>
      <c r="G1114" s="10" t="str">
        <f>SETTINGS!$B$8</f>
        <v>2026/2027</v>
      </c>
      <c r="H1114" s="10">
        <f t="shared" si="69"/>
        <v>0</v>
      </c>
      <c r="I1114" s="10">
        <f t="shared" si="70"/>
        <v>0</v>
      </c>
      <c r="J1114" s="13" t="str">
        <f t="shared" si="71"/>
        <v/>
      </c>
    </row>
    <row r="1115" spans="1:10" x14ac:dyDescent="0.2">
      <c r="A1115" s="10" t="str">
        <f t="shared" si="68"/>
        <v/>
      </c>
      <c r="B1115" s="9"/>
      <c r="C1115" s="8"/>
      <c r="D1115" s="10" t="str">
        <f ca="1">IFERROR(_xludf.XLOOKUP(C1115,STUDENTS!$A$5:$A$204,STUDENTS!$C$5:$C$204,""),"")</f>
        <v/>
      </c>
      <c r="E1115" s="10" t="str">
        <f ca="1">IFERROR(_xludf.XLOOKUP(C1115,STUDENTS!$A$5:$A$204,STUDENTS!$L$5:$L$204,""),"")</f>
        <v/>
      </c>
      <c r="F1115" s="8"/>
      <c r="G1115" s="10" t="str">
        <f>SETTINGS!$B$8</f>
        <v>2026/2027</v>
      </c>
      <c r="H1115" s="10">
        <f t="shared" si="69"/>
        <v>0</v>
      </c>
      <c r="I1115" s="10">
        <f t="shared" si="70"/>
        <v>0</v>
      </c>
      <c r="J1115" s="13" t="str">
        <f t="shared" si="71"/>
        <v/>
      </c>
    </row>
    <row r="1116" spans="1:10" x14ac:dyDescent="0.2">
      <c r="A1116" s="10" t="str">
        <f t="shared" si="68"/>
        <v/>
      </c>
      <c r="B1116" s="9"/>
      <c r="C1116" s="8"/>
      <c r="D1116" s="10" t="str">
        <f ca="1">IFERROR(_xludf.XLOOKUP(C1116,STUDENTS!$A$5:$A$204,STUDENTS!$C$5:$C$204,""),"")</f>
        <v/>
      </c>
      <c r="E1116" s="10" t="str">
        <f ca="1">IFERROR(_xludf.XLOOKUP(C1116,STUDENTS!$A$5:$A$204,STUDENTS!$L$5:$L$204,""),"")</f>
        <v/>
      </c>
      <c r="F1116" s="8"/>
      <c r="G1116" s="10" t="str">
        <f>SETTINGS!$B$8</f>
        <v>2026/2027</v>
      </c>
      <c r="H1116" s="10">
        <f t="shared" si="69"/>
        <v>0</v>
      </c>
      <c r="I1116" s="10">
        <f t="shared" si="70"/>
        <v>0</v>
      </c>
      <c r="J1116" s="13" t="str">
        <f t="shared" si="71"/>
        <v/>
      </c>
    </row>
    <row r="1117" spans="1:10" x14ac:dyDescent="0.2">
      <c r="A1117" s="10" t="str">
        <f t="shared" si="68"/>
        <v/>
      </c>
      <c r="B1117" s="9"/>
      <c r="C1117" s="8"/>
      <c r="D1117" s="10" t="str">
        <f ca="1">IFERROR(_xludf.XLOOKUP(C1117,STUDENTS!$A$5:$A$204,STUDENTS!$C$5:$C$204,""),"")</f>
        <v/>
      </c>
      <c r="E1117" s="10" t="str">
        <f ca="1">IFERROR(_xludf.XLOOKUP(C1117,STUDENTS!$A$5:$A$204,STUDENTS!$L$5:$L$204,""),"")</f>
        <v/>
      </c>
      <c r="F1117" s="8"/>
      <c r="G1117" s="10" t="str">
        <f>SETTINGS!$B$8</f>
        <v>2026/2027</v>
      </c>
      <c r="H1117" s="10">
        <f t="shared" si="69"/>
        <v>0</v>
      </c>
      <c r="I1117" s="10">
        <f t="shared" si="70"/>
        <v>0</v>
      </c>
      <c r="J1117" s="13" t="str">
        <f t="shared" si="71"/>
        <v/>
      </c>
    </row>
    <row r="1118" spans="1:10" x14ac:dyDescent="0.2">
      <c r="A1118" s="10" t="str">
        <f t="shared" si="68"/>
        <v/>
      </c>
      <c r="B1118" s="9"/>
      <c r="C1118" s="8"/>
      <c r="D1118" s="10" t="str">
        <f ca="1">IFERROR(_xludf.XLOOKUP(C1118,STUDENTS!$A$5:$A$204,STUDENTS!$C$5:$C$204,""),"")</f>
        <v/>
      </c>
      <c r="E1118" s="10" t="str">
        <f ca="1">IFERROR(_xludf.XLOOKUP(C1118,STUDENTS!$A$5:$A$204,STUDENTS!$L$5:$L$204,""),"")</f>
        <v/>
      </c>
      <c r="F1118" s="8"/>
      <c r="G1118" s="10" t="str">
        <f>SETTINGS!$B$8</f>
        <v>2026/2027</v>
      </c>
      <c r="H1118" s="10">
        <f t="shared" si="69"/>
        <v>0</v>
      </c>
      <c r="I1118" s="10">
        <f t="shared" si="70"/>
        <v>0</v>
      </c>
      <c r="J1118" s="13" t="str">
        <f t="shared" si="71"/>
        <v/>
      </c>
    </row>
    <row r="1119" spans="1:10" x14ac:dyDescent="0.2">
      <c r="A1119" s="10" t="str">
        <f t="shared" si="68"/>
        <v/>
      </c>
      <c r="B1119" s="9"/>
      <c r="C1119" s="8"/>
      <c r="D1119" s="10" t="str">
        <f ca="1">IFERROR(_xludf.XLOOKUP(C1119,STUDENTS!$A$5:$A$204,STUDENTS!$C$5:$C$204,""),"")</f>
        <v/>
      </c>
      <c r="E1119" s="10" t="str">
        <f ca="1">IFERROR(_xludf.XLOOKUP(C1119,STUDENTS!$A$5:$A$204,STUDENTS!$L$5:$L$204,""),"")</f>
        <v/>
      </c>
      <c r="F1119" s="8"/>
      <c r="G1119" s="10" t="str">
        <f>SETTINGS!$B$8</f>
        <v>2026/2027</v>
      </c>
      <c r="H1119" s="10">
        <f t="shared" si="69"/>
        <v>0</v>
      </c>
      <c r="I1119" s="10">
        <f t="shared" si="70"/>
        <v>0</v>
      </c>
      <c r="J1119" s="13" t="str">
        <f t="shared" si="71"/>
        <v/>
      </c>
    </row>
    <row r="1120" spans="1:10" x14ac:dyDescent="0.2">
      <c r="A1120" s="10" t="str">
        <f t="shared" si="68"/>
        <v/>
      </c>
      <c r="B1120" s="9"/>
      <c r="C1120" s="8"/>
      <c r="D1120" s="10" t="str">
        <f ca="1">IFERROR(_xludf.XLOOKUP(C1120,STUDENTS!$A$5:$A$204,STUDENTS!$C$5:$C$204,""),"")</f>
        <v/>
      </c>
      <c r="E1120" s="10" t="str">
        <f ca="1">IFERROR(_xludf.XLOOKUP(C1120,STUDENTS!$A$5:$A$204,STUDENTS!$L$5:$L$204,""),"")</f>
        <v/>
      </c>
      <c r="F1120" s="8"/>
      <c r="G1120" s="10" t="str">
        <f>SETTINGS!$B$8</f>
        <v>2026/2027</v>
      </c>
      <c r="H1120" s="10">
        <f t="shared" si="69"/>
        <v>0</v>
      </c>
      <c r="I1120" s="10">
        <f t="shared" si="70"/>
        <v>0</v>
      </c>
      <c r="J1120" s="13" t="str">
        <f t="shared" si="71"/>
        <v/>
      </c>
    </row>
    <row r="1121" spans="1:10" x14ac:dyDescent="0.2">
      <c r="A1121" s="10" t="str">
        <f t="shared" si="68"/>
        <v/>
      </c>
      <c r="B1121" s="9"/>
      <c r="C1121" s="8"/>
      <c r="D1121" s="10" t="str">
        <f ca="1">IFERROR(_xludf.XLOOKUP(C1121,STUDENTS!$A$5:$A$204,STUDENTS!$C$5:$C$204,""),"")</f>
        <v/>
      </c>
      <c r="E1121" s="10" t="str">
        <f ca="1">IFERROR(_xludf.XLOOKUP(C1121,STUDENTS!$A$5:$A$204,STUDENTS!$L$5:$L$204,""),"")</f>
        <v/>
      </c>
      <c r="F1121" s="8"/>
      <c r="G1121" s="10" t="str">
        <f>SETTINGS!$B$8</f>
        <v>2026/2027</v>
      </c>
      <c r="H1121" s="10">
        <f t="shared" si="69"/>
        <v>0</v>
      </c>
      <c r="I1121" s="10">
        <f t="shared" si="70"/>
        <v>0</v>
      </c>
      <c r="J1121" s="13" t="str">
        <f t="shared" si="71"/>
        <v/>
      </c>
    </row>
    <row r="1122" spans="1:10" x14ac:dyDescent="0.2">
      <c r="A1122" s="10" t="str">
        <f t="shared" si="68"/>
        <v/>
      </c>
      <c r="B1122" s="9"/>
      <c r="C1122" s="8"/>
      <c r="D1122" s="10" t="str">
        <f ca="1">IFERROR(_xludf.XLOOKUP(C1122,STUDENTS!$A$5:$A$204,STUDENTS!$C$5:$C$204,""),"")</f>
        <v/>
      </c>
      <c r="E1122" s="10" t="str">
        <f ca="1">IFERROR(_xludf.XLOOKUP(C1122,STUDENTS!$A$5:$A$204,STUDENTS!$L$5:$L$204,""),"")</f>
        <v/>
      </c>
      <c r="F1122" s="8"/>
      <c r="G1122" s="10" t="str">
        <f>SETTINGS!$B$8</f>
        <v>2026/2027</v>
      </c>
      <c r="H1122" s="10">
        <f t="shared" si="69"/>
        <v>0</v>
      </c>
      <c r="I1122" s="10">
        <f t="shared" si="70"/>
        <v>0</v>
      </c>
      <c r="J1122" s="13" t="str">
        <f t="shared" si="71"/>
        <v/>
      </c>
    </row>
    <row r="1123" spans="1:10" x14ac:dyDescent="0.2">
      <c r="A1123" s="10" t="str">
        <f t="shared" si="68"/>
        <v/>
      </c>
      <c r="B1123" s="9"/>
      <c r="C1123" s="8"/>
      <c r="D1123" s="10" t="str">
        <f ca="1">IFERROR(_xludf.XLOOKUP(C1123,STUDENTS!$A$5:$A$204,STUDENTS!$C$5:$C$204,""),"")</f>
        <v/>
      </c>
      <c r="E1123" s="10" t="str">
        <f ca="1">IFERROR(_xludf.XLOOKUP(C1123,STUDENTS!$A$5:$A$204,STUDENTS!$L$5:$L$204,""),"")</f>
        <v/>
      </c>
      <c r="F1123" s="8"/>
      <c r="G1123" s="10" t="str">
        <f>SETTINGS!$B$8</f>
        <v>2026/2027</v>
      </c>
      <c r="H1123" s="10">
        <f t="shared" si="69"/>
        <v>0</v>
      </c>
      <c r="I1123" s="10">
        <f t="shared" si="70"/>
        <v>0</v>
      </c>
      <c r="J1123" s="13" t="str">
        <f t="shared" si="71"/>
        <v/>
      </c>
    </row>
    <row r="1124" spans="1:10" x14ac:dyDescent="0.2">
      <c r="A1124" s="10" t="str">
        <f t="shared" si="68"/>
        <v/>
      </c>
      <c r="B1124" s="9"/>
      <c r="C1124" s="8"/>
      <c r="D1124" s="10" t="str">
        <f ca="1">IFERROR(_xludf.XLOOKUP(C1124,STUDENTS!$A$5:$A$204,STUDENTS!$C$5:$C$204,""),"")</f>
        <v/>
      </c>
      <c r="E1124" s="10" t="str">
        <f ca="1">IFERROR(_xludf.XLOOKUP(C1124,STUDENTS!$A$5:$A$204,STUDENTS!$L$5:$L$204,""),"")</f>
        <v/>
      </c>
      <c r="F1124" s="8"/>
      <c r="G1124" s="10" t="str">
        <f>SETTINGS!$B$8</f>
        <v>2026/2027</v>
      </c>
      <c r="H1124" s="10">
        <f t="shared" si="69"/>
        <v>0</v>
      </c>
      <c r="I1124" s="10">
        <f t="shared" si="70"/>
        <v>0</v>
      </c>
      <c r="J1124" s="13" t="str">
        <f t="shared" si="71"/>
        <v/>
      </c>
    </row>
    <row r="1125" spans="1:10" x14ac:dyDescent="0.2">
      <c r="A1125" s="10" t="str">
        <f t="shared" si="68"/>
        <v/>
      </c>
      <c r="B1125" s="9"/>
      <c r="C1125" s="8"/>
      <c r="D1125" s="10" t="str">
        <f ca="1">IFERROR(_xludf.XLOOKUP(C1125,STUDENTS!$A$5:$A$204,STUDENTS!$C$5:$C$204,""),"")</f>
        <v/>
      </c>
      <c r="E1125" s="10" t="str">
        <f ca="1">IFERROR(_xludf.XLOOKUP(C1125,STUDENTS!$A$5:$A$204,STUDENTS!$L$5:$L$204,""),"")</f>
        <v/>
      </c>
      <c r="F1125" s="8"/>
      <c r="G1125" s="10" t="str">
        <f>SETTINGS!$B$8</f>
        <v>2026/2027</v>
      </c>
      <c r="H1125" s="10">
        <f t="shared" si="69"/>
        <v>0</v>
      </c>
      <c r="I1125" s="10">
        <f t="shared" si="70"/>
        <v>0</v>
      </c>
      <c r="J1125" s="13" t="str">
        <f t="shared" si="71"/>
        <v/>
      </c>
    </row>
    <row r="1126" spans="1:10" x14ac:dyDescent="0.2">
      <c r="A1126" s="10" t="str">
        <f t="shared" si="68"/>
        <v/>
      </c>
      <c r="B1126" s="9"/>
      <c r="C1126" s="8"/>
      <c r="D1126" s="10" t="str">
        <f ca="1">IFERROR(_xludf.XLOOKUP(C1126,STUDENTS!$A$5:$A$204,STUDENTS!$C$5:$C$204,""),"")</f>
        <v/>
      </c>
      <c r="E1126" s="10" t="str">
        <f ca="1">IFERROR(_xludf.XLOOKUP(C1126,STUDENTS!$A$5:$A$204,STUDENTS!$L$5:$L$204,""),"")</f>
        <v/>
      </c>
      <c r="F1126" s="8"/>
      <c r="G1126" s="10" t="str">
        <f>SETTINGS!$B$8</f>
        <v>2026/2027</v>
      </c>
      <c r="H1126" s="10">
        <f t="shared" si="69"/>
        <v>0</v>
      </c>
      <c r="I1126" s="10">
        <f t="shared" si="70"/>
        <v>0</v>
      </c>
      <c r="J1126" s="13" t="str">
        <f t="shared" si="71"/>
        <v/>
      </c>
    </row>
    <row r="1127" spans="1:10" x14ac:dyDescent="0.2">
      <c r="A1127" s="10" t="str">
        <f t="shared" si="68"/>
        <v/>
      </c>
      <c r="B1127" s="9"/>
      <c r="C1127" s="8"/>
      <c r="D1127" s="10" t="str">
        <f ca="1">IFERROR(_xludf.XLOOKUP(C1127,STUDENTS!$A$5:$A$204,STUDENTS!$C$5:$C$204,""),"")</f>
        <v/>
      </c>
      <c r="E1127" s="10" t="str">
        <f ca="1">IFERROR(_xludf.XLOOKUP(C1127,STUDENTS!$A$5:$A$204,STUDENTS!$L$5:$L$204,""),"")</f>
        <v/>
      </c>
      <c r="F1127" s="8"/>
      <c r="G1127" s="10" t="str">
        <f>SETTINGS!$B$8</f>
        <v>2026/2027</v>
      </c>
      <c r="H1127" s="10">
        <f t="shared" si="69"/>
        <v>0</v>
      </c>
      <c r="I1127" s="10">
        <f t="shared" si="70"/>
        <v>0</v>
      </c>
      <c r="J1127" s="13" t="str">
        <f t="shared" si="71"/>
        <v/>
      </c>
    </row>
    <row r="1128" spans="1:10" x14ac:dyDescent="0.2">
      <c r="A1128" s="10" t="str">
        <f t="shared" si="68"/>
        <v/>
      </c>
      <c r="B1128" s="9"/>
      <c r="C1128" s="8"/>
      <c r="D1128" s="10" t="str">
        <f ca="1">IFERROR(_xludf.XLOOKUP(C1128,STUDENTS!$A$5:$A$204,STUDENTS!$C$5:$C$204,""),"")</f>
        <v/>
      </c>
      <c r="E1128" s="10" t="str">
        <f ca="1">IFERROR(_xludf.XLOOKUP(C1128,STUDENTS!$A$5:$A$204,STUDENTS!$L$5:$L$204,""),"")</f>
        <v/>
      </c>
      <c r="F1128" s="8"/>
      <c r="G1128" s="10" t="str">
        <f>SETTINGS!$B$8</f>
        <v>2026/2027</v>
      </c>
      <c r="H1128" s="10">
        <f t="shared" si="69"/>
        <v>0</v>
      </c>
      <c r="I1128" s="10">
        <f t="shared" si="70"/>
        <v>0</v>
      </c>
      <c r="J1128" s="13" t="str">
        <f t="shared" si="71"/>
        <v/>
      </c>
    </row>
    <row r="1129" spans="1:10" x14ac:dyDescent="0.2">
      <c r="A1129" s="10" t="str">
        <f t="shared" si="68"/>
        <v/>
      </c>
      <c r="B1129" s="9"/>
      <c r="C1129" s="8"/>
      <c r="D1129" s="10" t="str">
        <f ca="1">IFERROR(_xludf.XLOOKUP(C1129,STUDENTS!$A$5:$A$204,STUDENTS!$C$5:$C$204,""),"")</f>
        <v/>
      </c>
      <c r="E1129" s="10" t="str">
        <f ca="1">IFERROR(_xludf.XLOOKUP(C1129,STUDENTS!$A$5:$A$204,STUDENTS!$L$5:$L$204,""),"")</f>
        <v/>
      </c>
      <c r="F1129" s="8"/>
      <c r="G1129" s="10" t="str">
        <f>SETTINGS!$B$8</f>
        <v>2026/2027</v>
      </c>
      <c r="H1129" s="10">
        <f t="shared" si="69"/>
        <v>0</v>
      </c>
      <c r="I1129" s="10">
        <f t="shared" si="70"/>
        <v>0</v>
      </c>
      <c r="J1129" s="13" t="str">
        <f t="shared" si="71"/>
        <v/>
      </c>
    </row>
    <row r="1130" spans="1:10" x14ac:dyDescent="0.2">
      <c r="A1130" s="10" t="str">
        <f t="shared" si="68"/>
        <v/>
      </c>
      <c r="B1130" s="9"/>
      <c r="C1130" s="8"/>
      <c r="D1130" s="10" t="str">
        <f ca="1">IFERROR(_xludf.XLOOKUP(C1130,STUDENTS!$A$5:$A$204,STUDENTS!$C$5:$C$204,""),"")</f>
        <v/>
      </c>
      <c r="E1130" s="10" t="str">
        <f ca="1">IFERROR(_xludf.XLOOKUP(C1130,STUDENTS!$A$5:$A$204,STUDENTS!$L$5:$L$204,""),"")</f>
        <v/>
      </c>
      <c r="F1130" s="8"/>
      <c r="G1130" s="10" t="str">
        <f>SETTINGS!$B$8</f>
        <v>2026/2027</v>
      </c>
      <c r="H1130" s="10">
        <f t="shared" si="69"/>
        <v>0</v>
      </c>
      <c r="I1130" s="10">
        <f t="shared" si="70"/>
        <v>0</v>
      </c>
      <c r="J1130" s="13" t="str">
        <f t="shared" si="71"/>
        <v/>
      </c>
    </row>
    <row r="1131" spans="1:10" x14ac:dyDescent="0.2">
      <c r="A1131" s="10" t="str">
        <f t="shared" si="68"/>
        <v/>
      </c>
      <c r="B1131" s="9"/>
      <c r="C1131" s="8"/>
      <c r="D1131" s="10" t="str">
        <f ca="1">IFERROR(_xludf.XLOOKUP(C1131,STUDENTS!$A$5:$A$204,STUDENTS!$C$5:$C$204,""),"")</f>
        <v/>
      </c>
      <c r="E1131" s="10" t="str">
        <f ca="1">IFERROR(_xludf.XLOOKUP(C1131,STUDENTS!$A$5:$A$204,STUDENTS!$L$5:$L$204,""),"")</f>
        <v/>
      </c>
      <c r="F1131" s="8"/>
      <c r="G1131" s="10" t="str">
        <f>SETTINGS!$B$8</f>
        <v>2026/2027</v>
      </c>
      <c r="H1131" s="10">
        <f t="shared" si="69"/>
        <v>0</v>
      </c>
      <c r="I1131" s="10">
        <f t="shared" si="70"/>
        <v>0</v>
      </c>
      <c r="J1131" s="13" t="str">
        <f t="shared" si="71"/>
        <v/>
      </c>
    </row>
    <row r="1132" spans="1:10" x14ac:dyDescent="0.2">
      <c r="A1132" s="10" t="str">
        <f t="shared" si="68"/>
        <v/>
      </c>
      <c r="B1132" s="9"/>
      <c r="C1132" s="8"/>
      <c r="D1132" s="10" t="str">
        <f ca="1">IFERROR(_xludf.XLOOKUP(C1132,STUDENTS!$A$5:$A$204,STUDENTS!$C$5:$C$204,""),"")</f>
        <v/>
      </c>
      <c r="E1132" s="10" t="str">
        <f ca="1">IFERROR(_xludf.XLOOKUP(C1132,STUDENTS!$A$5:$A$204,STUDENTS!$L$5:$L$204,""),"")</f>
        <v/>
      </c>
      <c r="F1132" s="8"/>
      <c r="G1132" s="10" t="str">
        <f>SETTINGS!$B$8</f>
        <v>2026/2027</v>
      </c>
      <c r="H1132" s="10">
        <f t="shared" si="69"/>
        <v>0</v>
      </c>
      <c r="I1132" s="10">
        <f t="shared" si="70"/>
        <v>0</v>
      </c>
      <c r="J1132" s="13" t="str">
        <f t="shared" si="71"/>
        <v/>
      </c>
    </row>
    <row r="1133" spans="1:10" x14ac:dyDescent="0.2">
      <c r="A1133" s="10" t="str">
        <f t="shared" si="68"/>
        <v/>
      </c>
      <c r="B1133" s="9"/>
      <c r="C1133" s="8"/>
      <c r="D1133" s="10" t="str">
        <f ca="1">IFERROR(_xludf.XLOOKUP(C1133,STUDENTS!$A$5:$A$204,STUDENTS!$C$5:$C$204,""),"")</f>
        <v/>
      </c>
      <c r="E1133" s="10" t="str">
        <f ca="1">IFERROR(_xludf.XLOOKUP(C1133,STUDENTS!$A$5:$A$204,STUDENTS!$L$5:$L$204,""),"")</f>
        <v/>
      </c>
      <c r="F1133" s="8"/>
      <c r="G1133" s="10" t="str">
        <f>SETTINGS!$B$8</f>
        <v>2026/2027</v>
      </c>
      <c r="H1133" s="10">
        <f t="shared" si="69"/>
        <v>0</v>
      </c>
      <c r="I1133" s="10">
        <f t="shared" si="70"/>
        <v>0</v>
      </c>
      <c r="J1133" s="13" t="str">
        <f t="shared" si="71"/>
        <v/>
      </c>
    </row>
    <row r="1134" spans="1:10" x14ac:dyDescent="0.2">
      <c r="A1134" s="10" t="str">
        <f t="shared" si="68"/>
        <v/>
      </c>
      <c r="B1134" s="9"/>
      <c r="C1134" s="8"/>
      <c r="D1134" s="10" t="str">
        <f ca="1">IFERROR(_xludf.XLOOKUP(C1134,STUDENTS!$A$5:$A$204,STUDENTS!$C$5:$C$204,""),"")</f>
        <v/>
      </c>
      <c r="E1134" s="10" t="str">
        <f ca="1">IFERROR(_xludf.XLOOKUP(C1134,STUDENTS!$A$5:$A$204,STUDENTS!$L$5:$L$204,""),"")</f>
        <v/>
      </c>
      <c r="F1134" s="8"/>
      <c r="G1134" s="10" t="str">
        <f>SETTINGS!$B$8</f>
        <v>2026/2027</v>
      </c>
      <c r="H1134" s="10">
        <f t="shared" si="69"/>
        <v>0</v>
      </c>
      <c r="I1134" s="10">
        <f t="shared" si="70"/>
        <v>0</v>
      </c>
      <c r="J1134" s="13" t="str">
        <f t="shared" si="71"/>
        <v/>
      </c>
    </row>
    <row r="1135" spans="1:10" x14ac:dyDescent="0.2">
      <c r="A1135" s="10" t="str">
        <f t="shared" si="68"/>
        <v/>
      </c>
      <c r="B1135" s="9"/>
      <c r="C1135" s="8"/>
      <c r="D1135" s="10" t="str">
        <f ca="1">IFERROR(_xludf.XLOOKUP(C1135,STUDENTS!$A$5:$A$204,STUDENTS!$C$5:$C$204,""),"")</f>
        <v/>
      </c>
      <c r="E1135" s="10" t="str">
        <f ca="1">IFERROR(_xludf.XLOOKUP(C1135,STUDENTS!$A$5:$A$204,STUDENTS!$L$5:$L$204,""),"")</f>
        <v/>
      </c>
      <c r="F1135" s="8"/>
      <c r="G1135" s="10" t="str">
        <f>SETTINGS!$B$8</f>
        <v>2026/2027</v>
      </c>
      <c r="H1135" s="10">
        <f t="shared" si="69"/>
        <v>0</v>
      </c>
      <c r="I1135" s="10">
        <f t="shared" si="70"/>
        <v>0</v>
      </c>
      <c r="J1135" s="13" t="str">
        <f t="shared" si="71"/>
        <v/>
      </c>
    </row>
    <row r="1136" spans="1:10" x14ac:dyDescent="0.2">
      <c r="A1136" s="10" t="str">
        <f t="shared" si="68"/>
        <v/>
      </c>
      <c r="B1136" s="9"/>
      <c r="C1136" s="8"/>
      <c r="D1136" s="10" t="str">
        <f ca="1">IFERROR(_xludf.XLOOKUP(C1136,STUDENTS!$A$5:$A$204,STUDENTS!$C$5:$C$204,""),"")</f>
        <v/>
      </c>
      <c r="E1136" s="10" t="str">
        <f ca="1">IFERROR(_xludf.XLOOKUP(C1136,STUDENTS!$A$5:$A$204,STUDENTS!$L$5:$L$204,""),"")</f>
        <v/>
      </c>
      <c r="F1136" s="8"/>
      <c r="G1136" s="10" t="str">
        <f>SETTINGS!$B$8</f>
        <v>2026/2027</v>
      </c>
      <c r="H1136" s="10">
        <f t="shared" si="69"/>
        <v>0</v>
      </c>
      <c r="I1136" s="10">
        <f t="shared" si="70"/>
        <v>0</v>
      </c>
      <c r="J1136" s="13" t="str">
        <f t="shared" si="71"/>
        <v/>
      </c>
    </row>
    <row r="1137" spans="1:10" x14ac:dyDescent="0.2">
      <c r="A1137" s="10" t="str">
        <f t="shared" si="68"/>
        <v/>
      </c>
      <c r="B1137" s="9"/>
      <c r="C1137" s="8"/>
      <c r="D1137" s="10" t="str">
        <f ca="1">IFERROR(_xludf.XLOOKUP(C1137,STUDENTS!$A$5:$A$204,STUDENTS!$C$5:$C$204,""),"")</f>
        <v/>
      </c>
      <c r="E1137" s="10" t="str">
        <f ca="1">IFERROR(_xludf.XLOOKUP(C1137,STUDENTS!$A$5:$A$204,STUDENTS!$L$5:$L$204,""),"")</f>
        <v/>
      </c>
      <c r="F1137" s="8"/>
      <c r="G1137" s="10" t="str">
        <f>SETTINGS!$B$8</f>
        <v>2026/2027</v>
      </c>
      <c r="H1137" s="10">
        <f t="shared" si="69"/>
        <v>0</v>
      </c>
      <c r="I1137" s="10">
        <f t="shared" si="70"/>
        <v>0</v>
      </c>
      <c r="J1137" s="13" t="str">
        <f t="shared" si="71"/>
        <v/>
      </c>
    </row>
    <row r="1138" spans="1:10" x14ac:dyDescent="0.2">
      <c r="A1138" s="10" t="str">
        <f t="shared" si="68"/>
        <v/>
      </c>
      <c r="B1138" s="9"/>
      <c r="C1138" s="8"/>
      <c r="D1138" s="10" t="str">
        <f ca="1">IFERROR(_xludf.XLOOKUP(C1138,STUDENTS!$A$5:$A$204,STUDENTS!$C$5:$C$204,""),"")</f>
        <v/>
      </c>
      <c r="E1138" s="10" t="str">
        <f ca="1">IFERROR(_xludf.XLOOKUP(C1138,STUDENTS!$A$5:$A$204,STUDENTS!$L$5:$L$204,""),"")</f>
        <v/>
      </c>
      <c r="F1138" s="8"/>
      <c r="G1138" s="10" t="str">
        <f>SETTINGS!$B$8</f>
        <v>2026/2027</v>
      </c>
      <c r="H1138" s="10">
        <f t="shared" si="69"/>
        <v>0</v>
      </c>
      <c r="I1138" s="10">
        <f t="shared" si="70"/>
        <v>0</v>
      </c>
      <c r="J1138" s="13" t="str">
        <f t="shared" si="71"/>
        <v/>
      </c>
    </row>
    <row r="1139" spans="1:10" x14ac:dyDescent="0.2">
      <c r="A1139" s="10" t="str">
        <f t="shared" si="68"/>
        <v/>
      </c>
      <c r="B1139" s="9"/>
      <c r="C1139" s="8"/>
      <c r="D1139" s="10" t="str">
        <f ca="1">IFERROR(_xludf.XLOOKUP(C1139,STUDENTS!$A$5:$A$204,STUDENTS!$C$5:$C$204,""),"")</f>
        <v/>
      </c>
      <c r="E1139" s="10" t="str">
        <f ca="1">IFERROR(_xludf.XLOOKUP(C1139,STUDENTS!$A$5:$A$204,STUDENTS!$L$5:$L$204,""),"")</f>
        <v/>
      </c>
      <c r="F1139" s="8"/>
      <c r="G1139" s="10" t="str">
        <f>SETTINGS!$B$8</f>
        <v>2026/2027</v>
      </c>
      <c r="H1139" s="10">
        <f t="shared" si="69"/>
        <v>0</v>
      </c>
      <c r="I1139" s="10">
        <f t="shared" si="70"/>
        <v>0</v>
      </c>
      <c r="J1139" s="13" t="str">
        <f t="shared" si="71"/>
        <v/>
      </c>
    </row>
    <row r="1140" spans="1:10" x14ac:dyDescent="0.2">
      <c r="A1140" s="10" t="str">
        <f t="shared" si="68"/>
        <v/>
      </c>
      <c r="B1140" s="9"/>
      <c r="C1140" s="8"/>
      <c r="D1140" s="10" t="str">
        <f ca="1">IFERROR(_xludf.XLOOKUP(C1140,STUDENTS!$A$5:$A$204,STUDENTS!$C$5:$C$204,""),"")</f>
        <v/>
      </c>
      <c r="E1140" s="10" t="str">
        <f ca="1">IFERROR(_xludf.XLOOKUP(C1140,STUDENTS!$A$5:$A$204,STUDENTS!$L$5:$L$204,""),"")</f>
        <v/>
      </c>
      <c r="F1140" s="8"/>
      <c r="G1140" s="10" t="str">
        <f>SETTINGS!$B$8</f>
        <v>2026/2027</v>
      </c>
      <c r="H1140" s="10">
        <f t="shared" si="69"/>
        <v>0</v>
      </c>
      <c r="I1140" s="10">
        <f t="shared" si="70"/>
        <v>0</v>
      </c>
      <c r="J1140" s="13" t="str">
        <f t="shared" si="71"/>
        <v/>
      </c>
    </row>
    <row r="1141" spans="1:10" x14ac:dyDescent="0.2">
      <c r="A1141" s="10" t="str">
        <f t="shared" si="68"/>
        <v/>
      </c>
      <c r="B1141" s="9"/>
      <c r="C1141" s="8"/>
      <c r="D1141" s="10" t="str">
        <f ca="1">IFERROR(_xludf.XLOOKUP(C1141,STUDENTS!$A$5:$A$204,STUDENTS!$C$5:$C$204,""),"")</f>
        <v/>
      </c>
      <c r="E1141" s="10" t="str">
        <f ca="1">IFERROR(_xludf.XLOOKUP(C1141,STUDENTS!$A$5:$A$204,STUDENTS!$L$5:$L$204,""),"")</f>
        <v/>
      </c>
      <c r="F1141" s="8"/>
      <c r="G1141" s="10" t="str">
        <f>SETTINGS!$B$8</f>
        <v>2026/2027</v>
      </c>
      <c r="H1141" s="10">
        <f t="shared" si="69"/>
        <v>0</v>
      </c>
      <c r="I1141" s="10">
        <f t="shared" si="70"/>
        <v>0</v>
      </c>
      <c r="J1141" s="13" t="str">
        <f t="shared" si="71"/>
        <v/>
      </c>
    </row>
    <row r="1142" spans="1:10" x14ac:dyDescent="0.2">
      <c r="A1142" s="10" t="str">
        <f t="shared" si="68"/>
        <v/>
      </c>
      <c r="B1142" s="9"/>
      <c r="C1142" s="8"/>
      <c r="D1142" s="10" t="str">
        <f ca="1">IFERROR(_xludf.XLOOKUP(C1142,STUDENTS!$A$5:$A$204,STUDENTS!$C$5:$C$204,""),"")</f>
        <v/>
      </c>
      <c r="E1142" s="10" t="str">
        <f ca="1">IFERROR(_xludf.XLOOKUP(C1142,STUDENTS!$A$5:$A$204,STUDENTS!$L$5:$L$204,""),"")</f>
        <v/>
      </c>
      <c r="F1142" s="8"/>
      <c r="G1142" s="10" t="str">
        <f>SETTINGS!$B$8</f>
        <v>2026/2027</v>
      </c>
      <c r="H1142" s="10">
        <f t="shared" si="69"/>
        <v>0</v>
      </c>
      <c r="I1142" s="10">
        <f t="shared" si="70"/>
        <v>0</v>
      </c>
      <c r="J1142" s="13" t="str">
        <f t="shared" si="71"/>
        <v/>
      </c>
    </row>
    <row r="1143" spans="1:10" x14ac:dyDescent="0.2">
      <c r="A1143" s="10" t="str">
        <f t="shared" si="68"/>
        <v/>
      </c>
      <c r="B1143" s="9"/>
      <c r="C1143" s="8"/>
      <c r="D1143" s="10" t="str">
        <f ca="1">IFERROR(_xludf.XLOOKUP(C1143,STUDENTS!$A$5:$A$204,STUDENTS!$C$5:$C$204,""),"")</f>
        <v/>
      </c>
      <c r="E1143" s="10" t="str">
        <f ca="1">IFERROR(_xludf.XLOOKUP(C1143,STUDENTS!$A$5:$A$204,STUDENTS!$L$5:$L$204,""),"")</f>
        <v/>
      </c>
      <c r="F1143" s="8"/>
      <c r="G1143" s="10" t="str">
        <f>SETTINGS!$B$8</f>
        <v>2026/2027</v>
      </c>
      <c r="H1143" s="10">
        <f t="shared" si="69"/>
        <v>0</v>
      </c>
      <c r="I1143" s="10">
        <f t="shared" si="70"/>
        <v>0</v>
      </c>
      <c r="J1143" s="13" t="str">
        <f t="shared" si="71"/>
        <v/>
      </c>
    </row>
    <row r="1144" spans="1:10" x14ac:dyDescent="0.2">
      <c r="A1144" s="10" t="str">
        <f t="shared" si="68"/>
        <v/>
      </c>
      <c r="B1144" s="9"/>
      <c r="C1144" s="8"/>
      <c r="D1144" s="10" t="str">
        <f ca="1">IFERROR(_xludf.XLOOKUP(C1144,STUDENTS!$A$5:$A$204,STUDENTS!$C$5:$C$204,""),"")</f>
        <v/>
      </c>
      <c r="E1144" s="10" t="str">
        <f ca="1">IFERROR(_xludf.XLOOKUP(C1144,STUDENTS!$A$5:$A$204,STUDENTS!$L$5:$L$204,""),"")</f>
        <v/>
      </c>
      <c r="F1144" s="8"/>
      <c r="G1144" s="10" t="str">
        <f>SETTINGS!$B$8</f>
        <v>2026/2027</v>
      </c>
      <c r="H1144" s="10">
        <f t="shared" si="69"/>
        <v>0</v>
      </c>
      <c r="I1144" s="10">
        <f t="shared" si="70"/>
        <v>0</v>
      </c>
      <c r="J1144" s="13" t="str">
        <f t="shared" si="71"/>
        <v/>
      </c>
    </row>
    <row r="1145" spans="1:10" x14ac:dyDescent="0.2">
      <c r="A1145" s="10" t="str">
        <f t="shared" si="68"/>
        <v/>
      </c>
      <c r="B1145" s="9"/>
      <c r="C1145" s="8"/>
      <c r="D1145" s="10" t="str">
        <f ca="1">IFERROR(_xludf.XLOOKUP(C1145,STUDENTS!$A$5:$A$204,STUDENTS!$C$5:$C$204,""),"")</f>
        <v/>
      </c>
      <c r="E1145" s="10" t="str">
        <f ca="1">IFERROR(_xludf.XLOOKUP(C1145,STUDENTS!$A$5:$A$204,STUDENTS!$L$5:$L$204,""),"")</f>
        <v/>
      </c>
      <c r="F1145" s="8"/>
      <c r="G1145" s="10" t="str">
        <f>SETTINGS!$B$8</f>
        <v>2026/2027</v>
      </c>
      <c r="H1145" s="10">
        <f t="shared" si="69"/>
        <v>0</v>
      </c>
      <c r="I1145" s="10">
        <f t="shared" si="70"/>
        <v>0</v>
      </c>
      <c r="J1145" s="13" t="str">
        <f t="shared" si="71"/>
        <v/>
      </c>
    </row>
    <row r="1146" spans="1:10" x14ac:dyDescent="0.2">
      <c r="A1146" s="10" t="str">
        <f t="shared" si="68"/>
        <v/>
      </c>
      <c r="B1146" s="9"/>
      <c r="C1146" s="8"/>
      <c r="D1146" s="10" t="str">
        <f ca="1">IFERROR(_xludf.XLOOKUP(C1146,STUDENTS!$A$5:$A$204,STUDENTS!$C$5:$C$204,""),"")</f>
        <v/>
      </c>
      <c r="E1146" s="10" t="str">
        <f ca="1">IFERROR(_xludf.XLOOKUP(C1146,STUDENTS!$A$5:$A$204,STUDENTS!$L$5:$L$204,""),"")</f>
        <v/>
      </c>
      <c r="F1146" s="8"/>
      <c r="G1146" s="10" t="str">
        <f>SETTINGS!$B$8</f>
        <v>2026/2027</v>
      </c>
      <c r="H1146" s="10">
        <f t="shared" si="69"/>
        <v>0</v>
      </c>
      <c r="I1146" s="10">
        <f t="shared" si="70"/>
        <v>0</v>
      </c>
      <c r="J1146" s="13" t="str">
        <f t="shared" si="71"/>
        <v/>
      </c>
    </row>
    <row r="1147" spans="1:10" x14ac:dyDescent="0.2">
      <c r="A1147" s="10" t="str">
        <f t="shared" si="68"/>
        <v/>
      </c>
      <c r="B1147" s="9"/>
      <c r="C1147" s="8"/>
      <c r="D1147" s="10" t="str">
        <f ca="1">IFERROR(_xludf.XLOOKUP(C1147,STUDENTS!$A$5:$A$204,STUDENTS!$C$5:$C$204,""),"")</f>
        <v/>
      </c>
      <c r="E1147" s="10" t="str">
        <f ca="1">IFERROR(_xludf.XLOOKUP(C1147,STUDENTS!$A$5:$A$204,STUDENTS!$L$5:$L$204,""),"")</f>
        <v/>
      </c>
      <c r="F1147" s="8"/>
      <c r="G1147" s="10" t="str">
        <f>SETTINGS!$B$8</f>
        <v>2026/2027</v>
      </c>
      <c r="H1147" s="10">
        <f t="shared" si="69"/>
        <v>0</v>
      </c>
      <c r="I1147" s="10">
        <f t="shared" si="70"/>
        <v>0</v>
      </c>
      <c r="J1147" s="13" t="str">
        <f t="shared" si="71"/>
        <v/>
      </c>
    </row>
    <row r="1148" spans="1:10" x14ac:dyDescent="0.2">
      <c r="A1148" s="10" t="str">
        <f t="shared" si="68"/>
        <v/>
      </c>
      <c r="B1148" s="9"/>
      <c r="C1148" s="8"/>
      <c r="D1148" s="10" t="str">
        <f ca="1">IFERROR(_xludf.XLOOKUP(C1148,STUDENTS!$A$5:$A$204,STUDENTS!$C$5:$C$204,""),"")</f>
        <v/>
      </c>
      <c r="E1148" s="10" t="str">
        <f ca="1">IFERROR(_xludf.XLOOKUP(C1148,STUDENTS!$A$5:$A$204,STUDENTS!$L$5:$L$204,""),"")</f>
        <v/>
      </c>
      <c r="F1148" s="8"/>
      <c r="G1148" s="10" t="str">
        <f>SETTINGS!$B$8</f>
        <v>2026/2027</v>
      </c>
      <c r="H1148" s="10">
        <f t="shared" si="69"/>
        <v>0</v>
      </c>
      <c r="I1148" s="10">
        <f t="shared" si="70"/>
        <v>0</v>
      </c>
      <c r="J1148" s="13" t="str">
        <f t="shared" si="71"/>
        <v/>
      </c>
    </row>
    <row r="1149" spans="1:10" x14ac:dyDescent="0.2">
      <c r="A1149" s="10" t="str">
        <f t="shared" si="68"/>
        <v/>
      </c>
      <c r="B1149" s="9"/>
      <c r="C1149" s="8"/>
      <c r="D1149" s="10" t="str">
        <f ca="1">IFERROR(_xludf.XLOOKUP(C1149,STUDENTS!$A$5:$A$204,STUDENTS!$C$5:$C$204,""),"")</f>
        <v/>
      </c>
      <c r="E1149" s="10" t="str">
        <f ca="1">IFERROR(_xludf.XLOOKUP(C1149,STUDENTS!$A$5:$A$204,STUDENTS!$L$5:$L$204,""),"")</f>
        <v/>
      </c>
      <c r="F1149" s="8"/>
      <c r="G1149" s="10" t="str">
        <f>SETTINGS!$B$8</f>
        <v>2026/2027</v>
      </c>
      <c r="H1149" s="10">
        <f t="shared" si="69"/>
        <v>0</v>
      </c>
      <c r="I1149" s="10">
        <f t="shared" si="70"/>
        <v>0</v>
      </c>
      <c r="J1149" s="13" t="str">
        <f t="shared" si="71"/>
        <v/>
      </c>
    </row>
    <row r="1150" spans="1:10" x14ac:dyDescent="0.2">
      <c r="A1150" s="10" t="str">
        <f t="shared" si="68"/>
        <v/>
      </c>
      <c r="B1150" s="9"/>
      <c r="C1150" s="8"/>
      <c r="D1150" s="10" t="str">
        <f ca="1">IFERROR(_xludf.XLOOKUP(C1150,STUDENTS!$A$5:$A$204,STUDENTS!$C$5:$C$204,""),"")</f>
        <v/>
      </c>
      <c r="E1150" s="10" t="str">
        <f ca="1">IFERROR(_xludf.XLOOKUP(C1150,STUDENTS!$A$5:$A$204,STUDENTS!$L$5:$L$204,""),"")</f>
        <v/>
      </c>
      <c r="F1150" s="8"/>
      <c r="G1150" s="10" t="str">
        <f>SETTINGS!$B$8</f>
        <v>2026/2027</v>
      </c>
      <c r="H1150" s="10">
        <f t="shared" si="69"/>
        <v>0</v>
      </c>
      <c r="I1150" s="10">
        <f t="shared" si="70"/>
        <v>0</v>
      </c>
      <c r="J1150" s="13" t="str">
        <f t="shared" si="71"/>
        <v/>
      </c>
    </row>
    <row r="1151" spans="1:10" x14ac:dyDescent="0.2">
      <c r="A1151" s="10" t="str">
        <f t="shared" si="68"/>
        <v/>
      </c>
      <c r="B1151" s="9"/>
      <c r="C1151" s="8"/>
      <c r="D1151" s="10" t="str">
        <f ca="1">IFERROR(_xludf.XLOOKUP(C1151,STUDENTS!$A$5:$A$204,STUDENTS!$C$5:$C$204,""),"")</f>
        <v/>
      </c>
      <c r="E1151" s="10" t="str">
        <f ca="1">IFERROR(_xludf.XLOOKUP(C1151,STUDENTS!$A$5:$A$204,STUDENTS!$L$5:$L$204,""),"")</f>
        <v/>
      </c>
      <c r="F1151" s="8"/>
      <c r="G1151" s="10" t="str">
        <f>SETTINGS!$B$8</f>
        <v>2026/2027</v>
      </c>
      <c r="H1151" s="10">
        <f t="shared" si="69"/>
        <v>0</v>
      </c>
      <c r="I1151" s="10">
        <f t="shared" si="70"/>
        <v>0</v>
      </c>
      <c r="J1151" s="13" t="str">
        <f t="shared" si="71"/>
        <v/>
      </c>
    </row>
    <row r="1152" spans="1:10" x14ac:dyDescent="0.2">
      <c r="A1152" s="10" t="str">
        <f t="shared" si="68"/>
        <v/>
      </c>
      <c r="B1152" s="9"/>
      <c r="C1152" s="8"/>
      <c r="D1152" s="10" t="str">
        <f ca="1">IFERROR(_xludf.XLOOKUP(C1152,STUDENTS!$A$5:$A$204,STUDENTS!$C$5:$C$204,""),"")</f>
        <v/>
      </c>
      <c r="E1152" s="10" t="str">
        <f ca="1">IFERROR(_xludf.XLOOKUP(C1152,STUDENTS!$A$5:$A$204,STUDENTS!$L$5:$L$204,""),"")</f>
        <v/>
      </c>
      <c r="F1152" s="8"/>
      <c r="G1152" s="10" t="str">
        <f>SETTINGS!$B$8</f>
        <v>2026/2027</v>
      </c>
      <c r="H1152" s="10">
        <f t="shared" si="69"/>
        <v>0</v>
      </c>
      <c r="I1152" s="10">
        <f t="shared" si="70"/>
        <v>0</v>
      </c>
      <c r="J1152" s="13" t="str">
        <f t="shared" si="71"/>
        <v/>
      </c>
    </row>
    <row r="1153" spans="1:10" x14ac:dyDescent="0.2">
      <c r="A1153" s="10" t="str">
        <f t="shared" si="68"/>
        <v/>
      </c>
      <c r="B1153" s="9"/>
      <c r="C1153" s="8"/>
      <c r="D1153" s="10" t="str">
        <f ca="1">IFERROR(_xludf.XLOOKUP(C1153,STUDENTS!$A$5:$A$204,STUDENTS!$C$5:$C$204,""),"")</f>
        <v/>
      </c>
      <c r="E1153" s="10" t="str">
        <f ca="1">IFERROR(_xludf.XLOOKUP(C1153,STUDENTS!$A$5:$A$204,STUDENTS!$L$5:$L$204,""),"")</f>
        <v/>
      </c>
      <c r="F1153" s="8"/>
      <c r="G1153" s="10" t="str">
        <f>SETTINGS!$B$8</f>
        <v>2026/2027</v>
      </c>
      <c r="H1153" s="10">
        <f t="shared" si="69"/>
        <v>0</v>
      </c>
      <c r="I1153" s="10">
        <f t="shared" si="70"/>
        <v>0</v>
      </c>
      <c r="J1153" s="13" t="str">
        <f t="shared" si="71"/>
        <v/>
      </c>
    </row>
    <row r="1154" spans="1:10" x14ac:dyDescent="0.2">
      <c r="A1154" s="10" t="str">
        <f t="shared" si="68"/>
        <v/>
      </c>
      <c r="B1154" s="9"/>
      <c r="C1154" s="8"/>
      <c r="D1154" s="10" t="str">
        <f ca="1">IFERROR(_xludf.XLOOKUP(C1154,STUDENTS!$A$5:$A$204,STUDENTS!$C$5:$C$204,""),"")</f>
        <v/>
      </c>
      <c r="E1154" s="10" t="str">
        <f ca="1">IFERROR(_xludf.XLOOKUP(C1154,STUDENTS!$A$5:$A$204,STUDENTS!$L$5:$L$204,""),"")</f>
        <v/>
      </c>
      <c r="F1154" s="8"/>
      <c r="G1154" s="10" t="str">
        <f>SETTINGS!$B$8</f>
        <v>2026/2027</v>
      </c>
      <c r="H1154" s="10">
        <f t="shared" si="69"/>
        <v>0</v>
      </c>
      <c r="I1154" s="10">
        <f t="shared" si="70"/>
        <v>0</v>
      </c>
      <c r="J1154" s="13" t="str">
        <f t="shared" si="71"/>
        <v/>
      </c>
    </row>
    <row r="1155" spans="1:10" x14ac:dyDescent="0.2">
      <c r="A1155" s="10" t="str">
        <f t="shared" si="68"/>
        <v/>
      </c>
      <c r="B1155" s="9"/>
      <c r="C1155" s="8"/>
      <c r="D1155" s="10" t="str">
        <f ca="1">IFERROR(_xludf.XLOOKUP(C1155,STUDENTS!$A$5:$A$204,STUDENTS!$C$5:$C$204,""),"")</f>
        <v/>
      </c>
      <c r="E1155" s="10" t="str">
        <f ca="1">IFERROR(_xludf.XLOOKUP(C1155,STUDENTS!$A$5:$A$204,STUDENTS!$L$5:$L$204,""),"")</f>
        <v/>
      </c>
      <c r="F1155" s="8"/>
      <c r="G1155" s="10" t="str">
        <f>SETTINGS!$B$8</f>
        <v>2026/2027</v>
      </c>
      <c r="H1155" s="10">
        <f t="shared" si="69"/>
        <v>0</v>
      </c>
      <c r="I1155" s="10">
        <f t="shared" si="70"/>
        <v>0</v>
      </c>
      <c r="J1155" s="13" t="str">
        <f t="shared" si="71"/>
        <v/>
      </c>
    </row>
    <row r="1156" spans="1:10" x14ac:dyDescent="0.2">
      <c r="A1156" s="10" t="str">
        <f t="shared" si="68"/>
        <v/>
      </c>
      <c r="B1156" s="9"/>
      <c r="C1156" s="8"/>
      <c r="D1156" s="10" t="str">
        <f ca="1">IFERROR(_xludf.XLOOKUP(C1156,STUDENTS!$A$5:$A$204,STUDENTS!$C$5:$C$204,""),"")</f>
        <v/>
      </c>
      <c r="E1156" s="10" t="str">
        <f ca="1">IFERROR(_xludf.XLOOKUP(C1156,STUDENTS!$A$5:$A$204,STUDENTS!$L$5:$L$204,""),"")</f>
        <v/>
      </c>
      <c r="F1156" s="8"/>
      <c r="G1156" s="10" t="str">
        <f>SETTINGS!$B$8</f>
        <v>2026/2027</v>
      </c>
      <c r="H1156" s="10">
        <f t="shared" si="69"/>
        <v>0</v>
      </c>
      <c r="I1156" s="10">
        <f t="shared" si="70"/>
        <v>0</v>
      </c>
      <c r="J1156" s="13" t="str">
        <f t="shared" si="71"/>
        <v/>
      </c>
    </row>
    <row r="1157" spans="1:10" x14ac:dyDescent="0.2">
      <c r="A1157" s="10" t="str">
        <f t="shared" ref="A1157:A1204" si="72">IF(C1157="","","AT-"&amp;TEXT(ROW()-4,"00000"))</f>
        <v/>
      </c>
      <c r="B1157" s="9"/>
      <c r="C1157" s="8"/>
      <c r="D1157" s="10" t="str">
        <f ca="1">IFERROR(_xludf.XLOOKUP(C1157,STUDENTS!$A$5:$A$204,STUDENTS!$C$5:$C$204,""),"")</f>
        <v/>
      </c>
      <c r="E1157" s="10" t="str">
        <f ca="1">IFERROR(_xludf.XLOOKUP(C1157,STUDENTS!$A$5:$A$204,STUDENTS!$L$5:$L$204,""),"")</f>
        <v/>
      </c>
      <c r="F1157" s="8"/>
      <c r="G1157" s="10" t="str">
        <f>SETTINGS!$B$8</f>
        <v>2026/2027</v>
      </c>
      <c r="H1157" s="10">
        <f t="shared" ref="H1157:H1204" si="73">IF(F1157="Present",1,0)</f>
        <v>0</v>
      </c>
      <c r="I1157" s="10">
        <f t="shared" ref="I1157:I1204" si="74">IF(F1157="Absent",1,0)</f>
        <v>0</v>
      </c>
      <c r="J1157" s="13" t="str">
        <f t="shared" ref="J1157:J1204" si="75">IF(OR(H1157="",I1157=""),"",IF(H1157+I1157=0,"",H1157/(H1157+I1157)))</f>
        <v/>
      </c>
    </row>
    <row r="1158" spans="1:10" x14ac:dyDescent="0.2">
      <c r="A1158" s="10" t="str">
        <f t="shared" si="72"/>
        <v/>
      </c>
      <c r="B1158" s="9"/>
      <c r="C1158" s="8"/>
      <c r="D1158" s="10" t="str">
        <f ca="1">IFERROR(_xludf.XLOOKUP(C1158,STUDENTS!$A$5:$A$204,STUDENTS!$C$5:$C$204,""),"")</f>
        <v/>
      </c>
      <c r="E1158" s="10" t="str">
        <f ca="1">IFERROR(_xludf.XLOOKUP(C1158,STUDENTS!$A$5:$A$204,STUDENTS!$L$5:$L$204,""),"")</f>
        <v/>
      </c>
      <c r="F1158" s="8"/>
      <c r="G1158" s="10" t="str">
        <f>SETTINGS!$B$8</f>
        <v>2026/2027</v>
      </c>
      <c r="H1158" s="10">
        <f t="shared" si="73"/>
        <v>0</v>
      </c>
      <c r="I1158" s="10">
        <f t="shared" si="74"/>
        <v>0</v>
      </c>
      <c r="J1158" s="13" t="str">
        <f t="shared" si="75"/>
        <v/>
      </c>
    </row>
    <row r="1159" spans="1:10" x14ac:dyDescent="0.2">
      <c r="A1159" s="10" t="str">
        <f t="shared" si="72"/>
        <v/>
      </c>
      <c r="B1159" s="9"/>
      <c r="C1159" s="8"/>
      <c r="D1159" s="10" t="str">
        <f ca="1">IFERROR(_xludf.XLOOKUP(C1159,STUDENTS!$A$5:$A$204,STUDENTS!$C$5:$C$204,""),"")</f>
        <v/>
      </c>
      <c r="E1159" s="10" t="str">
        <f ca="1">IFERROR(_xludf.XLOOKUP(C1159,STUDENTS!$A$5:$A$204,STUDENTS!$L$5:$L$204,""),"")</f>
        <v/>
      </c>
      <c r="F1159" s="8"/>
      <c r="G1159" s="10" t="str">
        <f>SETTINGS!$B$8</f>
        <v>2026/2027</v>
      </c>
      <c r="H1159" s="10">
        <f t="shared" si="73"/>
        <v>0</v>
      </c>
      <c r="I1159" s="10">
        <f t="shared" si="74"/>
        <v>0</v>
      </c>
      <c r="J1159" s="13" t="str">
        <f t="shared" si="75"/>
        <v/>
      </c>
    </row>
    <row r="1160" spans="1:10" x14ac:dyDescent="0.2">
      <c r="A1160" s="10" t="str">
        <f t="shared" si="72"/>
        <v/>
      </c>
      <c r="B1160" s="9"/>
      <c r="C1160" s="8"/>
      <c r="D1160" s="10" t="str">
        <f ca="1">IFERROR(_xludf.XLOOKUP(C1160,STUDENTS!$A$5:$A$204,STUDENTS!$C$5:$C$204,""),"")</f>
        <v/>
      </c>
      <c r="E1160" s="10" t="str">
        <f ca="1">IFERROR(_xludf.XLOOKUP(C1160,STUDENTS!$A$5:$A$204,STUDENTS!$L$5:$L$204,""),"")</f>
        <v/>
      </c>
      <c r="F1160" s="8"/>
      <c r="G1160" s="10" t="str">
        <f>SETTINGS!$B$8</f>
        <v>2026/2027</v>
      </c>
      <c r="H1160" s="10">
        <f t="shared" si="73"/>
        <v>0</v>
      </c>
      <c r="I1160" s="10">
        <f t="shared" si="74"/>
        <v>0</v>
      </c>
      <c r="J1160" s="13" t="str">
        <f t="shared" si="75"/>
        <v/>
      </c>
    </row>
    <row r="1161" spans="1:10" x14ac:dyDescent="0.2">
      <c r="A1161" s="10" t="str">
        <f t="shared" si="72"/>
        <v/>
      </c>
      <c r="B1161" s="9"/>
      <c r="C1161" s="8"/>
      <c r="D1161" s="10" t="str">
        <f ca="1">IFERROR(_xludf.XLOOKUP(C1161,STUDENTS!$A$5:$A$204,STUDENTS!$C$5:$C$204,""),"")</f>
        <v/>
      </c>
      <c r="E1161" s="10" t="str">
        <f ca="1">IFERROR(_xludf.XLOOKUP(C1161,STUDENTS!$A$5:$A$204,STUDENTS!$L$5:$L$204,""),"")</f>
        <v/>
      </c>
      <c r="F1161" s="8"/>
      <c r="G1161" s="10" t="str">
        <f>SETTINGS!$B$8</f>
        <v>2026/2027</v>
      </c>
      <c r="H1161" s="10">
        <f t="shared" si="73"/>
        <v>0</v>
      </c>
      <c r="I1161" s="10">
        <f t="shared" si="74"/>
        <v>0</v>
      </c>
      <c r="J1161" s="13" t="str">
        <f t="shared" si="75"/>
        <v/>
      </c>
    </row>
    <row r="1162" spans="1:10" x14ac:dyDescent="0.2">
      <c r="A1162" s="10" t="str">
        <f t="shared" si="72"/>
        <v/>
      </c>
      <c r="B1162" s="9"/>
      <c r="C1162" s="8"/>
      <c r="D1162" s="10" t="str">
        <f ca="1">IFERROR(_xludf.XLOOKUP(C1162,STUDENTS!$A$5:$A$204,STUDENTS!$C$5:$C$204,""),"")</f>
        <v/>
      </c>
      <c r="E1162" s="10" t="str">
        <f ca="1">IFERROR(_xludf.XLOOKUP(C1162,STUDENTS!$A$5:$A$204,STUDENTS!$L$5:$L$204,""),"")</f>
        <v/>
      </c>
      <c r="F1162" s="8"/>
      <c r="G1162" s="10" t="str">
        <f>SETTINGS!$B$8</f>
        <v>2026/2027</v>
      </c>
      <c r="H1162" s="10">
        <f t="shared" si="73"/>
        <v>0</v>
      </c>
      <c r="I1162" s="10">
        <f t="shared" si="74"/>
        <v>0</v>
      </c>
      <c r="J1162" s="13" t="str">
        <f t="shared" si="75"/>
        <v/>
      </c>
    </row>
    <row r="1163" spans="1:10" x14ac:dyDescent="0.2">
      <c r="A1163" s="10" t="str">
        <f t="shared" si="72"/>
        <v/>
      </c>
      <c r="B1163" s="9"/>
      <c r="C1163" s="8"/>
      <c r="D1163" s="10" t="str">
        <f ca="1">IFERROR(_xludf.XLOOKUP(C1163,STUDENTS!$A$5:$A$204,STUDENTS!$C$5:$C$204,""),"")</f>
        <v/>
      </c>
      <c r="E1163" s="10" t="str">
        <f ca="1">IFERROR(_xludf.XLOOKUP(C1163,STUDENTS!$A$5:$A$204,STUDENTS!$L$5:$L$204,""),"")</f>
        <v/>
      </c>
      <c r="F1163" s="8"/>
      <c r="G1163" s="10" t="str">
        <f>SETTINGS!$B$8</f>
        <v>2026/2027</v>
      </c>
      <c r="H1163" s="10">
        <f t="shared" si="73"/>
        <v>0</v>
      </c>
      <c r="I1163" s="10">
        <f t="shared" si="74"/>
        <v>0</v>
      </c>
      <c r="J1163" s="13" t="str">
        <f t="shared" si="75"/>
        <v/>
      </c>
    </row>
    <row r="1164" spans="1:10" x14ac:dyDescent="0.2">
      <c r="A1164" s="10" t="str">
        <f t="shared" si="72"/>
        <v/>
      </c>
      <c r="B1164" s="9"/>
      <c r="C1164" s="8"/>
      <c r="D1164" s="10" t="str">
        <f ca="1">IFERROR(_xludf.XLOOKUP(C1164,STUDENTS!$A$5:$A$204,STUDENTS!$C$5:$C$204,""),"")</f>
        <v/>
      </c>
      <c r="E1164" s="10" t="str">
        <f ca="1">IFERROR(_xludf.XLOOKUP(C1164,STUDENTS!$A$5:$A$204,STUDENTS!$L$5:$L$204,""),"")</f>
        <v/>
      </c>
      <c r="F1164" s="8"/>
      <c r="G1164" s="10" t="str">
        <f>SETTINGS!$B$8</f>
        <v>2026/2027</v>
      </c>
      <c r="H1164" s="10">
        <f t="shared" si="73"/>
        <v>0</v>
      </c>
      <c r="I1164" s="10">
        <f t="shared" si="74"/>
        <v>0</v>
      </c>
      <c r="J1164" s="13" t="str">
        <f t="shared" si="75"/>
        <v/>
      </c>
    </row>
    <row r="1165" spans="1:10" x14ac:dyDescent="0.2">
      <c r="A1165" s="10" t="str">
        <f t="shared" si="72"/>
        <v/>
      </c>
      <c r="B1165" s="9"/>
      <c r="C1165" s="8"/>
      <c r="D1165" s="10" t="str">
        <f ca="1">IFERROR(_xludf.XLOOKUP(C1165,STUDENTS!$A$5:$A$204,STUDENTS!$C$5:$C$204,""),"")</f>
        <v/>
      </c>
      <c r="E1165" s="10" t="str">
        <f ca="1">IFERROR(_xludf.XLOOKUP(C1165,STUDENTS!$A$5:$A$204,STUDENTS!$L$5:$L$204,""),"")</f>
        <v/>
      </c>
      <c r="F1165" s="8"/>
      <c r="G1165" s="10" t="str">
        <f>SETTINGS!$B$8</f>
        <v>2026/2027</v>
      </c>
      <c r="H1165" s="10">
        <f t="shared" si="73"/>
        <v>0</v>
      </c>
      <c r="I1165" s="10">
        <f t="shared" si="74"/>
        <v>0</v>
      </c>
      <c r="J1165" s="13" t="str">
        <f t="shared" si="75"/>
        <v/>
      </c>
    </row>
    <row r="1166" spans="1:10" x14ac:dyDescent="0.2">
      <c r="A1166" s="10" t="str">
        <f t="shared" si="72"/>
        <v/>
      </c>
      <c r="B1166" s="9"/>
      <c r="C1166" s="8"/>
      <c r="D1166" s="10" t="str">
        <f ca="1">IFERROR(_xludf.XLOOKUP(C1166,STUDENTS!$A$5:$A$204,STUDENTS!$C$5:$C$204,""),"")</f>
        <v/>
      </c>
      <c r="E1166" s="10" t="str">
        <f ca="1">IFERROR(_xludf.XLOOKUP(C1166,STUDENTS!$A$5:$A$204,STUDENTS!$L$5:$L$204,""),"")</f>
        <v/>
      </c>
      <c r="F1166" s="8"/>
      <c r="G1166" s="10" t="str">
        <f>SETTINGS!$B$8</f>
        <v>2026/2027</v>
      </c>
      <c r="H1166" s="10">
        <f t="shared" si="73"/>
        <v>0</v>
      </c>
      <c r="I1166" s="10">
        <f t="shared" si="74"/>
        <v>0</v>
      </c>
      <c r="J1166" s="13" t="str">
        <f t="shared" si="75"/>
        <v/>
      </c>
    </row>
    <row r="1167" spans="1:10" x14ac:dyDescent="0.2">
      <c r="A1167" s="10" t="str">
        <f t="shared" si="72"/>
        <v/>
      </c>
      <c r="B1167" s="9"/>
      <c r="C1167" s="8"/>
      <c r="D1167" s="10" t="str">
        <f ca="1">IFERROR(_xludf.XLOOKUP(C1167,STUDENTS!$A$5:$A$204,STUDENTS!$C$5:$C$204,""),"")</f>
        <v/>
      </c>
      <c r="E1167" s="10" t="str">
        <f ca="1">IFERROR(_xludf.XLOOKUP(C1167,STUDENTS!$A$5:$A$204,STUDENTS!$L$5:$L$204,""),"")</f>
        <v/>
      </c>
      <c r="F1167" s="8"/>
      <c r="G1167" s="10" t="str">
        <f>SETTINGS!$B$8</f>
        <v>2026/2027</v>
      </c>
      <c r="H1167" s="10">
        <f t="shared" si="73"/>
        <v>0</v>
      </c>
      <c r="I1167" s="10">
        <f t="shared" si="74"/>
        <v>0</v>
      </c>
      <c r="J1167" s="13" t="str">
        <f t="shared" si="75"/>
        <v/>
      </c>
    </row>
    <row r="1168" spans="1:10" x14ac:dyDescent="0.2">
      <c r="A1168" s="10" t="str">
        <f t="shared" si="72"/>
        <v/>
      </c>
      <c r="B1168" s="9"/>
      <c r="C1168" s="8"/>
      <c r="D1168" s="10" t="str">
        <f ca="1">IFERROR(_xludf.XLOOKUP(C1168,STUDENTS!$A$5:$A$204,STUDENTS!$C$5:$C$204,""),"")</f>
        <v/>
      </c>
      <c r="E1168" s="10" t="str">
        <f ca="1">IFERROR(_xludf.XLOOKUP(C1168,STUDENTS!$A$5:$A$204,STUDENTS!$L$5:$L$204,""),"")</f>
        <v/>
      </c>
      <c r="F1168" s="8"/>
      <c r="G1168" s="10" t="str">
        <f>SETTINGS!$B$8</f>
        <v>2026/2027</v>
      </c>
      <c r="H1168" s="10">
        <f t="shared" si="73"/>
        <v>0</v>
      </c>
      <c r="I1168" s="10">
        <f t="shared" si="74"/>
        <v>0</v>
      </c>
      <c r="J1168" s="13" t="str">
        <f t="shared" si="75"/>
        <v/>
      </c>
    </row>
    <row r="1169" spans="1:10" x14ac:dyDescent="0.2">
      <c r="A1169" s="10" t="str">
        <f t="shared" si="72"/>
        <v/>
      </c>
      <c r="B1169" s="9"/>
      <c r="C1169" s="8"/>
      <c r="D1169" s="10" t="str">
        <f ca="1">IFERROR(_xludf.XLOOKUP(C1169,STUDENTS!$A$5:$A$204,STUDENTS!$C$5:$C$204,""),"")</f>
        <v/>
      </c>
      <c r="E1169" s="10" t="str">
        <f ca="1">IFERROR(_xludf.XLOOKUP(C1169,STUDENTS!$A$5:$A$204,STUDENTS!$L$5:$L$204,""),"")</f>
        <v/>
      </c>
      <c r="F1169" s="8"/>
      <c r="G1169" s="10" t="str">
        <f>SETTINGS!$B$8</f>
        <v>2026/2027</v>
      </c>
      <c r="H1169" s="10">
        <f t="shared" si="73"/>
        <v>0</v>
      </c>
      <c r="I1169" s="10">
        <f t="shared" si="74"/>
        <v>0</v>
      </c>
      <c r="J1169" s="13" t="str">
        <f t="shared" si="75"/>
        <v/>
      </c>
    </row>
    <row r="1170" spans="1:10" x14ac:dyDescent="0.2">
      <c r="A1170" s="10" t="str">
        <f t="shared" si="72"/>
        <v/>
      </c>
      <c r="B1170" s="9"/>
      <c r="C1170" s="8"/>
      <c r="D1170" s="10" t="str">
        <f ca="1">IFERROR(_xludf.XLOOKUP(C1170,STUDENTS!$A$5:$A$204,STUDENTS!$C$5:$C$204,""),"")</f>
        <v/>
      </c>
      <c r="E1170" s="10" t="str">
        <f ca="1">IFERROR(_xludf.XLOOKUP(C1170,STUDENTS!$A$5:$A$204,STUDENTS!$L$5:$L$204,""),"")</f>
        <v/>
      </c>
      <c r="F1170" s="8"/>
      <c r="G1170" s="10" t="str">
        <f>SETTINGS!$B$8</f>
        <v>2026/2027</v>
      </c>
      <c r="H1170" s="10">
        <f t="shared" si="73"/>
        <v>0</v>
      </c>
      <c r="I1170" s="10">
        <f t="shared" si="74"/>
        <v>0</v>
      </c>
      <c r="J1170" s="13" t="str">
        <f t="shared" si="75"/>
        <v/>
      </c>
    </row>
    <row r="1171" spans="1:10" x14ac:dyDescent="0.2">
      <c r="A1171" s="10" t="str">
        <f t="shared" si="72"/>
        <v/>
      </c>
      <c r="B1171" s="9"/>
      <c r="C1171" s="8"/>
      <c r="D1171" s="10" t="str">
        <f ca="1">IFERROR(_xludf.XLOOKUP(C1171,STUDENTS!$A$5:$A$204,STUDENTS!$C$5:$C$204,""),"")</f>
        <v/>
      </c>
      <c r="E1171" s="10" t="str">
        <f ca="1">IFERROR(_xludf.XLOOKUP(C1171,STUDENTS!$A$5:$A$204,STUDENTS!$L$5:$L$204,""),"")</f>
        <v/>
      </c>
      <c r="F1171" s="8"/>
      <c r="G1171" s="10" t="str">
        <f>SETTINGS!$B$8</f>
        <v>2026/2027</v>
      </c>
      <c r="H1171" s="10">
        <f t="shared" si="73"/>
        <v>0</v>
      </c>
      <c r="I1171" s="10">
        <f t="shared" si="74"/>
        <v>0</v>
      </c>
      <c r="J1171" s="13" t="str">
        <f t="shared" si="75"/>
        <v/>
      </c>
    </row>
    <row r="1172" spans="1:10" x14ac:dyDescent="0.2">
      <c r="A1172" s="10" t="str">
        <f t="shared" si="72"/>
        <v/>
      </c>
      <c r="B1172" s="9"/>
      <c r="C1172" s="8"/>
      <c r="D1172" s="10" t="str">
        <f ca="1">IFERROR(_xludf.XLOOKUP(C1172,STUDENTS!$A$5:$A$204,STUDENTS!$C$5:$C$204,""),"")</f>
        <v/>
      </c>
      <c r="E1172" s="10" t="str">
        <f ca="1">IFERROR(_xludf.XLOOKUP(C1172,STUDENTS!$A$5:$A$204,STUDENTS!$L$5:$L$204,""),"")</f>
        <v/>
      </c>
      <c r="F1172" s="8"/>
      <c r="G1172" s="10" t="str">
        <f>SETTINGS!$B$8</f>
        <v>2026/2027</v>
      </c>
      <c r="H1172" s="10">
        <f t="shared" si="73"/>
        <v>0</v>
      </c>
      <c r="I1172" s="10">
        <f t="shared" si="74"/>
        <v>0</v>
      </c>
      <c r="J1172" s="13" t="str">
        <f t="shared" si="75"/>
        <v/>
      </c>
    </row>
    <row r="1173" spans="1:10" x14ac:dyDescent="0.2">
      <c r="A1173" s="10" t="str">
        <f t="shared" si="72"/>
        <v/>
      </c>
      <c r="B1173" s="9"/>
      <c r="C1173" s="8"/>
      <c r="D1173" s="10" t="str">
        <f ca="1">IFERROR(_xludf.XLOOKUP(C1173,STUDENTS!$A$5:$A$204,STUDENTS!$C$5:$C$204,""),"")</f>
        <v/>
      </c>
      <c r="E1173" s="10" t="str">
        <f ca="1">IFERROR(_xludf.XLOOKUP(C1173,STUDENTS!$A$5:$A$204,STUDENTS!$L$5:$L$204,""),"")</f>
        <v/>
      </c>
      <c r="F1173" s="8"/>
      <c r="G1173" s="10" t="str">
        <f>SETTINGS!$B$8</f>
        <v>2026/2027</v>
      </c>
      <c r="H1173" s="10">
        <f t="shared" si="73"/>
        <v>0</v>
      </c>
      <c r="I1173" s="10">
        <f t="shared" si="74"/>
        <v>0</v>
      </c>
      <c r="J1173" s="13" t="str">
        <f t="shared" si="75"/>
        <v/>
      </c>
    </row>
    <row r="1174" spans="1:10" x14ac:dyDescent="0.2">
      <c r="A1174" s="10" t="str">
        <f t="shared" si="72"/>
        <v/>
      </c>
      <c r="B1174" s="9"/>
      <c r="C1174" s="8"/>
      <c r="D1174" s="10" t="str">
        <f ca="1">IFERROR(_xludf.XLOOKUP(C1174,STUDENTS!$A$5:$A$204,STUDENTS!$C$5:$C$204,""),"")</f>
        <v/>
      </c>
      <c r="E1174" s="10" t="str">
        <f ca="1">IFERROR(_xludf.XLOOKUP(C1174,STUDENTS!$A$5:$A$204,STUDENTS!$L$5:$L$204,""),"")</f>
        <v/>
      </c>
      <c r="F1174" s="8"/>
      <c r="G1174" s="10" t="str">
        <f>SETTINGS!$B$8</f>
        <v>2026/2027</v>
      </c>
      <c r="H1174" s="10">
        <f t="shared" si="73"/>
        <v>0</v>
      </c>
      <c r="I1174" s="10">
        <f t="shared" si="74"/>
        <v>0</v>
      </c>
      <c r="J1174" s="13" t="str">
        <f t="shared" si="75"/>
        <v/>
      </c>
    </row>
    <row r="1175" spans="1:10" x14ac:dyDescent="0.2">
      <c r="A1175" s="10" t="str">
        <f t="shared" si="72"/>
        <v/>
      </c>
      <c r="B1175" s="9"/>
      <c r="C1175" s="8"/>
      <c r="D1175" s="10" t="str">
        <f ca="1">IFERROR(_xludf.XLOOKUP(C1175,STUDENTS!$A$5:$A$204,STUDENTS!$C$5:$C$204,""),"")</f>
        <v/>
      </c>
      <c r="E1175" s="10" t="str">
        <f ca="1">IFERROR(_xludf.XLOOKUP(C1175,STUDENTS!$A$5:$A$204,STUDENTS!$L$5:$L$204,""),"")</f>
        <v/>
      </c>
      <c r="F1175" s="8"/>
      <c r="G1175" s="10" t="str">
        <f>SETTINGS!$B$8</f>
        <v>2026/2027</v>
      </c>
      <c r="H1175" s="10">
        <f t="shared" si="73"/>
        <v>0</v>
      </c>
      <c r="I1175" s="10">
        <f t="shared" si="74"/>
        <v>0</v>
      </c>
      <c r="J1175" s="13" t="str">
        <f t="shared" si="75"/>
        <v/>
      </c>
    </row>
    <row r="1176" spans="1:10" x14ac:dyDescent="0.2">
      <c r="A1176" s="10" t="str">
        <f t="shared" si="72"/>
        <v/>
      </c>
      <c r="B1176" s="9"/>
      <c r="C1176" s="8"/>
      <c r="D1176" s="10" t="str">
        <f ca="1">IFERROR(_xludf.XLOOKUP(C1176,STUDENTS!$A$5:$A$204,STUDENTS!$C$5:$C$204,""),"")</f>
        <v/>
      </c>
      <c r="E1176" s="10" t="str">
        <f ca="1">IFERROR(_xludf.XLOOKUP(C1176,STUDENTS!$A$5:$A$204,STUDENTS!$L$5:$L$204,""),"")</f>
        <v/>
      </c>
      <c r="F1176" s="8"/>
      <c r="G1176" s="10" t="str">
        <f>SETTINGS!$B$8</f>
        <v>2026/2027</v>
      </c>
      <c r="H1176" s="10">
        <f t="shared" si="73"/>
        <v>0</v>
      </c>
      <c r="I1176" s="10">
        <f t="shared" si="74"/>
        <v>0</v>
      </c>
      <c r="J1176" s="13" t="str">
        <f t="shared" si="75"/>
        <v/>
      </c>
    </row>
    <row r="1177" spans="1:10" x14ac:dyDescent="0.2">
      <c r="A1177" s="10" t="str">
        <f t="shared" si="72"/>
        <v/>
      </c>
      <c r="B1177" s="9"/>
      <c r="C1177" s="8"/>
      <c r="D1177" s="10" t="str">
        <f ca="1">IFERROR(_xludf.XLOOKUP(C1177,STUDENTS!$A$5:$A$204,STUDENTS!$C$5:$C$204,""),"")</f>
        <v/>
      </c>
      <c r="E1177" s="10" t="str">
        <f ca="1">IFERROR(_xludf.XLOOKUP(C1177,STUDENTS!$A$5:$A$204,STUDENTS!$L$5:$L$204,""),"")</f>
        <v/>
      </c>
      <c r="F1177" s="8"/>
      <c r="G1177" s="10" t="str">
        <f>SETTINGS!$B$8</f>
        <v>2026/2027</v>
      </c>
      <c r="H1177" s="10">
        <f t="shared" si="73"/>
        <v>0</v>
      </c>
      <c r="I1177" s="10">
        <f t="shared" si="74"/>
        <v>0</v>
      </c>
      <c r="J1177" s="13" t="str">
        <f t="shared" si="75"/>
        <v/>
      </c>
    </row>
    <row r="1178" spans="1:10" x14ac:dyDescent="0.2">
      <c r="A1178" s="10" t="str">
        <f t="shared" si="72"/>
        <v/>
      </c>
      <c r="B1178" s="9"/>
      <c r="C1178" s="8"/>
      <c r="D1178" s="10" t="str">
        <f ca="1">IFERROR(_xludf.XLOOKUP(C1178,STUDENTS!$A$5:$A$204,STUDENTS!$C$5:$C$204,""),"")</f>
        <v/>
      </c>
      <c r="E1178" s="10" t="str">
        <f ca="1">IFERROR(_xludf.XLOOKUP(C1178,STUDENTS!$A$5:$A$204,STUDENTS!$L$5:$L$204,""),"")</f>
        <v/>
      </c>
      <c r="F1178" s="8"/>
      <c r="G1178" s="10" t="str">
        <f>SETTINGS!$B$8</f>
        <v>2026/2027</v>
      </c>
      <c r="H1178" s="10">
        <f t="shared" si="73"/>
        <v>0</v>
      </c>
      <c r="I1178" s="10">
        <f t="shared" si="74"/>
        <v>0</v>
      </c>
      <c r="J1178" s="13" t="str">
        <f t="shared" si="75"/>
        <v/>
      </c>
    </row>
    <row r="1179" spans="1:10" x14ac:dyDescent="0.2">
      <c r="A1179" s="10" t="str">
        <f t="shared" si="72"/>
        <v/>
      </c>
      <c r="B1179" s="9"/>
      <c r="C1179" s="8"/>
      <c r="D1179" s="10" t="str">
        <f ca="1">IFERROR(_xludf.XLOOKUP(C1179,STUDENTS!$A$5:$A$204,STUDENTS!$C$5:$C$204,""),"")</f>
        <v/>
      </c>
      <c r="E1179" s="10" t="str">
        <f ca="1">IFERROR(_xludf.XLOOKUP(C1179,STUDENTS!$A$5:$A$204,STUDENTS!$L$5:$L$204,""),"")</f>
        <v/>
      </c>
      <c r="F1179" s="8"/>
      <c r="G1179" s="10" t="str">
        <f>SETTINGS!$B$8</f>
        <v>2026/2027</v>
      </c>
      <c r="H1179" s="10">
        <f t="shared" si="73"/>
        <v>0</v>
      </c>
      <c r="I1179" s="10">
        <f t="shared" si="74"/>
        <v>0</v>
      </c>
      <c r="J1179" s="13" t="str">
        <f t="shared" si="75"/>
        <v/>
      </c>
    </row>
    <row r="1180" spans="1:10" x14ac:dyDescent="0.2">
      <c r="A1180" s="10" t="str">
        <f t="shared" si="72"/>
        <v/>
      </c>
      <c r="B1180" s="9"/>
      <c r="C1180" s="8"/>
      <c r="D1180" s="10" t="str">
        <f ca="1">IFERROR(_xludf.XLOOKUP(C1180,STUDENTS!$A$5:$A$204,STUDENTS!$C$5:$C$204,""),"")</f>
        <v/>
      </c>
      <c r="E1180" s="10" t="str">
        <f ca="1">IFERROR(_xludf.XLOOKUP(C1180,STUDENTS!$A$5:$A$204,STUDENTS!$L$5:$L$204,""),"")</f>
        <v/>
      </c>
      <c r="F1180" s="8"/>
      <c r="G1180" s="10" t="str">
        <f>SETTINGS!$B$8</f>
        <v>2026/2027</v>
      </c>
      <c r="H1180" s="10">
        <f t="shared" si="73"/>
        <v>0</v>
      </c>
      <c r="I1180" s="10">
        <f t="shared" si="74"/>
        <v>0</v>
      </c>
      <c r="J1180" s="13" t="str">
        <f t="shared" si="75"/>
        <v/>
      </c>
    </row>
    <row r="1181" spans="1:10" x14ac:dyDescent="0.2">
      <c r="A1181" s="10" t="str">
        <f t="shared" si="72"/>
        <v/>
      </c>
      <c r="B1181" s="9"/>
      <c r="C1181" s="8"/>
      <c r="D1181" s="10" t="str">
        <f ca="1">IFERROR(_xludf.XLOOKUP(C1181,STUDENTS!$A$5:$A$204,STUDENTS!$C$5:$C$204,""),"")</f>
        <v/>
      </c>
      <c r="E1181" s="10" t="str">
        <f ca="1">IFERROR(_xludf.XLOOKUP(C1181,STUDENTS!$A$5:$A$204,STUDENTS!$L$5:$L$204,""),"")</f>
        <v/>
      </c>
      <c r="F1181" s="8"/>
      <c r="G1181" s="10" t="str">
        <f>SETTINGS!$B$8</f>
        <v>2026/2027</v>
      </c>
      <c r="H1181" s="10">
        <f t="shared" si="73"/>
        <v>0</v>
      </c>
      <c r="I1181" s="10">
        <f t="shared" si="74"/>
        <v>0</v>
      </c>
      <c r="J1181" s="13" t="str">
        <f t="shared" si="75"/>
        <v/>
      </c>
    </row>
    <row r="1182" spans="1:10" x14ac:dyDescent="0.2">
      <c r="A1182" s="10" t="str">
        <f t="shared" si="72"/>
        <v/>
      </c>
      <c r="B1182" s="9"/>
      <c r="C1182" s="8"/>
      <c r="D1182" s="10" t="str">
        <f ca="1">IFERROR(_xludf.XLOOKUP(C1182,STUDENTS!$A$5:$A$204,STUDENTS!$C$5:$C$204,""),"")</f>
        <v/>
      </c>
      <c r="E1182" s="10" t="str">
        <f ca="1">IFERROR(_xludf.XLOOKUP(C1182,STUDENTS!$A$5:$A$204,STUDENTS!$L$5:$L$204,""),"")</f>
        <v/>
      </c>
      <c r="F1182" s="8"/>
      <c r="G1182" s="10" t="str">
        <f>SETTINGS!$B$8</f>
        <v>2026/2027</v>
      </c>
      <c r="H1182" s="10">
        <f t="shared" si="73"/>
        <v>0</v>
      </c>
      <c r="I1182" s="10">
        <f t="shared" si="74"/>
        <v>0</v>
      </c>
      <c r="J1182" s="13" t="str">
        <f t="shared" si="75"/>
        <v/>
      </c>
    </row>
    <row r="1183" spans="1:10" x14ac:dyDescent="0.2">
      <c r="A1183" s="10" t="str">
        <f t="shared" si="72"/>
        <v/>
      </c>
      <c r="B1183" s="9"/>
      <c r="C1183" s="8"/>
      <c r="D1183" s="10" t="str">
        <f ca="1">IFERROR(_xludf.XLOOKUP(C1183,STUDENTS!$A$5:$A$204,STUDENTS!$C$5:$C$204,""),"")</f>
        <v/>
      </c>
      <c r="E1183" s="10" t="str">
        <f ca="1">IFERROR(_xludf.XLOOKUP(C1183,STUDENTS!$A$5:$A$204,STUDENTS!$L$5:$L$204,""),"")</f>
        <v/>
      </c>
      <c r="F1183" s="8"/>
      <c r="G1183" s="10" t="str">
        <f>SETTINGS!$B$8</f>
        <v>2026/2027</v>
      </c>
      <c r="H1183" s="10">
        <f t="shared" si="73"/>
        <v>0</v>
      </c>
      <c r="I1183" s="10">
        <f t="shared" si="74"/>
        <v>0</v>
      </c>
      <c r="J1183" s="13" t="str">
        <f t="shared" si="75"/>
        <v/>
      </c>
    </row>
    <row r="1184" spans="1:10" x14ac:dyDescent="0.2">
      <c r="A1184" s="10" t="str">
        <f t="shared" si="72"/>
        <v/>
      </c>
      <c r="B1184" s="9"/>
      <c r="C1184" s="8"/>
      <c r="D1184" s="10" t="str">
        <f ca="1">IFERROR(_xludf.XLOOKUP(C1184,STUDENTS!$A$5:$A$204,STUDENTS!$C$5:$C$204,""),"")</f>
        <v/>
      </c>
      <c r="E1184" s="10" t="str">
        <f ca="1">IFERROR(_xludf.XLOOKUP(C1184,STUDENTS!$A$5:$A$204,STUDENTS!$L$5:$L$204,""),"")</f>
        <v/>
      </c>
      <c r="F1184" s="8"/>
      <c r="G1184" s="10" t="str">
        <f>SETTINGS!$B$8</f>
        <v>2026/2027</v>
      </c>
      <c r="H1184" s="10">
        <f t="shared" si="73"/>
        <v>0</v>
      </c>
      <c r="I1184" s="10">
        <f t="shared" si="74"/>
        <v>0</v>
      </c>
      <c r="J1184" s="13" t="str">
        <f t="shared" si="75"/>
        <v/>
      </c>
    </row>
    <row r="1185" spans="1:10" x14ac:dyDescent="0.2">
      <c r="A1185" s="10" t="str">
        <f t="shared" si="72"/>
        <v/>
      </c>
      <c r="B1185" s="9"/>
      <c r="C1185" s="8"/>
      <c r="D1185" s="10" t="str">
        <f ca="1">IFERROR(_xludf.XLOOKUP(C1185,STUDENTS!$A$5:$A$204,STUDENTS!$C$5:$C$204,""),"")</f>
        <v/>
      </c>
      <c r="E1185" s="10" t="str">
        <f ca="1">IFERROR(_xludf.XLOOKUP(C1185,STUDENTS!$A$5:$A$204,STUDENTS!$L$5:$L$204,""),"")</f>
        <v/>
      </c>
      <c r="F1185" s="8"/>
      <c r="G1185" s="10" t="str">
        <f>SETTINGS!$B$8</f>
        <v>2026/2027</v>
      </c>
      <c r="H1185" s="10">
        <f t="shared" si="73"/>
        <v>0</v>
      </c>
      <c r="I1185" s="10">
        <f t="shared" si="74"/>
        <v>0</v>
      </c>
      <c r="J1185" s="13" t="str">
        <f t="shared" si="75"/>
        <v/>
      </c>
    </row>
    <row r="1186" spans="1:10" x14ac:dyDescent="0.2">
      <c r="A1186" s="10" t="str">
        <f t="shared" si="72"/>
        <v/>
      </c>
      <c r="B1186" s="9"/>
      <c r="C1186" s="8"/>
      <c r="D1186" s="10" t="str">
        <f ca="1">IFERROR(_xludf.XLOOKUP(C1186,STUDENTS!$A$5:$A$204,STUDENTS!$C$5:$C$204,""),"")</f>
        <v/>
      </c>
      <c r="E1186" s="10" t="str">
        <f ca="1">IFERROR(_xludf.XLOOKUP(C1186,STUDENTS!$A$5:$A$204,STUDENTS!$L$5:$L$204,""),"")</f>
        <v/>
      </c>
      <c r="F1186" s="8"/>
      <c r="G1186" s="10" t="str">
        <f>SETTINGS!$B$8</f>
        <v>2026/2027</v>
      </c>
      <c r="H1186" s="10">
        <f t="shared" si="73"/>
        <v>0</v>
      </c>
      <c r="I1186" s="10">
        <f t="shared" si="74"/>
        <v>0</v>
      </c>
      <c r="J1186" s="13" t="str">
        <f t="shared" si="75"/>
        <v/>
      </c>
    </row>
    <row r="1187" spans="1:10" x14ac:dyDescent="0.2">
      <c r="A1187" s="10" t="str">
        <f t="shared" si="72"/>
        <v/>
      </c>
      <c r="B1187" s="9"/>
      <c r="C1187" s="8"/>
      <c r="D1187" s="10" t="str">
        <f ca="1">IFERROR(_xludf.XLOOKUP(C1187,STUDENTS!$A$5:$A$204,STUDENTS!$C$5:$C$204,""),"")</f>
        <v/>
      </c>
      <c r="E1187" s="10" t="str">
        <f ca="1">IFERROR(_xludf.XLOOKUP(C1187,STUDENTS!$A$5:$A$204,STUDENTS!$L$5:$L$204,""),"")</f>
        <v/>
      </c>
      <c r="F1187" s="8"/>
      <c r="G1187" s="10" t="str">
        <f>SETTINGS!$B$8</f>
        <v>2026/2027</v>
      </c>
      <c r="H1187" s="10">
        <f t="shared" si="73"/>
        <v>0</v>
      </c>
      <c r="I1187" s="10">
        <f t="shared" si="74"/>
        <v>0</v>
      </c>
      <c r="J1187" s="13" t="str">
        <f t="shared" si="75"/>
        <v/>
      </c>
    </row>
    <row r="1188" spans="1:10" x14ac:dyDescent="0.2">
      <c r="A1188" s="10" t="str">
        <f t="shared" si="72"/>
        <v/>
      </c>
      <c r="B1188" s="9"/>
      <c r="C1188" s="8"/>
      <c r="D1188" s="10" t="str">
        <f ca="1">IFERROR(_xludf.XLOOKUP(C1188,STUDENTS!$A$5:$A$204,STUDENTS!$C$5:$C$204,""),"")</f>
        <v/>
      </c>
      <c r="E1188" s="10" t="str">
        <f ca="1">IFERROR(_xludf.XLOOKUP(C1188,STUDENTS!$A$5:$A$204,STUDENTS!$L$5:$L$204,""),"")</f>
        <v/>
      </c>
      <c r="F1188" s="8"/>
      <c r="G1188" s="10" t="str">
        <f>SETTINGS!$B$8</f>
        <v>2026/2027</v>
      </c>
      <c r="H1188" s="10">
        <f t="shared" si="73"/>
        <v>0</v>
      </c>
      <c r="I1188" s="10">
        <f t="shared" si="74"/>
        <v>0</v>
      </c>
      <c r="J1188" s="13" t="str">
        <f t="shared" si="75"/>
        <v/>
      </c>
    </row>
    <row r="1189" spans="1:10" x14ac:dyDescent="0.2">
      <c r="A1189" s="10" t="str">
        <f t="shared" si="72"/>
        <v/>
      </c>
      <c r="B1189" s="9"/>
      <c r="C1189" s="8"/>
      <c r="D1189" s="10" t="str">
        <f ca="1">IFERROR(_xludf.XLOOKUP(C1189,STUDENTS!$A$5:$A$204,STUDENTS!$C$5:$C$204,""),"")</f>
        <v/>
      </c>
      <c r="E1189" s="10" t="str">
        <f ca="1">IFERROR(_xludf.XLOOKUP(C1189,STUDENTS!$A$5:$A$204,STUDENTS!$L$5:$L$204,""),"")</f>
        <v/>
      </c>
      <c r="F1189" s="8"/>
      <c r="G1189" s="10" t="str">
        <f>SETTINGS!$B$8</f>
        <v>2026/2027</v>
      </c>
      <c r="H1189" s="10">
        <f t="shared" si="73"/>
        <v>0</v>
      </c>
      <c r="I1189" s="10">
        <f t="shared" si="74"/>
        <v>0</v>
      </c>
      <c r="J1189" s="13" t="str">
        <f t="shared" si="75"/>
        <v/>
      </c>
    </row>
    <row r="1190" spans="1:10" x14ac:dyDescent="0.2">
      <c r="A1190" s="10" t="str">
        <f t="shared" si="72"/>
        <v/>
      </c>
      <c r="B1190" s="9"/>
      <c r="C1190" s="8"/>
      <c r="D1190" s="10" t="str">
        <f ca="1">IFERROR(_xludf.XLOOKUP(C1190,STUDENTS!$A$5:$A$204,STUDENTS!$C$5:$C$204,""),"")</f>
        <v/>
      </c>
      <c r="E1190" s="10" t="str">
        <f ca="1">IFERROR(_xludf.XLOOKUP(C1190,STUDENTS!$A$5:$A$204,STUDENTS!$L$5:$L$204,""),"")</f>
        <v/>
      </c>
      <c r="F1190" s="8"/>
      <c r="G1190" s="10" t="str">
        <f>SETTINGS!$B$8</f>
        <v>2026/2027</v>
      </c>
      <c r="H1190" s="10">
        <f t="shared" si="73"/>
        <v>0</v>
      </c>
      <c r="I1190" s="10">
        <f t="shared" si="74"/>
        <v>0</v>
      </c>
      <c r="J1190" s="13" t="str">
        <f t="shared" si="75"/>
        <v/>
      </c>
    </row>
    <row r="1191" spans="1:10" x14ac:dyDescent="0.2">
      <c r="A1191" s="10" t="str">
        <f t="shared" si="72"/>
        <v/>
      </c>
      <c r="B1191" s="9"/>
      <c r="C1191" s="8"/>
      <c r="D1191" s="10" t="str">
        <f ca="1">IFERROR(_xludf.XLOOKUP(C1191,STUDENTS!$A$5:$A$204,STUDENTS!$C$5:$C$204,""),"")</f>
        <v/>
      </c>
      <c r="E1191" s="10" t="str">
        <f ca="1">IFERROR(_xludf.XLOOKUP(C1191,STUDENTS!$A$5:$A$204,STUDENTS!$L$5:$L$204,""),"")</f>
        <v/>
      </c>
      <c r="F1191" s="8"/>
      <c r="G1191" s="10" t="str">
        <f>SETTINGS!$B$8</f>
        <v>2026/2027</v>
      </c>
      <c r="H1191" s="10">
        <f t="shared" si="73"/>
        <v>0</v>
      </c>
      <c r="I1191" s="10">
        <f t="shared" si="74"/>
        <v>0</v>
      </c>
      <c r="J1191" s="13" t="str">
        <f t="shared" si="75"/>
        <v/>
      </c>
    </row>
    <row r="1192" spans="1:10" x14ac:dyDescent="0.2">
      <c r="A1192" s="10" t="str">
        <f t="shared" si="72"/>
        <v/>
      </c>
      <c r="B1192" s="9"/>
      <c r="C1192" s="8"/>
      <c r="D1192" s="10" t="str">
        <f ca="1">IFERROR(_xludf.XLOOKUP(C1192,STUDENTS!$A$5:$A$204,STUDENTS!$C$5:$C$204,""),"")</f>
        <v/>
      </c>
      <c r="E1192" s="10" t="str">
        <f ca="1">IFERROR(_xludf.XLOOKUP(C1192,STUDENTS!$A$5:$A$204,STUDENTS!$L$5:$L$204,""),"")</f>
        <v/>
      </c>
      <c r="F1192" s="8"/>
      <c r="G1192" s="10" t="str">
        <f>SETTINGS!$B$8</f>
        <v>2026/2027</v>
      </c>
      <c r="H1192" s="10">
        <f t="shared" si="73"/>
        <v>0</v>
      </c>
      <c r="I1192" s="10">
        <f t="shared" si="74"/>
        <v>0</v>
      </c>
      <c r="J1192" s="13" t="str">
        <f t="shared" si="75"/>
        <v/>
      </c>
    </row>
    <row r="1193" spans="1:10" x14ac:dyDescent="0.2">
      <c r="A1193" s="10" t="str">
        <f t="shared" si="72"/>
        <v/>
      </c>
      <c r="B1193" s="9"/>
      <c r="C1193" s="8"/>
      <c r="D1193" s="10" t="str">
        <f ca="1">IFERROR(_xludf.XLOOKUP(C1193,STUDENTS!$A$5:$A$204,STUDENTS!$C$5:$C$204,""),"")</f>
        <v/>
      </c>
      <c r="E1193" s="10" t="str">
        <f ca="1">IFERROR(_xludf.XLOOKUP(C1193,STUDENTS!$A$5:$A$204,STUDENTS!$L$5:$L$204,""),"")</f>
        <v/>
      </c>
      <c r="F1193" s="8"/>
      <c r="G1193" s="10" t="str">
        <f>SETTINGS!$B$8</f>
        <v>2026/2027</v>
      </c>
      <c r="H1193" s="10">
        <f t="shared" si="73"/>
        <v>0</v>
      </c>
      <c r="I1193" s="10">
        <f t="shared" si="74"/>
        <v>0</v>
      </c>
      <c r="J1193" s="13" t="str">
        <f t="shared" si="75"/>
        <v/>
      </c>
    </row>
    <row r="1194" spans="1:10" x14ac:dyDescent="0.2">
      <c r="A1194" s="10" t="str">
        <f t="shared" si="72"/>
        <v/>
      </c>
      <c r="B1194" s="9"/>
      <c r="C1194" s="8"/>
      <c r="D1194" s="10" t="str">
        <f ca="1">IFERROR(_xludf.XLOOKUP(C1194,STUDENTS!$A$5:$A$204,STUDENTS!$C$5:$C$204,""),"")</f>
        <v/>
      </c>
      <c r="E1194" s="10" t="str">
        <f ca="1">IFERROR(_xludf.XLOOKUP(C1194,STUDENTS!$A$5:$A$204,STUDENTS!$L$5:$L$204,""),"")</f>
        <v/>
      </c>
      <c r="F1194" s="8"/>
      <c r="G1194" s="10" t="str">
        <f>SETTINGS!$B$8</f>
        <v>2026/2027</v>
      </c>
      <c r="H1194" s="10">
        <f t="shared" si="73"/>
        <v>0</v>
      </c>
      <c r="I1194" s="10">
        <f t="shared" si="74"/>
        <v>0</v>
      </c>
      <c r="J1194" s="13" t="str">
        <f t="shared" si="75"/>
        <v/>
      </c>
    </row>
    <row r="1195" spans="1:10" x14ac:dyDescent="0.2">
      <c r="A1195" s="10" t="str">
        <f t="shared" si="72"/>
        <v/>
      </c>
      <c r="B1195" s="9"/>
      <c r="C1195" s="8"/>
      <c r="D1195" s="10" t="str">
        <f ca="1">IFERROR(_xludf.XLOOKUP(C1195,STUDENTS!$A$5:$A$204,STUDENTS!$C$5:$C$204,""),"")</f>
        <v/>
      </c>
      <c r="E1195" s="10" t="str">
        <f ca="1">IFERROR(_xludf.XLOOKUP(C1195,STUDENTS!$A$5:$A$204,STUDENTS!$L$5:$L$204,""),"")</f>
        <v/>
      </c>
      <c r="F1195" s="8"/>
      <c r="G1195" s="10" t="str">
        <f>SETTINGS!$B$8</f>
        <v>2026/2027</v>
      </c>
      <c r="H1195" s="10">
        <f t="shared" si="73"/>
        <v>0</v>
      </c>
      <c r="I1195" s="10">
        <f t="shared" si="74"/>
        <v>0</v>
      </c>
      <c r="J1195" s="13" t="str">
        <f t="shared" si="75"/>
        <v/>
      </c>
    </row>
    <row r="1196" spans="1:10" x14ac:dyDescent="0.2">
      <c r="A1196" s="10" t="str">
        <f t="shared" si="72"/>
        <v/>
      </c>
      <c r="B1196" s="9"/>
      <c r="C1196" s="8"/>
      <c r="D1196" s="10" t="str">
        <f ca="1">IFERROR(_xludf.XLOOKUP(C1196,STUDENTS!$A$5:$A$204,STUDENTS!$C$5:$C$204,""),"")</f>
        <v/>
      </c>
      <c r="E1196" s="10" t="str">
        <f ca="1">IFERROR(_xludf.XLOOKUP(C1196,STUDENTS!$A$5:$A$204,STUDENTS!$L$5:$L$204,""),"")</f>
        <v/>
      </c>
      <c r="F1196" s="8"/>
      <c r="G1196" s="10" t="str">
        <f>SETTINGS!$B$8</f>
        <v>2026/2027</v>
      </c>
      <c r="H1196" s="10">
        <f t="shared" si="73"/>
        <v>0</v>
      </c>
      <c r="I1196" s="10">
        <f t="shared" si="74"/>
        <v>0</v>
      </c>
      <c r="J1196" s="13" t="str">
        <f t="shared" si="75"/>
        <v/>
      </c>
    </row>
    <row r="1197" spans="1:10" x14ac:dyDescent="0.2">
      <c r="A1197" s="10" t="str">
        <f t="shared" si="72"/>
        <v/>
      </c>
      <c r="B1197" s="9"/>
      <c r="C1197" s="8"/>
      <c r="D1197" s="10" t="str">
        <f ca="1">IFERROR(_xludf.XLOOKUP(C1197,STUDENTS!$A$5:$A$204,STUDENTS!$C$5:$C$204,""),"")</f>
        <v/>
      </c>
      <c r="E1197" s="10" t="str">
        <f ca="1">IFERROR(_xludf.XLOOKUP(C1197,STUDENTS!$A$5:$A$204,STUDENTS!$L$5:$L$204,""),"")</f>
        <v/>
      </c>
      <c r="F1197" s="8"/>
      <c r="G1197" s="10" t="str">
        <f>SETTINGS!$B$8</f>
        <v>2026/2027</v>
      </c>
      <c r="H1197" s="10">
        <f t="shared" si="73"/>
        <v>0</v>
      </c>
      <c r="I1197" s="10">
        <f t="shared" si="74"/>
        <v>0</v>
      </c>
      <c r="J1197" s="13" t="str">
        <f t="shared" si="75"/>
        <v/>
      </c>
    </row>
    <row r="1198" spans="1:10" x14ac:dyDescent="0.2">
      <c r="A1198" s="10" t="str">
        <f t="shared" si="72"/>
        <v/>
      </c>
      <c r="B1198" s="9"/>
      <c r="C1198" s="8"/>
      <c r="D1198" s="10" t="str">
        <f ca="1">IFERROR(_xludf.XLOOKUP(C1198,STUDENTS!$A$5:$A$204,STUDENTS!$C$5:$C$204,""),"")</f>
        <v/>
      </c>
      <c r="E1198" s="10" t="str">
        <f ca="1">IFERROR(_xludf.XLOOKUP(C1198,STUDENTS!$A$5:$A$204,STUDENTS!$L$5:$L$204,""),"")</f>
        <v/>
      </c>
      <c r="F1198" s="8"/>
      <c r="G1198" s="10" t="str">
        <f>SETTINGS!$B$8</f>
        <v>2026/2027</v>
      </c>
      <c r="H1198" s="10">
        <f t="shared" si="73"/>
        <v>0</v>
      </c>
      <c r="I1198" s="10">
        <f t="shared" si="74"/>
        <v>0</v>
      </c>
      <c r="J1198" s="13" t="str">
        <f t="shared" si="75"/>
        <v/>
      </c>
    </row>
    <row r="1199" spans="1:10" x14ac:dyDescent="0.2">
      <c r="A1199" s="10" t="str">
        <f t="shared" si="72"/>
        <v/>
      </c>
      <c r="B1199" s="9"/>
      <c r="C1199" s="8"/>
      <c r="D1199" s="10" t="str">
        <f ca="1">IFERROR(_xludf.XLOOKUP(C1199,STUDENTS!$A$5:$A$204,STUDENTS!$C$5:$C$204,""),"")</f>
        <v/>
      </c>
      <c r="E1199" s="10" t="str">
        <f ca="1">IFERROR(_xludf.XLOOKUP(C1199,STUDENTS!$A$5:$A$204,STUDENTS!$L$5:$L$204,""),"")</f>
        <v/>
      </c>
      <c r="F1199" s="8"/>
      <c r="G1199" s="10" t="str">
        <f>SETTINGS!$B$8</f>
        <v>2026/2027</v>
      </c>
      <c r="H1199" s="10">
        <f t="shared" si="73"/>
        <v>0</v>
      </c>
      <c r="I1199" s="10">
        <f t="shared" si="74"/>
        <v>0</v>
      </c>
      <c r="J1199" s="13" t="str">
        <f t="shared" si="75"/>
        <v/>
      </c>
    </row>
    <row r="1200" spans="1:10" x14ac:dyDescent="0.2">
      <c r="A1200" s="10" t="str">
        <f t="shared" si="72"/>
        <v/>
      </c>
      <c r="B1200" s="9"/>
      <c r="C1200" s="8"/>
      <c r="D1200" s="10" t="str">
        <f ca="1">IFERROR(_xludf.XLOOKUP(C1200,STUDENTS!$A$5:$A$204,STUDENTS!$C$5:$C$204,""),"")</f>
        <v/>
      </c>
      <c r="E1200" s="10" t="str">
        <f ca="1">IFERROR(_xludf.XLOOKUP(C1200,STUDENTS!$A$5:$A$204,STUDENTS!$L$5:$L$204,""),"")</f>
        <v/>
      </c>
      <c r="F1200" s="8"/>
      <c r="G1200" s="10" t="str">
        <f>SETTINGS!$B$8</f>
        <v>2026/2027</v>
      </c>
      <c r="H1200" s="10">
        <f t="shared" si="73"/>
        <v>0</v>
      </c>
      <c r="I1200" s="10">
        <f t="shared" si="74"/>
        <v>0</v>
      </c>
      <c r="J1200" s="13" t="str">
        <f t="shared" si="75"/>
        <v/>
      </c>
    </row>
    <row r="1201" spans="1:10" x14ac:dyDescent="0.2">
      <c r="A1201" s="10" t="str">
        <f t="shared" si="72"/>
        <v/>
      </c>
      <c r="B1201" s="9"/>
      <c r="C1201" s="8"/>
      <c r="D1201" s="10" t="str">
        <f ca="1">IFERROR(_xludf.XLOOKUP(C1201,STUDENTS!$A$5:$A$204,STUDENTS!$C$5:$C$204,""),"")</f>
        <v/>
      </c>
      <c r="E1201" s="10" t="str">
        <f ca="1">IFERROR(_xludf.XLOOKUP(C1201,STUDENTS!$A$5:$A$204,STUDENTS!$L$5:$L$204,""),"")</f>
        <v/>
      </c>
      <c r="F1201" s="8"/>
      <c r="G1201" s="10" t="str">
        <f>SETTINGS!$B$8</f>
        <v>2026/2027</v>
      </c>
      <c r="H1201" s="10">
        <f t="shared" si="73"/>
        <v>0</v>
      </c>
      <c r="I1201" s="10">
        <f t="shared" si="74"/>
        <v>0</v>
      </c>
      <c r="J1201" s="13" t="str">
        <f t="shared" si="75"/>
        <v/>
      </c>
    </row>
    <row r="1202" spans="1:10" x14ac:dyDescent="0.2">
      <c r="A1202" s="10" t="str">
        <f t="shared" si="72"/>
        <v/>
      </c>
      <c r="B1202" s="9"/>
      <c r="C1202" s="8"/>
      <c r="D1202" s="10" t="str">
        <f ca="1">IFERROR(_xludf.XLOOKUP(C1202,STUDENTS!$A$5:$A$204,STUDENTS!$C$5:$C$204,""),"")</f>
        <v/>
      </c>
      <c r="E1202" s="10" t="str">
        <f ca="1">IFERROR(_xludf.XLOOKUP(C1202,STUDENTS!$A$5:$A$204,STUDENTS!$L$5:$L$204,""),"")</f>
        <v/>
      </c>
      <c r="F1202" s="8"/>
      <c r="G1202" s="10" t="str">
        <f>SETTINGS!$B$8</f>
        <v>2026/2027</v>
      </c>
      <c r="H1202" s="10">
        <f t="shared" si="73"/>
        <v>0</v>
      </c>
      <c r="I1202" s="10">
        <f t="shared" si="74"/>
        <v>0</v>
      </c>
      <c r="J1202" s="13" t="str">
        <f t="shared" si="75"/>
        <v/>
      </c>
    </row>
    <row r="1203" spans="1:10" x14ac:dyDescent="0.2">
      <c r="A1203" s="10" t="str">
        <f t="shared" si="72"/>
        <v/>
      </c>
      <c r="B1203" s="9"/>
      <c r="C1203" s="8"/>
      <c r="D1203" s="10" t="str">
        <f ca="1">IFERROR(_xludf.XLOOKUP(C1203,STUDENTS!$A$5:$A$204,STUDENTS!$C$5:$C$204,""),"")</f>
        <v/>
      </c>
      <c r="E1203" s="10" t="str">
        <f ca="1">IFERROR(_xludf.XLOOKUP(C1203,STUDENTS!$A$5:$A$204,STUDENTS!$L$5:$L$204,""),"")</f>
        <v/>
      </c>
      <c r="F1203" s="8"/>
      <c r="G1203" s="10" t="str">
        <f>SETTINGS!$B$8</f>
        <v>2026/2027</v>
      </c>
      <c r="H1203" s="10">
        <f t="shared" si="73"/>
        <v>0</v>
      </c>
      <c r="I1203" s="10">
        <f t="shared" si="74"/>
        <v>0</v>
      </c>
      <c r="J1203" s="13" t="str">
        <f t="shared" si="75"/>
        <v/>
      </c>
    </row>
    <row r="1204" spans="1:10" x14ac:dyDescent="0.2">
      <c r="A1204" s="10" t="str">
        <f t="shared" si="72"/>
        <v/>
      </c>
      <c r="B1204" s="9"/>
      <c r="C1204" s="8"/>
      <c r="D1204" s="10" t="str">
        <f ca="1">IFERROR(_xludf.XLOOKUP(C1204,STUDENTS!$A$5:$A$204,STUDENTS!$C$5:$C$204,""),"")</f>
        <v/>
      </c>
      <c r="E1204" s="10" t="str">
        <f ca="1">IFERROR(_xludf.XLOOKUP(C1204,STUDENTS!$A$5:$A$204,STUDENTS!$L$5:$L$204,""),"")</f>
        <v/>
      </c>
      <c r="F1204" s="8"/>
      <c r="G1204" s="10" t="str">
        <f>SETTINGS!$B$8</f>
        <v>2026/2027</v>
      </c>
      <c r="H1204" s="10">
        <f t="shared" si="73"/>
        <v>0</v>
      </c>
      <c r="I1204" s="10">
        <f t="shared" si="74"/>
        <v>0</v>
      </c>
      <c r="J1204" s="13" t="str">
        <f t="shared" si="75"/>
        <v/>
      </c>
    </row>
  </sheetData>
  <mergeCells count="2">
    <mergeCell ref="A1:J1"/>
    <mergeCell ref="A2:J2"/>
  </mergeCells>
  <dataValidations count="1">
    <dataValidation type="list" allowBlank="1" sqref="F5:F1204" xr:uid="{00000000-0002-0000-0600-000000000000}">
      <formula1>"Present,Absent"</formula1>
    </dataValidation>
  </dataValidations>
  <pageMargins left="0.25" right="0.25" top="0.4" bottom="0.4" header="0.2" footer="0.2"/>
  <pageSetup fitToHeight="0" orientation="portrait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O1004"/>
  <sheetViews>
    <sheetView showGridLines="0" workbookViewId="0">
      <pane ySplit="4" topLeftCell="A5" activePane="bottomLeft" state="frozen"/>
      <selection pane="bottomLeft" sqref="A1:O1"/>
    </sheetView>
  </sheetViews>
  <sheetFormatPr baseColWidth="10" defaultColWidth="8.83203125" defaultRowHeight="15" x14ac:dyDescent="0.2"/>
  <cols>
    <col min="1" max="1" width="14" customWidth="1"/>
    <col min="2" max="2" width="16" customWidth="1"/>
    <col min="3" max="3" width="12" customWidth="1"/>
    <col min="4" max="4" width="15" customWidth="1"/>
    <col min="5" max="5" width="28" customWidth="1"/>
    <col min="6" max="6" width="14" customWidth="1"/>
    <col min="7" max="7" width="22" customWidth="1"/>
    <col min="8" max="9" width="12" customWidth="1"/>
    <col min="10" max="11" width="13" customWidth="1"/>
    <col min="12" max="12" width="12" customWidth="1"/>
    <col min="13" max="13" width="10" customWidth="1"/>
    <col min="14" max="14" width="11" customWidth="1"/>
    <col min="15" max="15" width="28" customWidth="1"/>
  </cols>
  <sheetData>
    <row r="1" spans="1:15" ht="32" customHeight="1" x14ac:dyDescent="0.2">
      <c r="A1" s="24" t="s">
        <v>117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</row>
    <row r="2" spans="1:15" ht="22" customHeight="1" x14ac:dyDescent="0.2">
      <c r="A2" s="26" t="s">
        <v>118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</row>
    <row r="4" spans="1:15" ht="30" customHeight="1" x14ac:dyDescent="0.2">
      <c r="A4" s="1" t="s">
        <v>119</v>
      </c>
      <c r="B4" s="1" t="s">
        <v>38</v>
      </c>
      <c r="C4" s="1" t="s">
        <v>120</v>
      </c>
      <c r="D4" s="1" t="s">
        <v>75</v>
      </c>
      <c r="E4" s="1" t="s">
        <v>99</v>
      </c>
      <c r="F4" s="1" t="s">
        <v>86</v>
      </c>
      <c r="G4" s="1" t="s">
        <v>57</v>
      </c>
      <c r="H4" s="1" t="s">
        <v>121</v>
      </c>
      <c r="I4" s="1" t="s">
        <v>122</v>
      </c>
      <c r="J4" s="1" t="s">
        <v>123</v>
      </c>
      <c r="K4" s="1" t="s">
        <v>124</v>
      </c>
      <c r="L4" s="1" t="s">
        <v>125</v>
      </c>
      <c r="M4" s="1" t="s">
        <v>126</v>
      </c>
      <c r="N4" s="1" t="s">
        <v>127</v>
      </c>
      <c r="O4" s="1" t="s">
        <v>128</v>
      </c>
    </row>
    <row r="5" spans="1:15" x14ac:dyDescent="0.2">
      <c r="A5" s="10" t="str">
        <f t="shared" ref="A5:A68" si="0">IF(D5="","","R-"&amp;TEXT(ROW()-4,"00000"))</f>
        <v/>
      </c>
      <c r="B5" s="8"/>
      <c r="C5" s="8"/>
      <c r="D5" s="8"/>
      <c r="E5" s="8" t="str">
        <f ca="1">IFERROR(_xludf.XLOOKUP(D5,STUDENTS!$A$5:$A$204,STUDENTS!$C$5:$C$204,""),"")</f>
        <v/>
      </c>
      <c r="F5" s="8" t="str">
        <f ca="1">IFERROR(_xludf.XLOOKUP(D5,STUDENTS!$A$5:$A$204,STUDENTS!$L$5:$L$204,""),"")</f>
        <v/>
      </c>
      <c r="G5" s="8"/>
      <c r="H5" s="14"/>
      <c r="I5" s="14"/>
      <c r="J5" s="15" t="str">
        <f>IF(H5="","",H5*SETTINGS!$B$9)</f>
        <v/>
      </c>
      <c r="K5" s="15" t="str">
        <f>IF(I5="","",I5*SETTINGS!$B$10)</f>
        <v/>
      </c>
      <c r="L5" s="15" t="str">
        <f t="shared" ref="L5:L68" si="1">IF(OR(H5="",I5=""),"",J5+K5)</f>
        <v/>
      </c>
      <c r="M5" s="10" t="str">
        <f t="shared" ref="M5:M68" si="2">IF(L5="","",IF(L5&gt;=80,"A",IF(L5&gt;=70,"B",IF(L5&gt;=60,"C",IF(L5&gt;=50,"D","F")))))</f>
        <v/>
      </c>
      <c r="N5" s="10" t="str">
        <f t="shared" ref="N5:N68" si="3">IF(L5="","",1+COUNTIFS($F$5:$F$1004,F5,$C$5:$C$1004,C5,$G$5:$G$1004,G5,$L$5:$L$1004,"&gt;"&amp;L5))</f>
        <v/>
      </c>
      <c r="O5" s="8"/>
    </row>
    <row r="6" spans="1:15" x14ac:dyDescent="0.2">
      <c r="A6" s="10" t="str">
        <f t="shared" si="0"/>
        <v/>
      </c>
      <c r="B6" s="8"/>
      <c r="C6" s="8"/>
      <c r="D6" s="8"/>
      <c r="E6" s="8" t="str">
        <f ca="1">IFERROR(_xludf.XLOOKUP(D6,STUDENTS!$A$5:$A$204,STUDENTS!$C$5:$C$204,""),"")</f>
        <v/>
      </c>
      <c r="F6" s="8" t="str">
        <f ca="1">IFERROR(_xludf.XLOOKUP(D6,STUDENTS!$A$5:$A$204,STUDENTS!$L$5:$L$204,""),"")</f>
        <v/>
      </c>
      <c r="G6" s="8"/>
      <c r="H6" s="14"/>
      <c r="I6" s="14"/>
      <c r="J6" s="15" t="str">
        <f>IF(H6="","",H6*SETTINGS!$B$9)</f>
        <v/>
      </c>
      <c r="K6" s="15" t="str">
        <f>IF(I6="","",I6*SETTINGS!$B$10)</f>
        <v/>
      </c>
      <c r="L6" s="15" t="str">
        <f t="shared" si="1"/>
        <v/>
      </c>
      <c r="M6" s="10" t="str">
        <f t="shared" si="2"/>
        <v/>
      </c>
      <c r="N6" s="10" t="str">
        <f t="shared" si="3"/>
        <v/>
      </c>
      <c r="O6" s="8"/>
    </row>
    <row r="7" spans="1:15" x14ac:dyDescent="0.2">
      <c r="A7" s="10" t="str">
        <f t="shared" si="0"/>
        <v/>
      </c>
      <c r="B7" s="8"/>
      <c r="C7" s="8"/>
      <c r="D7" s="8"/>
      <c r="E7" s="8" t="str">
        <f ca="1">IFERROR(_xludf.XLOOKUP(D7,STUDENTS!$A$5:$A$204,STUDENTS!$C$5:$C$204,""),"")</f>
        <v/>
      </c>
      <c r="F7" s="8" t="str">
        <f ca="1">IFERROR(_xludf.XLOOKUP(D7,STUDENTS!$A$5:$A$204,STUDENTS!$L$5:$L$204,""),"")</f>
        <v/>
      </c>
      <c r="G7" s="8"/>
      <c r="H7" s="14"/>
      <c r="I7" s="14"/>
      <c r="J7" s="15" t="str">
        <f>IF(H7="","",H7*SETTINGS!$B$9)</f>
        <v/>
      </c>
      <c r="K7" s="15" t="str">
        <f>IF(I7="","",I7*SETTINGS!$B$10)</f>
        <v/>
      </c>
      <c r="L7" s="15" t="str">
        <f t="shared" si="1"/>
        <v/>
      </c>
      <c r="M7" s="10" t="str">
        <f t="shared" si="2"/>
        <v/>
      </c>
      <c r="N7" s="10" t="str">
        <f t="shared" si="3"/>
        <v/>
      </c>
      <c r="O7" s="8"/>
    </row>
    <row r="8" spans="1:15" x14ac:dyDescent="0.2">
      <c r="A8" s="10" t="str">
        <f t="shared" si="0"/>
        <v/>
      </c>
      <c r="B8" s="8"/>
      <c r="C8" s="8"/>
      <c r="D8" s="8"/>
      <c r="E8" s="8" t="str">
        <f ca="1">IFERROR(_xludf.XLOOKUP(D8,STUDENTS!$A$5:$A$204,STUDENTS!$C$5:$C$204,""),"")</f>
        <v/>
      </c>
      <c r="F8" s="8" t="str">
        <f ca="1">IFERROR(_xludf.XLOOKUP(D8,STUDENTS!$A$5:$A$204,STUDENTS!$L$5:$L$204,""),"")</f>
        <v/>
      </c>
      <c r="G8" s="8"/>
      <c r="H8" s="14"/>
      <c r="I8" s="14"/>
      <c r="J8" s="15" t="str">
        <f>IF(H8="","",H8*SETTINGS!$B$9)</f>
        <v/>
      </c>
      <c r="K8" s="15" t="str">
        <f>IF(I8="","",I8*SETTINGS!$B$10)</f>
        <v/>
      </c>
      <c r="L8" s="15" t="str">
        <f t="shared" si="1"/>
        <v/>
      </c>
      <c r="M8" s="10" t="str">
        <f t="shared" si="2"/>
        <v/>
      </c>
      <c r="N8" s="10" t="str">
        <f t="shared" si="3"/>
        <v/>
      </c>
      <c r="O8" s="8"/>
    </row>
    <row r="9" spans="1:15" x14ac:dyDescent="0.2">
      <c r="A9" s="10" t="str">
        <f t="shared" si="0"/>
        <v/>
      </c>
      <c r="B9" s="8"/>
      <c r="C9" s="8"/>
      <c r="D9" s="8"/>
      <c r="E9" s="8" t="str">
        <f ca="1">IFERROR(_xludf.XLOOKUP(D9,STUDENTS!$A$5:$A$204,STUDENTS!$C$5:$C$204,""),"")</f>
        <v/>
      </c>
      <c r="F9" s="8" t="str">
        <f ca="1">IFERROR(_xludf.XLOOKUP(D9,STUDENTS!$A$5:$A$204,STUDENTS!$L$5:$L$204,""),"")</f>
        <v/>
      </c>
      <c r="G9" s="8"/>
      <c r="H9" s="14"/>
      <c r="I9" s="14"/>
      <c r="J9" s="15" t="str">
        <f>IF(H9="","",H9*SETTINGS!$B$9)</f>
        <v/>
      </c>
      <c r="K9" s="15" t="str">
        <f>IF(I9="","",I9*SETTINGS!$B$10)</f>
        <v/>
      </c>
      <c r="L9" s="15" t="str">
        <f t="shared" si="1"/>
        <v/>
      </c>
      <c r="M9" s="10" t="str">
        <f t="shared" si="2"/>
        <v/>
      </c>
      <c r="N9" s="10" t="str">
        <f t="shared" si="3"/>
        <v/>
      </c>
      <c r="O9" s="8"/>
    </row>
    <row r="10" spans="1:15" x14ac:dyDescent="0.2">
      <c r="A10" s="10" t="str">
        <f t="shared" si="0"/>
        <v/>
      </c>
      <c r="B10" s="8"/>
      <c r="C10" s="8"/>
      <c r="D10" s="8"/>
      <c r="E10" s="8" t="str">
        <f ca="1">IFERROR(_xludf.XLOOKUP(D10,STUDENTS!$A$5:$A$204,STUDENTS!$C$5:$C$204,""),"")</f>
        <v/>
      </c>
      <c r="F10" s="8" t="str">
        <f ca="1">IFERROR(_xludf.XLOOKUP(D10,STUDENTS!$A$5:$A$204,STUDENTS!$L$5:$L$204,""),"")</f>
        <v/>
      </c>
      <c r="G10" s="8"/>
      <c r="H10" s="14"/>
      <c r="I10" s="14"/>
      <c r="J10" s="15" t="str">
        <f>IF(H10="","",H10*SETTINGS!$B$9)</f>
        <v/>
      </c>
      <c r="K10" s="15" t="str">
        <f>IF(I10="","",I10*SETTINGS!$B$10)</f>
        <v/>
      </c>
      <c r="L10" s="15" t="str">
        <f t="shared" si="1"/>
        <v/>
      </c>
      <c r="M10" s="10" t="str">
        <f t="shared" si="2"/>
        <v/>
      </c>
      <c r="N10" s="10" t="str">
        <f t="shared" si="3"/>
        <v/>
      </c>
      <c r="O10" s="8"/>
    </row>
    <row r="11" spans="1:15" x14ac:dyDescent="0.2">
      <c r="A11" s="10" t="str">
        <f t="shared" si="0"/>
        <v/>
      </c>
      <c r="B11" s="8"/>
      <c r="C11" s="8"/>
      <c r="D11" s="8"/>
      <c r="E11" s="8" t="str">
        <f ca="1">IFERROR(_xludf.XLOOKUP(D11,STUDENTS!$A$5:$A$204,STUDENTS!$C$5:$C$204,""),"")</f>
        <v/>
      </c>
      <c r="F11" s="8" t="str">
        <f ca="1">IFERROR(_xludf.XLOOKUP(D11,STUDENTS!$A$5:$A$204,STUDENTS!$L$5:$L$204,""),"")</f>
        <v/>
      </c>
      <c r="G11" s="8"/>
      <c r="H11" s="14"/>
      <c r="I11" s="14"/>
      <c r="J11" s="15" t="str">
        <f>IF(H11="","",H11*SETTINGS!$B$9)</f>
        <v/>
      </c>
      <c r="K11" s="15" t="str">
        <f>IF(I11="","",I11*SETTINGS!$B$10)</f>
        <v/>
      </c>
      <c r="L11" s="15" t="str">
        <f t="shared" si="1"/>
        <v/>
      </c>
      <c r="M11" s="10" t="str">
        <f t="shared" si="2"/>
        <v/>
      </c>
      <c r="N11" s="10" t="str">
        <f t="shared" si="3"/>
        <v/>
      </c>
      <c r="O11" s="8"/>
    </row>
    <row r="12" spans="1:15" x14ac:dyDescent="0.2">
      <c r="A12" s="10" t="str">
        <f t="shared" si="0"/>
        <v/>
      </c>
      <c r="B12" s="8"/>
      <c r="C12" s="8"/>
      <c r="D12" s="8"/>
      <c r="E12" s="8" t="str">
        <f ca="1">IFERROR(_xludf.XLOOKUP(D12,STUDENTS!$A$5:$A$204,STUDENTS!$C$5:$C$204,""),"")</f>
        <v/>
      </c>
      <c r="F12" s="8" t="str">
        <f ca="1">IFERROR(_xludf.XLOOKUP(D12,STUDENTS!$A$5:$A$204,STUDENTS!$L$5:$L$204,""),"")</f>
        <v/>
      </c>
      <c r="G12" s="8"/>
      <c r="H12" s="14"/>
      <c r="I12" s="14"/>
      <c r="J12" s="15" t="str">
        <f>IF(H12="","",H12*SETTINGS!$B$9)</f>
        <v/>
      </c>
      <c r="K12" s="15" t="str">
        <f>IF(I12="","",I12*SETTINGS!$B$10)</f>
        <v/>
      </c>
      <c r="L12" s="15" t="str">
        <f t="shared" si="1"/>
        <v/>
      </c>
      <c r="M12" s="10" t="str">
        <f t="shared" si="2"/>
        <v/>
      </c>
      <c r="N12" s="10" t="str">
        <f t="shared" si="3"/>
        <v/>
      </c>
      <c r="O12" s="8"/>
    </row>
    <row r="13" spans="1:15" x14ac:dyDescent="0.2">
      <c r="A13" s="10" t="str">
        <f t="shared" si="0"/>
        <v/>
      </c>
      <c r="B13" s="8"/>
      <c r="C13" s="8"/>
      <c r="D13" s="8"/>
      <c r="E13" s="8" t="str">
        <f ca="1">IFERROR(_xludf.XLOOKUP(D13,STUDENTS!$A$5:$A$204,STUDENTS!$C$5:$C$204,""),"")</f>
        <v/>
      </c>
      <c r="F13" s="8" t="str">
        <f ca="1">IFERROR(_xludf.XLOOKUP(D13,STUDENTS!$A$5:$A$204,STUDENTS!$L$5:$L$204,""),"")</f>
        <v/>
      </c>
      <c r="G13" s="8"/>
      <c r="H13" s="14"/>
      <c r="I13" s="14"/>
      <c r="J13" s="15" t="str">
        <f>IF(H13="","",H13*SETTINGS!$B$9)</f>
        <v/>
      </c>
      <c r="K13" s="15" t="str">
        <f>IF(I13="","",I13*SETTINGS!$B$10)</f>
        <v/>
      </c>
      <c r="L13" s="15" t="str">
        <f t="shared" si="1"/>
        <v/>
      </c>
      <c r="M13" s="10" t="str">
        <f t="shared" si="2"/>
        <v/>
      </c>
      <c r="N13" s="10" t="str">
        <f t="shared" si="3"/>
        <v/>
      </c>
      <c r="O13" s="8"/>
    </row>
    <row r="14" spans="1:15" x14ac:dyDescent="0.2">
      <c r="A14" s="10" t="str">
        <f t="shared" si="0"/>
        <v/>
      </c>
      <c r="B14" s="8"/>
      <c r="C14" s="8"/>
      <c r="D14" s="8"/>
      <c r="E14" s="8" t="str">
        <f ca="1">IFERROR(_xludf.XLOOKUP(D14,STUDENTS!$A$5:$A$204,STUDENTS!$C$5:$C$204,""),"")</f>
        <v/>
      </c>
      <c r="F14" s="8" t="str">
        <f ca="1">IFERROR(_xludf.XLOOKUP(D14,STUDENTS!$A$5:$A$204,STUDENTS!$L$5:$L$204,""),"")</f>
        <v/>
      </c>
      <c r="G14" s="8"/>
      <c r="H14" s="14"/>
      <c r="I14" s="14"/>
      <c r="J14" s="15" t="str">
        <f>IF(H14="","",H14*SETTINGS!$B$9)</f>
        <v/>
      </c>
      <c r="K14" s="15" t="str">
        <f>IF(I14="","",I14*SETTINGS!$B$10)</f>
        <v/>
      </c>
      <c r="L14" s="15" t="str">
        <f t="shared" si="1"/>
        <v/>
      </c>
      <c r="M14" s="10" t="str">
        <f t="shared" si="2"/>
        <v/>
      </c>
      <c r="N14" s="10" t="str">
        <f t="shared" si="3"/>
        <v/>
      </c>
      <c r="O14" s="8"/>
    </row>
    <row r="15" spans="1:15" x14ac:dyDescent="0.2">
      <c r="A15" s="10" t="str">
        <f t="shared" si="0"/>
        <v/>
      </c>
      <c r="B15" s="8"/>
      <c r="C15" s="8"/>
      <c r="D15" s="8"/>
      <c r="E15" s="8" t="str">
        <f ca="1">IFERROR(_xludf.XLOOKUP(D15,STUDENTS!$A$5:$A$204,STUDENTS!$C$5:$C$204,""),"")</f>
        <v/>
      </c>
      <c r="F15" s="8" t="str">
        <f ca="1">IFERROR(_xludf.XLOOKUP(D15,STUDENTS!$A$5:$A$204,STUDENTS!$L$5:$L$204,""),"")</f>
        <v/>
      </c>
      <c r="G15" s="8"/>
      <c r="H15" s="14"/>
      <c r="I15" s="14"/>
      <c r="J15" s="15" t="str">
        <f>IF(H15="","",H15*SETTINGS!$B$9)</f>
        <v/>
      </c>
      <c r="K15" s="15" t="str">
        <f>IF(I15="","",I15*SETTINGS!$B$10)</f>
        <v/>
      </c>
      <c r="L15" s="15" t="str">
        <f t="shared" si="1"/>
        <v/>
      </c>
      <c r="M15" s="10" t="str">
        <f t="shared" si="2"/>
        <v/>
      </c>
      <c r="N15" s="10" t="str">
        <f t="shared" si="3"/>
        <v/>
      </c>
      <c r="O15" s="8"/>
    </row>
    <row r="16" spans="1:15" x14ac:dyDescent="0.2">
      <c r="A16" s="10" t="str">
        <f t="shared" si="0"/>
        <v/>
      </c>
      <c r="B16" s="8"/>
      <c r="C16" s="8"/>
      <c r="D16" s="8"/>
      <c r="E16" s="8" t="str">
        <f ca="1">IFERROR(_xludf.XLOOKUP(D16,STUDENTS!$A$5:$A$204,STUDENTS!$C$5:$C$204,""),"")</f>
        <v/>
      </c>
      <c r="F16" s="8" t="str">
        <f ca="1">IFERROR(_xludf.XLOOKUP(D16,STUDENTS!$A$5:$A$204,STUDENTS!$L$5:$L$204,""),"")</f>
        <v/>
      </c>
      <c r="G16" s="8"/>
      <c r="H16" s="14"/>
      <c r="I16" s="14"/>
      <c r="J16" s="15" t="str">
        <f>IF(H16="","",H16*SETTINGS!$B$9)</f>
        <v/>
      </c>
      <c r="K16" s="15" t="str">
        <f>IF(I16="","",I16*SETTINGS!$B$10)</f>
        <v/>
      </c>
      <c r="L16" s="15" t="str">
        <f t="shared" si="1"/>
        <v/>
      </c>
      <c r="M16" s="10" t="str">
        <f t="shared" si="2"/>
        <v/>
      </c>
      <c r="N16" s="10" t="str">
        <f t="shared" si="3"/>
        <v/>
      </c>
      <c r="O16" s="8"/>
    </row>
    <row r="17" spans="1:15" x14ac:dyDescent="0.2">
      <c r="A17" s="10" t="str">
        <f t="shared" si="0"/>
        <v/>
      </c>
      <c r="B17" s="8"/>
      <c r="C17" s="8"/>
      <c r="D17" s="8"/>
      <c r="E17" s="8" t="str">
        <f ca="1">IFERROR(_xludf.XLOOKUP(D17,STUDENTS!$A$5:$A$204,STUDENTS!$C$5:$C$204,""),"")</f>
        <v/>
      </c>
      <c r="F17" s="8" t="str">
        <f ca="1">IFERROR(_xludf.XLOOKUP(D17,STUDENTS!$A$5:$A$204,STUDENTS!$L$5:$L$204,""),"")</f>
        <v/>
      </c>
      <c r="G17" s="8"/>
      <c r="H17" s="14"/>
      <c r="I17" s="14"/>
      <c r="J17" s="15" t="str">
        <f>IF(H17="","",H17*SETTINGS!$B$9)</f>
        <v/>
      </c>
      <c r="K17" s="15" t="str">
        <f>IF(I17="","",I17*SETTINGS!$B$10)</f>
        <v/>
      </c>
      <c r="L17" s="15" t="str">
        <f t="shared" si="1"/>
        <v/>
      </c>
      <c r="M17" s="10" t="str">
        <f t="shared" si="2"/>
        <v/>
      </c>
      <c r="N17" s="10" t="str">
        <f t="shared" si="3"/>
        <v/>
      </c>
      <c r="O17" s="8"/>
    </row>
    <row r="18" spans="1:15" x14ac:dyDescent="0.2">
      <c r="A18" s="10" t="str">
        <f t="shared" si="0"/>
        <v/>
      </c>
      <c r="B18" s="8"/>
      <c r="C18" s="8"/>
      <c r="D18" s="8"/>
      <c r="E18" s="8" t="str">
        <f ca="1">IFERROR(_xludf.XLOOKUP(D18,STUDENTS!$A$5:$A$204,STUDENTS!$C$5:$C$204,""),"")</f>
        <v/>
      </c>
      <c r="F18" s="8" t="str">
        <f ca="1">IFERROR(_xludf.XLOOKUP(D18,STUDENTS!$A$5:$A$204,STUDENTS!$L$5:$L$204,""),"")</f>
        <v/>
      </c>
      <c r="G18" s="8"/>
      <c r="H18" s="14"/>
      <c r="I18" s="14"/>
      <c r="J18" s="15" t="str">
        <f>IF(H18="","",H18*SETTINGS!$B$9)</f>
        <v/>
      </c>
      <c r="K18" s="15" t="str">
        <f>IF(I18="","",I18*SETTINGS!$B$10)</f>
        <v/>
      </c>
      <c r="L18" s="15" t="str">
        <f t="shared" si="1"/>
        <v/>
      </c>
      <c r="M18" s="10" t="str">
        <f t="shared" si="2"/>
        <v/>
      </c>
      <c r="N18" s="10" t="str">
        <f t="shared" si="3"/>
        <v/>
      </c>
      <c r="O18" s="8"/>
    </row>
    <row r="19" spans="1:15" x14ac:dyDescent="0.2">
      <c r="A19" s="10" t="str">
        <f t="shared" si="0"/>
        <v/>
      </c>
      <c r="B19" s="8"/>
      <c r="C19" s="8"/>
      <c r="D19" s="8"/>
      <c r="E19" s="8" t="str">
        <f ca="1">IFERROR(_xludf.XLOOKUP(D19,STUDENTS!$A$5:$A$204,STUDENTS!$C$5:$C$204,""),"")</f>
        <v/>
      </c>
      <c r="F19" s="8" t="str">
        <f ca="1">IFERROR(_xludf.XLOOKUP(D19,STUDENTS!$A$5:$A$204,STUDENTS!$L$5:$L$204,""),"")</f>
        <v/>
      </c>
      <c r="G19" s="8"/>
      <c r="H19" s="14"/>
      <c r="I19" s="14"/>
      <c r="J19" s="15" t="str">
        <f>IF(H19="","",H19*SETTINGS!$B$9)</f>
        <v/>
      </c>
      <c r="K19" s="15" t="str">
        <f>IF(I19="","",I19*SETTINGS!$B$10)</f>
        <v/>
      </c>
      <c r="L19" s="15" t="str">
        <f t="shared" si="1"/>
        <v/>
      </c>
      <c r="M19" s="10" t="str">
        <f t="shared" si="2"/>
        <v/>
      </c>
      <c r="N19" s="10" t="str">
        <f t="shared" si="3"/>
        <v/>
      </c>
      <c r="O19" s="8"/>
    </row>
    <row r="20" spans="1:15" x14ac:dyDescent="0.2">
      <c r="A20" s="10" t="str">
        <f t="shared" si="0"/>
        <v/>
      </c>
      <c r="B20" s="8"/>
      <c r="C20" s="8"/>
      <c r="D20" s="8"/>
      <c r="E20" s="8" t="str">
        <f ca="1">IFERROR(_xludf.XLOOKUP(D20,STUDENTS!$A$5:$A$204,STUDENTS!$C$5:$C$204,""),"")</f>
        <v/>
      </c>
      <c r="F20" s="8" t="str">
        <f ca="1">IFERROR(_xludf.XLOOKUP(D20,STUDENTS!$A$5:$A$204,STUDENTS!$L$5:$L$204,""),"")</f>
        <v/>
      </c>
      <c r="G20" s="8"/>
      <c r="H20" s="14"/>
      <c r="I20" s="14"/>
      <c r="J20" s="15" t="str">
        <f>IF(H20="","",H20*SETTINGS!$B$9)</f>
        <v/>
      </c>
      <c r="K20" s="15" t="str">
        <f>IF(I20="","",I20*SETTINGS!$B$10)</f>
        <v/>
      </c>
      <c r="L20" s="15" t="str">
        <f t="shared" si="1"/>
        <v/>
      </c>
      <c r="M20" s="10" t="str">
        <f t="shared" si="2"/>
        <v/>
      </c>
      <c r="N20" s="10" t="str">
        <f t="shared" si="3"/>
        <v/>
      </c>
      <c r="O20" s="8"/>
    </row>
    <row r="21" spans="1:15" x14ac:dyDescent="0.2">
      <c r="A21" s="10" t="str">
        <f t="shared" si="0"/>
        <v/>
      </c>
      <c r="B21" s="8"/>
      <c r="C21" s="8"/>
      <c r="D21" s="8"/>
      <c r="E21" s="8" t="str">
        <f ca="1">IFERROR(_xludf.XLOOKUP(D21,STUDENTS!$A$5:$A$204,STUDENTS!$C$5:$C$204,""),"")</f>
        <v/>
      </c>
      <c r="F21" s="8" t="str">
        <f ca="1">IFERROR(_xludf.XLOOKUP(D21,STUDENTS!$A$5:$A$204,STUDENTS!$L$5:$L$204,""),"")</f>
        <v/>
      </c>
      <c r="G21" s="8"/>
      <c r="H21" s="14"/>
      <c r="I21" s="14"/>
      <c r="J21" s="15" t="str">
        <f>IF(H21="","",H21*SETTINGS!$B$9)</f>
        <v/>
      </c>
      <c r="K21" s="15" t="str">
        <f>IF(I21="","",I21*SETTINGS!$B$10)</f>
        <v/>
      </c>
      <c r="L21" s="15" t="str">
        <f t="shared" si="1"/>
        <v/>
      </c>
      <c r="M21" s="10" t="str">
        <f t="shared" si="2"/>
        <v/>
      </c>
      <c r="N21" s="10" t="str">
        <f t="shared" si="3"/>
        <v/>
      </c>
      <c r="O21" s="8"/>
    </row>
    <row r="22" spans="1:15" x14ac:dyDescent="0.2">
      <c r="A22" s="10" t="str">
        <f t="shared" si="0"/>
        <v/>
      </c>
      <c r="B22" s="8"/>
      <c r="C22" s="8"/>
      <c r="D22" s="8"/>
      <c r="E22" s="8" t="str">
        <f ca="1">IFERROR(_xludf.XLOOKUP(D22,STUDENTS!$A$5:$A$204,STUDENTS!$C$5:$C$204,""),"")</f>
        <v/>
      </c>
      <c r="F22" s="8" t="str">
        <f ca="1">IFERROR(_xludf.XLOOKUP(D22,STUDENTS!$A$5:$A$204,STUDENTS!$L$5:$L$204,""),"")</f>
        <v/>
      </c>
      <c r="G22" s="8"/>
      <c r="H22" s="14"/>
      <c r="I22" s="14"/>
      <c r="J22" s="15" t="str">
        <f>IF(H22="","",H22*SETTINGS!$B$9)</f>
        <v/>
      </c>
      <c r="K22" s="15" t="str">
        <f>IF(I22="","",I22*SETTINGS!$B$10)</f>
        <v/>
      </c>
      <c r="L22" s="15" t="str">
        <f t="shared" si="1"/>
        <v/>
      </c>
      <c r="M22" s="10" t="str">
        <f t="shared" si="2"/>
        <v/>
      </c>
      <c r="N22" s="10" t="str">
        <f t="shared" si="3"/>
        <v/>
      </c>
      <c r="O22" s="8"/>
    </row>
    <row r="23" spans="1:15" x14ac:dyDescent="0.2">
      <c r="A23" s="10" t="str">
        <f t="shared" si="0"/>
        <v/>
      </c>
      <c r="B23" s="8"/>
      <c r="C23" s="8"/>
      <c r="D23" s="8"/>
      <c r="E23" s="8" t="str">
        <f ca="1">IFERROR(_xludf.XLOOKUP(D23,STUDENTS!$A$5:$A$204,STUDENTS!$C$5:$C$204,""),"")</f>
        <v/>
      </c>
      <c r="F23" s="8" t="str">
        <f ca="1">IFERROR(_xludf.XLOOKUP(D23,STUDENTS!$A$5:$A$204,STUDENTS!$L$5:$L$204,""),"")</f>
        <v/>
      </c>
      <c r="G23" s="8"/>
      <c r="H23" s="14"/>
      <c r="I23" s="14"/>
      <c r="J23" s="15" t="str">
        <f>IF(H23="","",H23*SETTINGS!$B$9)</f>
        <v/>
      </c>
      <c r="K23" s="15" t="str">
        <f>IF(I23="","",I23*SETTINGS!$B$10)</f>
        <v/>
      </c>
      <c r="L23" s="15" t="str">
        <f t="shared" si="1"/>
        <v/>
      </c>
      <c r="M23" s="10" t="str">
        <f t="shared" si="2"/>
        <v/>
      </c>
      <c r="N23" s="10" t="str">
        <f t="shared" si="3"/>
        <v/>
      </c>
      <c r="O23" s="8"/>
    </row>
    <row r="24" spans="1:15" x14ac:dyDescent="0.2">
      <c r="A24" s="10" t="str">
        <f t="shared" si="0"/>
        <v/>
      </c>
      <c r="B24" s="8"/>
      <c r="C24" s="8"/>
      <c r="D24" s="8"/>
      <c r="E24" s="8" t="str">
        <f ca="1">IFERROR(_xludf.XLOOKUP(D24,STUDENTS!$A$5:$A$204,STUDENTS!$C$5:$C$204,""),"")</f>
        <v/>
      </c>
      <c r="F24" s="8" t="str">
        <f ca="1">IFERROR(_xludf.XLOOKUP(D24,STUDENTS!$A$5:$A$204,STUDENTS!$L$5:$L$204,""),"")</f>
        <v/>
      </c>
      <c r="G24" s="8"/>
      <c r="H24" s="14"/>
      <c r="I24" s="14"/>
      <c r="J24" s="15" t="str">
        <f>IF(H24="","",H24*SETTINGS!$B$9)</f>
        <v/>
      </c>
      <c r="K24" s="15" t="str">
        <f>IF(I24="","",I24*SETTINGS!$B$10)</f>
        <v/>
      </c>
      <c r="L24" s="15" t="str">
        <f t="shared" si="1"/>
        <v/>
      </c>
      <c r="M24" s="10" t="str">
        <f t="shared" si="2"/>
        <v/>
      </c>
      <c r="N24" s="10" t="str">
        <f t="shared" si="3"/>
        <v/>
      </c>
      <c r="O24" s="8"/>
    </row>
    <row r="25" spans="1:15" x14ac:dyDescent="0.2">
      <c r="A25" s="10" t="str">
        <f t="shared" si="0"/>
        <v/>
      </c>
      <c r="B25" s="8"/>
      <c r="C25" s="8"/>
      <c r="D25" s="8"/>
      <c r="E25" s="8" t="str">
        <f ca="1">IFERROR(_xludf.XLOOKUP(D25,STUDENTS!$A$5:$A$204,STUDENTS!$C$5:$C$204,""),"")</f>
        <v/>
      </c>
      <c r="F25" s="8" t="str">
        <f ca="1">IFERROR(_xludf.XLOOKUP(D25,STUDENTS!$A$5:$A$204,STUDENTS!$L$5:$L$204,""),"")</f>
        <v/>
      </c>
      <c r="G25" s="8"/>
      <c r="H25" s="14"/>
      <c r="I25" s="14"/>
      <c r="J25" s="15" t="str">
        <f>IF(H25="","",H25*SETTINGS!$B$9)</f>
        <v/>
      </c>
      <c r="K25" s="15" t="str">
        <f>IF(I25="","",I25*SETTINGS!$B$10)</f>
        <v/>
      </c>
      <c r="L25" s="15" t="str">
        <f t="shared" si="1"/>
        <v/>
      </c>
      <c r="M25" s="10" t="str">
        <f t="shared" si="2"/>
        <v/>
      </c>
      <c r="N25" s="10" t="str">
        <f t="shared" si="3"/>
        <v/>
      </c>
      <c r="O25" s="8"/>
    </row>
    <row r="26" spans="1:15" x14ac:dyDescent="0.2">
      <c r="A26" s="10" t="str">
        <f t="shared" si="0"/>
        <v/>
      </c>
      <c r="B26" s="8"/>
      <c r="C26" s="8"/>
      <c r="D26" s="8"/>
      <c r="E26" s="8" t="str">
        <f ca="1">IFERROR(_xludf.XLOOKUP(D26,STUDENTS!$A$5:$A$204,STUDENTS!$C$5:$C$204,""),"")</f>
        <v/>
      </c>
      <c r="F26" s="8" t="str">
        <f ca="1">IFERROR(_xludf.XLOOKUP(D26,STUDENTS!$A$5:$A$204,STUDENTS!$L$5:$L$204,""),"")</f>
        <v/>
      </c>
      <c r="G26" s="8"/>
      <c r="H26" s="14"/>
      <c r="I26" s="14"/>
      <c r="J26" s="15" t="str">
        <f>IF(H26="","",H26*SETTINGS!$B$9)</f>
        <v/>
      </c>
      <c r="K26" s="15" t="str">
        <f>IF(I26="","",I26*SETTINGS!$B$10)</f>
        <v/>
      </c>
      <c r="L26" s="15" t="str">
        <f t="shared" si="1"/>
        <v/>
      </c>
      <c r="M26" s="10" t="str">
        <f t="shared" si="2"/>
        <v/>
      </c>
      <c r="N26" s="10" t="str">
        <f t="shared" si="3"/>
        <v/>
      </c>
      <c r="O26" s="8"/>
    </row>
    <row r="27" spans="1:15" x14ac:dyDescent="0.2">
      <c r="A27" s="10" t="str">
        <f t="shared" si="0"/>
        <v/>
      </c>
      <c r="B27" s="8"/>
      <c r="C27" s="8"/>
      <c r="D27" s="8"/>
      <c r="E27" s="8" t="str">
        <f ca="1">IFERROR(_xludf.XLOOKUP(D27,STUDENTS!$A$5:$A$204,STUDENTS!$C$5:$C$204,""),"")</f>
        <v/>
      </c>
      <c r="F27" s="8" t="str">
        <f ca="1">IFERROR(_xludf.XLOOKUP(D27,STUDENTS!$A$5:$A$204,STUDENTS!$L$5:$L$204,""),"")</f>
        <v/>
      </c>
      <c r="G27" s="8"/>
      <c r="H27" s="14"/>
      <c r="I27" s="14"/>
      <c r="J27" s="15" t="str">
        <f>IF(H27="","",H27*SETTINGS!$B$9)</f>
        <v/>
      </c>
      <c r="K27" s="15" t="str">
        <f>IF(I27="","",I27*SETTINGS!$B$10)</f>
        <v/>
      </c>
      <c r="L27" s="15" t="str">
        <f t="shared" si="1"/>
        <v/>
      </c>
      <c r="M27" s="10" t="str">
        <f t="shared" si="2"/>
        <v/>
      </c>
      <c r="N27" s="10" t="str">
        <f t="shared" si="3"/>
        <v/>
      </c>
      <c r="O27" s="8"/>
    </row>
    <row r="28" spans="1:15" x14ac:dyDescent="0.2">
      <c r="A28" s="10" t="str">
        <f t="shared" si="0"/>
        <v/>
      </c>
      <c r="B28" s="8"/>
      <c r="C28" s="8"/>
      <c r="D28" s="8"/>
      <c r="E28" s="8" t="str">
        <f ca="1">IFERROR(_xludf.XLOOKUP(D28,STUDENTS!$A$5:$A$204,STUDENTS!$C$5:$C$204,""),"")</f>
        <v/>
      </c>
      <c r="F28" s="8" t="str">
        <f ca="1">IFERROR(_xludf.XLOOKUP(D28,STUDENTS!$A$5:$A$204,STUDENTS!$L$5:$L$204,""),"")</f>
        <v/>
      </c>
      <c r="G28" s="8"/>
      <c r="H28" s="14"/>
      <c r="I28" s="14"/>
      <c r="J28" s="15" t="str">
        <f>IF(H28="","",H28*SETTINGS!$B$9)</f>
        <v/>
      </c>
      <c r="K28" s="15" t="str">
        <f>IF(I28="","",I28*SETTINGS!$B$10)</f>
        <v/>
      </c>
      <c r="L28" s="15" t="str">
        <f t="shared" si="1"/>
        <v/>
      </c>
      <c r="M28" s="10" t="str">
        <f t="shared" si="2"/>
        <v/>
      </c>
      <c r="N28" s="10" t="str">
        <f t="shared" si="3"/>
        <v/>
      </c>
      <c r="O28" s="8"/>
    </row>
    <row r="29" spans="1:15" x14ac:dyDescent="0.2">
      <c r="A29" s="10" t="str">
        <f t="shared" si="0"/>
        <v/>
      </c>
      <c r="B29" s="8"/>
      <c r="C29" s="8"/>
      <c r="D29" s="8"/>
      <c r="E29" s="8" t="str">
        <f ca="1">IFERROR(_xludf.XLOOKUP(D29,STUDENTS!$A$5:$A$204,STUDENTS!$C$5:$C$204,""),"")</f>
        <v/>
      </c>
      <c r="F29" s="8" t="str">
        <f ca="1">IFERROR(_xludf.XLOOKUP(D29,STUDENTS!$A$5:$A$204,STUDENTS!$L$5:$L$204,""),"")</f>
        <v/>
      </c>
      <c r="G29" s="8"/>
      <c r="H29" s="14"/>
      <c r="I29" s="14"/>
      <c r="J29" s="15" t="str">
        <f>IF(H29="","",H29*SETTINGS!$B$9)</f>
        <v/>
      </c>
      <c r="K29" s="15" t="str">
        <f>IF(I29="","",I29*SETTINGS!$B$10)</f>
        <v/>
      </c>
      <c r="L29" s="15" t="str">
        <f t="shared" si="1"/>
        <v/>
      </c>
      <c r="M29" s="10" t="str">
        <f t="shared" si="2"/>
        <v/>
      </c>
      <c r="N29" s="10" t="str">
        <f t="shared" si="3"/>
        <v/>
      </c>
      <c r="O29" s="8"/>
    </row>
    <row r="30" spans="1:15" x14ac:dyDescent="0.2">
      <c r="A30" s="10" t="str">
        <f t="shared" si="0"/>
        <v/>
      </c>
      <c r="B30" s="8"/>
      <c r="C30" s="8"/>
      <c r="D30" s="8"/>
      <c r="E30" s="8" t="str">
        <f ca="1">IFERROR(_xludf.XLOOKUP(D30,STUDENTS!$A$5:$A$204,STUDENTS!$C$5:$C$204,""),"")</f>
        <v/>
      </c>
      <c r="F30" s="8" t="str">
        <f ca="1">IFERROR(_xludf.XLOOKUP(D30,STUDENTS!$A$5:$A$204,STUDENTS!$L$5:$L$204,""),"")</f>
        <v/>
      </c>
      <c r="G30" s="8"/>
      <c r="H30" s="14"/>
      <c r="I30" s="14"/>
      <c r="J30" s="15" t="str">
        <f>IF(H30="","",H30*SETTINGS!$B$9)</f>
        <v/>
      </c>
      <c r="K30" s="15" t="str">
        <f>IF(I30="","",I30*SETTINGS!$B$10)</f>
        <v/>
      </c>
      <c r="L30" s="15" t="str">
        <f t="shared" si="1"/>
        <v/>
      </c>
      <c r="M30" s="10" t="str">
        <f t="shared" si="2"/>
        <v/>
      </c>
      <c r="N30" s="10" t="str">
        <f t="shared" si="3"/>
        <v/>
      </c>
      <c r="O30" s="8"/>
    </row>
    <row r="31" spans="1:15" x14ac:dyDescent="0.2">
      <c r="A31" s="10" t="str">
        <f t="shared" si="0"/>
        <v/>
      </c>
      <c r="B31" s="8"/>
      <c r="C31" s="8"/>
      <c r="D31" s="8"/>
      <c r="E31" s="8" t="str">
        <f ca="1">IFERROR(_xludf.XLOOKUP(D31,STUDENTS!$A$5:$A$204,STUDENTS!$C$5:$C$204,""),"")</f>
        <v/>
      </c>
      <c r="F31" s="8" t="str">
        <f ca="1">IFERROR(_xludf.XLOOKUP(D31,STUDENTS!$A$5:$A$204,STUDENTS!$L$5:$L$204,""),"")</f>
        <v/>
      </c>
      <c r="G31" s="8"/>
      <c r="H31" s="14"/>
      <c r="I31" s="14"/>
      <c r="J31" s="15" t="str">
        <f>IF(H31="","",H31*SETTINGS!$B$9)</f>
        <v/>
      </c>
      <c r="K31" s="15" t="str">
        <f>IF(I31="","",I31*SETTINGS!$B$10)</f>
        <v/>
      </c>
      <c r="L31" s="15" t="str">
        <f t="shared" si="1"/>
        <v/>
      </c>
      <c r="M31" s="10" t="str">
        <f t="shared" si="2"/>
        <v/>
      </c>
      <c r="N31" s="10" t="str">
        <f t="shared" si="3"/>
        <v/>
      </c>
      <c r="O31" s="8"/>
    </row>
    <row r="32" spans="1:15" x14ac:dyDescent="0.2">
      <c r="A32" s="10" t="str">
        <f t="shared" si="0"/>
        <v/>
      </c>
      <c r="B32" s="8"/>
      <c r="C32" s="8"/>
      <c r="D32" s="8"/>
      <c r="E32" s="8" t="str">
        <f ca="1">IFERROR(_xludf.XLOOKUP(D32,STUDENTS!$A$5:$A$204,STUDENTS!$C$5:$C$204,""),"")</f>
        <v/>
      </c>
      <c r="F32" s="8" t="str">
        <f ca="1">IFERROR(_xludf.XLOOKUP(D32,STUDENTS!$A$5:$A$204,STUDENTS!$L$5:$L$204,""),"")</f>
        <v/>
      </c>
      <c r="G32" s="8"/>
      <c r="H32" s="14"/>
      <c r="I32" s="14"/>
      <c r="J32" s="15" t="str">
        <f>IF(H32="","",H32*SETTINGS!$B$9)</f>
        <v/>
      </c>
      <c r="K32" s="15" t="str">
        <f>IF(I32="","",I32*SETTINGS!$B$10)</f>
        <v/>
      </c>
      <c r="L32" s="15" t="str">
        <f t="shared" si="1"/>
        <v/>
      </c>
      <c r="M32" s="10" t="str">
        <f t="shared" si="2"/>
        <v/>
      </c>
      <c r="N32" s="10" t="str">
        <f t="shared" si="3"/>
        <v/>
      </c>
      <c r="O32" s="8"/>
    </row>
    <row r="33" spans="1:15" x14ac:dyDescent="0.2">
      <c r="A33" s="10" t="str">
        <f t="shared" si="0"/>
        <v/>
      </c>
      <c r="B33" s="8"/>
      <c r="C33" s="8"/>
      <c r="D33" s="8"/>
      <c r="E33" s="8" t="str">
        <f ca="1">IFERROR(_xludf.XLOOKUP(D33,STUDENTS!$A$5:$A$204,STUDENTS!$C$5:$C$204,""),"")</f>
        <v/>
      </c>
      <c r="F33" s="8" t="str">
        <f ca="1">IFERROR(_xludf.XLOOKUP(D33,STUDENTS!$A$5:$A$204,STUDENTS!$L$5:$L$204,""),"")</f>
        <v/>
      </c>
      <c r="G33" s="8"/>
      <c r="H33" s="14"/>
      <c r="I33" s="14"/>
      <c r="J33" s="15" t="str">
        <f>IF(H33="","",H33*SETTINGS!$B$9)</f>
        <v/>
      </c>
      <c r="K33" s="15" t="str">
        <f>IF(I33="","",I33*SETTINGS!$B$10)</f>
        <v/>
      </c>
      <c r="L33" s="15" t="str">
        <f t="shared" si="1"/>
        <v/>
      </c>
      <c r="M33" s="10" t="str">
        <f t="shared" si="2"/>
        <v/>
      </c>
      <c r="N33" s="10" t="str">
        <f t="shared" si="3"/>
        <v/>
      </c>
      <c r="O33" s="8"/>
    </row>
    <row r="34" spans="1:15" x14ac:dyDescent="0.2">
      <c r="A34" s="10" t="str">
        <f t="shared" si="0"/>
        <v/>
      </c>
      <c r="B34" s="8"/>
      <c r="C34" s="8"/>
      <c r="D34" s="8"/>
      <c r="E34" s="8" t="str">
        <f ca="1">IFERROR(_xludf.XLOOKUP(D34,STUDENTS!$A$5:$A$204,STUDENTS!$C$5:$C$204,""),"")</f>
        <v/>
      </c>
      <c r="F34" s="8" t="str">
        <f ca="1">IFERROR(_xludf.XLOOKUP(D34,STUDENTS!$A$5:$A$204,STUDENTS!$L$5:$L$204,""),"")</f>
        <v/>
      </c>
      <c r="G34" s="8"/>
      <c r="H34" s="14"/>
      <c r="I34" s="14"/>
      <c r="J34" s="15" t="str">
        <f>IF(H34="","",H34*SETTINGS!$B$9)</f>
        <v/>
      </c>
      <c r="K34" s="15" t="str">
        <f>IF(I34="","",I34*SETTINGS!$B$10)</f>
        <v/>
      </c>
      <c r="L34" s="15" t="str">
        <f t="shared" si="1"/>
        <v/>
      </c>
      <c r="M34" s="10" t="str">
        <f t="shared" si="2"/>
        <v/>
      </c>
      <c r="N34" s="10" t="str">
        <f t="shared" si="3"/>
        <v/>
      </c>
      <c r="O34" s="8"/>
    </row>
    <row r="35" spans="1:15" x14ac:dyDescent="0.2">
      <c r="A35" s="10" t="str">
        <f t="shared" si="0"/>
        <v/>
      </c>
      <c r="B35" s="8"/>
      <c r="C35" s="8"/>
      <c r="D35" s="8"/>
      <c r="E35" s="8" t="str">
        <f ca="1">IFERROR(_xludf.XLOOKUP(D35,STUDENTS!$A$5:$A$204,STUDENTS!$C$5:$C$204,""),"")</f>
        <v/>
      </c>
      <c r="F35" s="8" t="str">
        <f ca="1">IFERROR(_xludf.XLOOKUP(D35,STUDENTS!$A$5:$A$204,STUDENTS!$L$5:$L$204,""),"")</f>
        <v/>
      </c>
      <c r="G35" s="8"/>
      <c r="H35" s="14"/>
      <c r="I35" s="14"/>
      <c r="J35" s="15" t="str">
        <f>IF(H35="","",H35*SETTINGS!$B$9)</f>
        <v/>
      </c>
      <c r="K35" s="15" t="str">
        <f>IF(I35="","",I35*SETTINGS!$B$10)</f>
        <v/>
      </c>
      <c r="L35" s="15" t="str">
        <f t="shared" si="1"/>
        <v/>
      </c>
      <c r="M35" s="10" t="str">
        <f t="shared" si="2"/>
        <v/>
      </c>
      <c r="N35" s="10" t="str">
        <f t="shared" si="3"/>
        <v/>
      </c>
      <c r="O35" s="8"/>
    </row>
    <row r="36" spans="1:15" x14ac:dyDescent="0.2">
      <c r="A36" s="10" t="str">
        <f t="shared" si="0"/>
        <v/>
      </c>
      <c r="B36" s="8"/>
      <c r="C36" s="8"/>
      <c r="D36" s="8"/>
      <c r="E36" s="8" t="str">
        <f ca="1">IFERROR(_xludf.XLOOKUP(D36,STUDENTS!$A$5:$A$204,STUDENTS!$C$5:$C$204,""),"")</f>
        <v/>
      </c>
      <c r="F36" s="8" t="str">
        <f ca="1">IFERROR(_xludf.XLOOKUP(D36,STUDENTS!$A$5:$A$204,STUDENTS!$L$5:$L$204,""),"")</f>
        <v/>
      </c>
      <c r="G36" s="8"/>
      <c r="H36" s="14"/>
      <c r="I36" s="14"/>
      <c r="J36" s="15" t="str">
        <f>IF(H36="","",H36*SETTINGS!$B$9)</f>
        <v/>
      </c>
      <c r="K36" s="15" t="str">
        <f>IF(I36="","",I36*SETTINGS!$B$10)</f>
        <v/>
      </c>
      <c r="L36" s="15" t="str">
        <f t="shared" si="1"/>
        <v/>
      </c>
      <c r="M36" s="10" t="str">
        <f t="shared" si="2"/>
        <v/>
      </c>
      <c r="N36" s="10" t="str">
        <f t="shared" si="3"/>
        <v/>
      </c>
      <c r="O36" s="8"/>
    </row>
    <row r="37" spans="1:15" x14ac:dyDescent="0.2">
      <c r="A37" s="10" t="str">
        <f t="shared" si="0"/>
        <v/>
      </c>
      <c r="B37" s="8"/>
      <c r="C37" s="8"/>
      <c r="D37" s="8"/>
      <c r="E37" s="8" t="str">
        <f ca="1">IFERROR(_xludf.XLOOKUP(D37,STUDENTS!$A$5:$A$204,STUDENTS!$C$5:$C$204,""),"")</f>
        <v/>
      </c>
      <c r="F37" s="8" t="str">
        <f ca="1">IFERROR(_xludf.XLOOKUP(D37,STUDENTS!$A$5:$A$204,STUDENTS!$L$5:$L$204,""),"")</f>
        <v/>
      </c>
      <c r="G37" s="8"/>
      <c r="H37" s="14"/>
      <c r="I37" s="14"/>
      <c r="J37" s="15" t="str">
        <f>IF(H37="","",H37*SETTINGS!$B$9)</f>
        <v/>
      </c>
      <c r="K37" s="15" t="str">
        <f>IF(I37="","",I37*SETTINGS!$B$10)</f>
        <v/>
      </c>
      <c r="L37" s="15" t="str">
        <f t="shared" si="1"/>
        <v/>
      </c>
      <c r="M37" s="10" t="str">
        <f t="shared" si="2"/>
        <v/>
      </c>
      <c r="N37" s="10" t="str">
        <f t="shared" si="3"/>
        <v/>
      </c>
      <c r="O37" s="8"/>
    </row>
    <row r="38" spans="1:15" x14ac:dyDescent="0.2">
      <c r="A38" s="10" t="str">
        <f t="shared" si="0"/>
        <v/>
      </c>
      <c r="B38" s="8"/>
      <c r="C38" s="8"/>
      <c r="D38" s="8"/>
      <c r="E38" s="8" t="str">
        <f ca="1">IFERROR(_xludf.XLOOKUP(D38,STUDENTS!$A$5:$A$204,STUDENTS!$C$5:$C$204,""),"")</f>
        <v/>
      </c>
      <c r="F38" s="8" t="str">
        <f ca="1">IFERROR(_xludf.XLOOKUP(D38,STUDENTS!$A$5:$A$204,STUDENTS!$L$5:$L$204,""),"")</f>
        <v/>
      </c>
      <c r="G38" s="8"/>
      <c r="H38" s="14"/>
      <c r="I38" s="14"/>
      <c r="J38" s="15" t="str">
        <f>IF(H38="","",H38*SETTINGS!$B$9)</f>
        <v/>
      </c>
      <c r="K38" s="15" t="str">
        <f>IF(I38="","",I38*SETTINGS!$B$10)</f>
        <v/>
      </c>
      <c r="L38" s="15" t="str">
        <f t="shared" si="1"/>
        <v/>
      </c>
      <c r="M38" s="10" t="str">
        <f t="shared" si="2"/>
        <v/>
      </c>
      <c r="N38" s="10" t="str">
        <f t="shared" si="3"/>
        <v/>
      </c>
      <c r="O38" s="8"/>
    </row>
    <row r="39" spans="1:15" x14ac:dyDescent="0.2">
      <c r="A39" s="10" t="str">
        <f t="shared" si="0"/>
        <v/>
      </c>
      <c r="B39" s="8"/>
      <c r="C39" s="8"/>
      <c r="D39" s="8"/>
      <c r="E39" s="8" t="str">
        <f ca="1">IFERROR(_xludf.XLOOKUP(D39,STUDENTS!$A$5:$A$204,STUDENTS!$C$5:$C$204,""),"")</f>
        <v/>
      </c>
      <c r="F39" s="8" t="str">
        <f ca="1">IFERROR(_xludf.XLOOKUP(D39,STUDENTS!$A$5:$A$204,STUDENTS!$L$5:$L$204,""),"")</f>
        <v/>
      </c>
      <c r="G39" s="8"/>
      <c r="H39" s="14"/>
      <c r="I39" s="14"/>
      <c r="J39" s="15" t="str">
        <f>IF(H39="","",H39*SETTINGS!$B$9)</f>
        <v/>
      </c>
      <c r="K39" s="15" t="str">
        <f>IF(I39="","",I39*SETTINGS!$B$10)</f>
        <v/>
      </c>
      <c r="L39" s="15" t="str">
        <f t="shared" si="1"/>
        <v/>
      </c>
      <c r="M39" s="10" t="str">
        <f t="shared" si="2"/>
        <v/>
      </c>
      <c r="N39" s="10" t="str">
        <f t="shared" si="3"/>
        <v/>
      </c>
      <c r="O39" s="8"/>
    </row>
    <row r="40" spans="1:15" x14ac:dyDescent="0.2">
      <c r="A40" s="10" t="str">
        <f t="shared" si="0"/>
        <v/>
      </c>
      <c r="B40" s="8"/>
      <c r="C40" s="8"/>
      <c r="D40" s="8"/>
      <c r="E40" s="8" t="str">
        <f ca="1">IFERROR(_xludf.XLOOKUP(D40,STUDENTS!$A$5:$A$204,STUDENTS!$C$5:$C$204,""),"")</f>
        <v/>
      </c>
      <c r="F40" s="8" t="str">
        <f ca="1">IFERROR(_xludf.XLOOKUP(D40,STUDENTS!$A$5:$A$204,STUDENTS!$L$5:$L$204,""),"")</f>
        <v/>
      </c>
      <c r="G40" s="8"/>
      <c r="H40" s="14"/>
      <c r="I40" s="14"/>
      <c r="J40" s="15" t="str">
        <f>IF(H40="","",H40*SETTINGS!$B$9)</f>
        <v/>
      </c>
      <c r="K40" s="15" t="str">
        <f>IF(I40="","",I40*SETTINGS!$B$10)</f>
        <v/>
      </c>
      <c r="L40" s="15" t="str">
        <f t="shared" si="1"/>
        <v/>
      </c>
      <c r="M40" s="10" t="str">
        <f t="shared" si="2"/>
        <v/>
      </c>
      <c r="N40" s="10" t="str">
        <f t="shared" si="3"/>
        <v/>
      </c>
      <c r="O40" s="8"/>
    </row>
    <row r="41" spans="1:15" x14ac:dyDescent="0.2">
      <c r="A41" s="10" t="str">
        <f t="shared" si="0"/>
        <v/>
      </c>
      <c r="B41" s="8"/>
      <c r="C41" s="8"/>
      <c r="D41" s="8"/>
      <c r="E41" s="8" t="str">
        <f ca="1">IFERROR(_xludf.XLOOKUP(D41,STUDENTS!$A$5:$A$204,STUDENTS!$C$5:$C$204,""),"")</f>
        <v/>
      </c>
      <c r="F41" s="8" t="str">
        <f ca="1">IFERROR(_xludf.XLOOKUP(D41,STUDENTS!$A$5:$A$204,STUDENTS!$L$5:$L$204,""),"")</f>
        <v/>
      </c>
      <c r="G41" s="8"/>
      <c r="H41" s="14"/>
      <c r="I41" s="14"/>
      <c r="J41" s="15" t="str">
        <f>IF(H41="","",H41*SETTINGS!$B$9)</f>
        <v/>
      </c>
      <c r="K41" s="15" t="str">
        <f>IF(I41="","",I41*SETTINGS!$B$10)</f>
        <v/>
      </c>
      <c r="L41" s="15" t="str">
        <f t="shared" si="1"/>
        <v/>
      </c>
      <c r="M41" s="10" t="str">
        <f t="shared" si="2"/>
        <v/>
      </c>
      <c r="N41" s="10" t="str">
        <f t="shared" si="3"/>
        <v/>
      </c>
      <c r="O41" s="8"/>
    </row>
    <row r="42" spans="1:15" x14ac:dyDescent="0.2">
      <c r="A42" s="10" t="str">
        <f t="shared" si="0"/>
        <v/>
      </c>
      <c r="B42" s="8"/>
      <c r="C42" s="8"/>
      <c r="D42" s="8"/>
      <c r="E42" s="8" t="str">
        <f ca="1">IFERROR(_xludf.XLOOKUP(D42,STUDENTS!$A$5:$A$204,STUDENTS!$C$5:$C$204,""),"")</f>
        <v/>
      </c>
      <c r="F42" s="8" t="str">
        <f ca="1">IFERROR(_xludf.XLOOKUP(D42,STUDENTS!$A$5:$A$204,STUDENTS!$L$5:$L$204,""),"")</f>
        <v/>
      </c>
      <c r="G42" s="8"/>
      <c r="H42" s="14"/>
      <c r="I42" s="14"/>
      <c r="J42" s="15" t="str">
        <f>IF(H42="","",H42*SETTINGS!$B$9)</f>
        <v/>
      </c>
      <c r="K42" s="15" t="str">
        <f>IF(I42="","",I42*SETTINGS!$B$10)</f>
        <v/>
      </c>
      <c r="L42" s="15" t="str">
        <f t="shared" si="1"/>
        <v/>
      </c>
      <c r="M42" s="10" t="str">
        <f t="shared" si="2"/>
        <v/>
      </c>
      <c r="N42" s="10" t="str">
        <f t="shared" si="3"/>
        <v/>
      </c>
      <c r="O42" s="8"/>
    </row>
    <row r="43" spans="1:15" x14ac:dyDescent="0.2">
      <c r="A43" s="10" t="str">
        <f t="shared" si="0"/>
        <v/>
      </c>
      <c r="B43" s="8"/>
      <c r="C43" s="8"/>
      <c r="D43" s="8"/>
      <c r="E43" s="8" t="str">
        <f ca="1">IFERROR(_xludf.XLOOKUP(D43,STUDENTS!$A$5:$A$204,STUDENTS!$C$5:$C$204,""),"")</f>
        <v/>
      </c>
      <c r="F43" s="8" t="str">
        <f ca="1">IFERROR(_xludf.XLOOKUP(D43,STUDENTS!$A$5:$A$204,STUDENTS!$L$5:$L$204,""),"")</f>
        <v/>
      </c>
      <c r="G43" s="8"/>
      <c r="H43" s="14"/>
      <c r="I43" s="14"/>
      <c r="J43" s="15" t="str">
        <f>IF(H43="","",H43*SETTINGS!$B$9)</f>
        <v/>
      </c>
      <c r="K43" s="15" t="str">
        <f>IF(I43="","",I43*SETTINGS!$B$10)</f>
        <v/>
      </c>
      <c r="L43" s="15" t="str">
        <f t="shared" si="1"/>
        <v/>
      </c>
      <c r="M43" s="10" t="str">
        <f t="shared" si="2"/>
        <v/>
      </c>
      <c r="N43" s="10" t="str">
        <f t="shared" si="3"/>
        <v/>
      </c>
      <c r="O43" s="8"/>
    </row>
    <row r="44" spans="1:15" x14ac:dyDescent="0.2">
      <c r="A44" s="10" t="str">
        <f t="shared" si="0"/>
        <v/>
      </c>
      <c r="B44" s="8"/>
      <c r="C44" s="8"/>
      <c r="D44" s="8"/>
      <c r="E44" s="8" t="str">
        <f ca="1">IFERROR(_xludf.XLOOKUP(D44,STUDENTS!$A$5:$A$204,STUDENTS!$C$5:$C$204,""),"")</f>
        <v/>
      </c>
      <c r="F44" s="8" t="str">
        <f ca="1">IFERROR(_xludf.XLOOKUP(D44,STUDENTS!$A$5:$A$204,STUDENTS!$L$5:$L$204,""),"")</f>
        <v/>
      </c>
      <c r="G44" s="8"/>
      <c r="H44" s="14"/>
      <c r="I44" s="14"/>
      <c r="J44" s="15" t="str">
        <f>IF(H44="","",H44*SETTINGS!$B$9)</f>
        <v/>
      </c>
      <c r="K44" s="15" t="str">
        <f>IF(I44="","",I44*SETTINGS!$B$10)</f>
        <v/>
      </c>
      <c r="L44" s="15" t="str">
        <f t="shared" si="1"/>
        <v/>
      </c>
      <c r="M44" s="10" t="str">
        <f t="shared" si="2"/>
        <v/>
      </c>
      <c r="N44" s="10" t="str">
        <f t="shared" si="3"/>
        <v/>
      </c>
      <c r="O44" s="8"/>
    </row>
    <row r="45" spans="1:15" x14ac:dyDescent="0.2">
      <c r="A45" s="10" t="str">
        <f t="shared" si="0"/>
        <v/>
      </c>
      <c r="B45" s="8"/>
      <c r="C45" s="8"/>
      <c r="D45" s="8"/>
      <c r="E45" s="8" t="str">
        <f ca="1">IFERROR(_xludf.XLOOKUP(D45,STUDENTS!$A$5:$A$204,STUDENTS!$C$5:$C$204,""),"")</f>
        <v/>
      </c>
      <c r="F45" s="8" t="str">
        <f ca="1">IFERROR(_xludf.XLOOKUP(D45,STUDENTS!$A$5:$A$204,STUDENTS!$L$5:$L$204,""),"")</f>
        <v/>
      </c>
      <c r="G45" s="8"/>
      <c r="H45" s="14"/>
      <c r="I45" s="14"/>
      <c r="J45" s="15" t="str">
        <f>IF(H45="","",H45*SETTINGS!$B$9)</f>
        <v/>
      </c>
      <c r="K45" s="15" t="str">
        <f>IF(I45="","",I45*SETTINGS!$B$10)</f>
        <v/>
      </c>
      <c r="L45" s="15" t="str">
        <f t="shared" si="1"/>
        <v/>
      </c>
      <c r="M45" s="10" t="str">
        <f t="shared" si="2"/>
        <v/>
      </c>
      <c r="N45" s="10" t="str">
        <f t="shared" si="3"/>
        <v/>
      </c>
      <c r="O45" s="8"/>
    </row>
    <row r="46" spans="1:15" x14ac:dyDescent="0.2">
      <c r="A46" s="10" t="str">
        <f t="shared" si="0"/>
        <v/>
      </c>
      <c r="B46" s="8"/>
      <c r="C46" s="8"/>
      <c r="D46" s="8"/>
      <c r="E46" s="8" t="str">
        <f ca="1">IFERROR(_xludf.XLOOKUP(D46,STUDENTS!$A$5:$A$204,STUDENTS!$C$5:$C$204,""),"")</f>
        <v/>
      </c>
      <c r="F46" s="8" t="str">
        <f ca="1">IFERROR(_xludf.XLOOKUP(D46,STUDENTS!$A$5:$A$204,STUDENTS!$L$5:$L$204,""),"")</f>
        <v/>
      </c>
      <c r="G46" s="8"/>
      <c r="H46" s="14"/>
      <c r="I46" s="14"/>
      <c r="J46" s="15" t="str">
        <f>IF(H46="","",H46*SETTINGS!$B$9)</f>
        <v/>
      </c>
      <c r="K46" s="15" t="str">
        <f>IF(I46="","",I46*SETTINGS!$B$10)</f>
        <v/>
      </c>
      <c r="L46" s="15" t="str">
        <f t="shared" si="1"/>
        <v/>
      </c>
      <c r="M46" s="10" t="str">
        <f t="shared" si="2"/>
        <v/>
      </c>
      <c r="N46" s="10" t="str">
        <f t="shared" si="3"/>
        <v/>
      </c>
      <c r="O46" s="8"/>
    </row>
    <row r="47" spans="1:15" x14ac:dyDescent="0.2">
      <c r="A47" s="10" t="str">
        <f t="shared" si="0"/>
        <v/>
      </c>
      <c r="B47" s="8"/>
      <c r="C47" s="8"/>
      <c r="D47" s="8"/>
      <c r="E47" s="8" t="str">
        <f ca="1">IFERROR(_xludf.XLOOKUP(D47,STUDENTS!$A$5:$A$204,STUDENTS!$C$5:$C$204,""),"")</f>
        <v/>
      </c>
      <c r="F47" s="8" t="str">
        <f ca="1">IFERROR(_xludf.XLOOKUP(D47,STUDENTS!$A$5:$A$204,STUDENTS!$L$5:$L$204,""),"")</f>
        <v/>
      </c>
      <c r="G47" s="8"/>
      <c r="H47" s="14"/>
      <c r="I47" s="14"/>
      <c r="J47" s="15" t="str">
        <f>IF(H47="","",H47*SETTINGS!$B$9)</f>
        <v/>
      </c>
      <c r="K47" s="15" t="str">
        <f>IF(I47="","",I47*SETTINGS!$B$10)</f>
        <v/>
      </c>
      <c r="L47" s="15" t="str">
        <f t="shared" si="1"/>
        <v/>
      </c>
      <c r="M47" s="10" t="str">
        <f t="shared" si="2"/>
        <v/>
      </c>
      <c r="N47" s="10" t="str">
        <f t="shared" si="3"/>
        <v/>
      </c>
      <c r="O47" s="8"/>
    </row>
    <row r="48" spans="1:15" x14ac:dyDescent="0.2">
      <c r="A48" s="10" t="str">
        <f t="shared" si="0"/>
        <v/>
      </c>
      <c r="B48" s="8"/>
      <c r="C48" s="8"/>
      <c r="D48" s="8"/>
      <c r="E48" s="8" t="str">
        <f ca="1">IFERROR(_xludf.XLOOKUP(D48,STUDENTS!$A$5:$A$204,STUDENTS!$C$5:$C$204,""),"")</f>
        <v/>
      </c>
      <c r="F48" s="8" t="str">
        <f ca="1">IFERROR(_xludf.XLOOKUP(D48,STUDENTS!$A$5:$A$204,STUDENTS!$L$5:$L$204,""),"")</f>
        <v/>
      </c>
      <c r="G48" s="8"/>
      <c r="H48" s="14"/>
      <c r="I48" s="14"/>
      <c r="J48" s="15" t="str">
        <f>IF(H48="","",H48*SETTINGS!$B$9)</f>
        <v/>
      </c>
      <c r="K48" s="15" t="str">
        <f>IF(I48="","",I48*SETTINGS!$B$10)</f>
        <v/>
      </c>
      <c r="L48" s="15" t="str">
        <f t="shared" si="1"/>
        <v/>
      </c>
      <c r="M48" s="10" t="str">
        <f t="shared" si="2"/>
        <v/>
      </c>
      <c r="N48" s="10" t="str">
        <f t="shared" si="3"/>
        <v/>
      </c>
      <c r="O48" s="8"/>
    </row>
    <row r="49" spans="1:15" x14ac:dyDescent="0.2">
      <c r="A49" s="10" t="str">
        <f t="shared" si="0"/>
        <v/>
      </c>
      <c r="B49" s="8"/>
      <c r="C49" s="8"/>
      <c r="D49" s="8"/>
      <c r="E49" s="8" t="str">
        <f ca="1">IFERROR(_xludf.XLOOKUP(D49,STUDENTS!$A$5:$A$204,STUDENTS!$C$5:$C$204,""),"")</f>
        <v/>
      </c>
      <c r="F49" s="8" t="str">
        <f ca="1">IFERROR(_xludf.XLOOKUP(D49,STUDENTS!$A$5:$A$204,STUDENTS!$L$5:$L$204,""),"")</f>
        <v/>
      </c>
      <c r="G49" s="8"/>
      <c r="H49" s="14"/>
      <c r="I49" s="14"/>
      <c r="J49" s="15" t="str">
        <f>IF(H49="","",H49*SETTINGS!$B$9)</f>
        <v/>
      </c>
      <c r="K49" s="15" t="str">
        <f>IF(I49="","",I49*SETTINGS!$B$10)</f>
        <v/>
      </c>
      <c r="L49" s="15" t="str">
        <f t="shared" si="1"/>
        <v/>
      </c>
      <c r="M49" s="10" t="str">
        <f t="shared" si="2"/>
        <v/>
      </c>
      <c r="N49" s="10" t="str">
        <f t="shared" si="3"/>
        <v/>
      </c>
      <c r="O49" s="8"/>
    </row>
    <row r="50" spans="1:15" x14ac:dyDescent="0.2">
      <c r="A50" s="10" t="str">
        <f t="shared" si="0"/>
        <v/>
      </c>
      <c r="B50" s="8"/>
      <c r="C50" s="8"/>
      <c r="D50" s="8"/>
      <c r="E50" s="8" t="str">
        <f ca="1">IFERROR(_xludf.XLOOKUP(D50,STUDENTS!$A$5:$A$204,STUDENTS!$C$5:$C$204,""),"")</f>
        <v/>
      </c>
      <c r="F50" s="8" t="str">
        <f ca="1">IFERROR(_xludf.XLOOKUP(D50,STUDENTS!$A$5:$A$204,STUDENTS!$L$5:$L$204,""),"")</f>
        <v/>
      </c>
      <c r="G50" s="8"/>
      <c r="H50" s="14"/>
      <c r="I50" s="14"/>
      <c r="J50" s="15" t="str">
        <f>IF(H50="","",H50*SETTINGS!$B$9)</f>
        <v/>
      </c>
      <c r="K50" s="15" t="str">
        <f>IF(I50="","",I50*SETTINGS!$B$10)</f>
        <v/>
      </c>
      <c r="L50" s="15" t="str">
        <f t="shared" si="1"/>
        <v/>
      </c>
      <c r="M50" s="10" t="str">
        <f t="shared" si="2"/>
        <v/>
      </c>
      <c r="N50" s="10" t="str">
        <f t="shared" si="3"/>
        <v/>
      </c>
      <c r="O50" s="8"/>
    </row>
    <row r="51" spans="1:15" x14ac:dyDescent="0.2">
      <c r="A51" s="10" t="str">
        <f t="shared" si="0"/>
        <v/>
      </c>
      <c r="B51" s="8"/>
      <c r="C51" s="8"/>
      <c r="D51" s="8"/>
      <c r="E51" s="8" t="str">
        <f ca="1">IFERROR(_xludf.XLOOKUP(D51,STUDENTS!$A$5:$A$204,STUDENTS!$C$5:$C$204,""),"")</f>
        <v/>
      </c>
      <c r="F51" s="8" t="str">
        <f ca="1">IFERROR(_xludf.XLOOKUP(D51,STUDENTS!$A$5:$A$204,STUDENTS!$L$5:$L$204,""),"")</f>
        <v/>
      </c>
      <c r="G51" s="8"/>
      <c r="H51" s="14"/>
      <c r="I51" s="14"/>
      <c r="J51" s="15" t="str">
        <f>IF(H51="","",H51*SETTINGS!$B$9)</f>
        <v/>
      </c>
      <c r="K51" s="15" t="str">
        <f>IF(I51="","",I51*SETTINGS!$B$10)</f>
        <v/>
      </c>
      <c r="L51" s="15" t="str">
        <f t="shared" si="1"/>
        <v/>
      </c>
      <c r="M51" s="10" t="str">
        <f t="shared" si="2"/>
        <v/>
      </c>
      <c r="N51" s="10" t="str">
        <f t="shared" si="3"/>
        <v/>
      </c>
      <c r="O51" s="8"/>
    </row>
    <row r="52" spans="1:15" x14ac:dyDescent="0.2">
      <c r="A52" s="10" t="str">
        <f t="shared" si="0"/>
        <v/>
      </c>
      <c r="B52" s="8"/>
      <c r="C52" s="8"/>
      <c r="D52" s="8"/>
      <c r="E52" s="8" t="str">
        <f ca="1">IFERROR(_xludf.XLOOKUP(D52,STUDENTS!$A$5:$A$204,STUDENTS!$C$5:$C$204,""),"")</f>
        <v/>
      </c>
      <c r="F52" s="8" t="str">
        <f ca="1">IFERROR(_xludf.XLOOKUP(D52,STUDENTS!$A$5:$A$204,STUDENTS!$L$5:$L$204,""),"")</f>
        <v/>
      </c>
      <c r="G52" s="8"/>
      <c r="H52" s="14"/>
      <c r="I52" s="14"/>
      <c r="J52" s="15" t="str">
        <f>IF(H52="","",H52*SETTINGS!$B$9)</f>
        <v/>
      </c>
      <c r="K52" s="15" t="str">
        <f>IF(I52="","",I52*SETTINGS!$B$10)</f>
        <v/>
      </c>
      <c r="L52" s="15" t="str">
        <f t="shared" si="1"/>
        <v/>
      </c>
      <c r="M52" s="10" t="str">
        <f t="shared" si="2"/>
        <v/>
      </c>
      <c r="N52" s="10" t="str">
        <f t="shared" si="3"/>
        <v/>
      </c>
      <c r="O52" s="8"/>
    </row>
    <row r="53" spans="1:15" x14ac:dyDescent="0.2">
      <c r="A53" s="10" t="str">
        <f t="shared" si="0"/>
        <v/>
      </c>
      <c r="B53" s="8"/>
      <c r="C53" s="8"/>
      <c r="D53" s="8"/>
      <c r="E53" s="8" t="str">
        <f ca="1">IFERROR(_xludf.XLOOKUP(D53,STUDENTS!$A$5:$A$204,STUDENTS!$C$5:$C$204,""),"")</f>
        <v/>
      </c>
      <c r="F53" s="8" t="str">
        <f ca="1">IFERROR(_xludf.XLOOKUP(D53,STUDENTS!$A$5:$A$204,STUDENTS!$L$5:$L$204,""),"")</f>
        <v/>
      </c>
      <c r="G53" s="8"/>
      <c r="H53" s="14"/>
      <c r="I53" s="14"/>
      <c r="J53" s="15" t="str">
        <f>IF(H53="","",H53*SETTINGS!$B$9)</f>
        <v/>
      </c>
      <c r="K53" s="15" t="str">
        <f>IF(I53="","",I53*SETTINGS!$B$10)</f>
        <v/>
      </c>
      <c r="L53" s="15" t="str">
        <f t="shared" si="1"/>
        <v/>
      </c>
      <c r="M53" s="10" t="str">
        <f t="shared" si="2"/>
        <v/>
      </c>
      <c r="N53" s="10" t="str">
        <f t="shared" si="3"/>
        <v/>
      </c>
      <c r="O53" s="8"/>
    </row>
    <row r="54" spans="1:15" x14ac:dyDescent="0.2">
      <c r="A54" s="10" t="str">
        <f t="shared" si="0"/>
        <v/>
      </c>
      <c r="B54" s="8"/>
      <c r="C54" s="8"/>
      <c r="D54" s="8"/>
      <c r="E54" s="8" t="str">
        <f ca="1">IFERROR(_xludf.XLOOKUP(D54,STUDENTS!$A$5:$A$204,STUDENTS!$C$5:$C$204,""),"")</f>
        <v/>
      </c>
      <c r="F54" s="8" t="str">
        <f ca="1">IFERROR(_xludf.XLOOKUP(D54,STUDENTS!$A$5:$A$204,STUDENTS!$L$5:$L$204,""),"")</f>
        <v/>
      </c>
      <c r="G54" s="8"/>
      <c r="H54" s="14"/>
      <c r="I54" s="14"/>
      <c r="J54" s="15" t="str">
        <f>IF(H54="","",H54*SETTINGS!$B$9)</f>
        <v/>
      </c>
      <c r="K54" s="15" t="str">
        <f>IF(I54="","",I54*SETTINGS!$B$10)</f>
        <v/>
      </c>
      <c r="L54" s="15" t="str">
        <f t="shared" si="1"/>
        <v/>
      </c>
      <c r="M54" s="10" t="str">
        <f t="shared" si="2"/>
        <v/>
      </c>
      <c r="N54" s="10" t="str">
        <f t="shared" si="3"/>
        <v/>
      </c>
      <c r="O54" s="8"/>
    </row>
    <row r="55" spans="1:15" x14ac:dyDescent="0.2">
      <c r="A55" s="10" t="str">
        <f t="shared" si="0"/>
        <v/>
      </c>
      <c r="B55" s="8"/>
      <c r="C55" s="8"/>
      <c r="D55" s="8"/>
      <c r="E55" s="8" t="str">
        <f ca="1">IFERROR(_xludf.XLOOKUP(D55,STUDENTS!$A$5:$A$204,STUDENTS!$C$5:$C$204,""),"")</f>
        <v/>
      </c>
      <c r="F55" s="8" t="str">
        <f ca="1">IFERROR(_xludf.XLOOKUP(D55,STUDENTS!$A$5:$A$204,STUDENTS!$L$5:$L$204,""),"")</f>
        <v/>
      </c>
      <c r="G55" s="8"/>
      <c r="H55" s="14"/>
      <c r="I55" s="14"/>
      <c r="J55" s="15" t="str">
        <f>IF(H55="","",H55*SETTINGS!$B$9)</f>
        <v/>
      </c>
      <c r="K55" s="15" t="str">
        <f>IF(I55="","",I55*SETTINGS!$B$10)</f>
        <v/>
      </c>
      <c r="L55" s="15" t="str">
        <f t="shared" si="1"/>
        <v/>
      </c>
      <c r="M55" s="10" t="str">
        <f t="shared" si="2"/>
        <v/>
      </c>
      <c r="N55" s="10" t="str">
        <f t="shared" si="3"/>
        <v/>
      </c>
      <c r="O55" s="8"/>
    </row>
    <row r="56" spans="1:15" x14ac:dyDescent="0.2">
      <c r="A56" s="10" t="str">
        <f t="shared" si="0"/>
        <v/>
      </c>
      <c r="B56" s="8"/>
      <c r="C56" s="8"/>
      <c r="D56" s="8"/>
      <c r="E56" s="8" t="str">
        <f ca="1">IFERROR(_xludf.XLOOKUP(D56,STUDENTS!$A$5:$A$204,STUDENTS!$C$5:$C$204,""),"")</f>
        <v/>
      </c>
      <c r="F56" s="8" t="str">
        <f ca="1">IFERROR(_xludf.XLOOKUP(D56,STUDENTS!$A$5:$A$204,STUDENTS!$L$5:$L$204,""),"")</f>
        <v/>
      </c>
      <c r="G56" s="8"/>
      <c r="H56" s="14"/>
      <c r="I56" s="14"/>
      <c r="J56" s="15" t="str">
        <f>IF(H56="","",H56*SETTINGS!$B$9)</f>
        <v/>
      </c>
      <c r="K56" s="15" t="str">
        <f>IF(I56="","",I56*SETTINGS!$B$10)</f>
        <v/>
      </c>
      <c r="L56" s="15" t="str">
        <f t="shared" si="1"/>
        <v/>
      </c>
      <c r="M56" s="10" t="str">
        <f t="shared" si="2"/>
        <v/>
      </c>
      <c r="N56" s="10" t="str">
        <f t="shared" si="3"/>
        <v/>
      </c>
      <c r="O56" s="8"/>
    </row>
    <row r="57" spans="1:15" x14ac:dyDescent="0.2">
      <c r="A57" s="10" t="str">
        <f t="shared" si="0"/>
        <v/>
      </c>
      <c r="B57" s="8"/>
      <c r="C57" s="8"/>
      <c r="D57" s="8"/>
      <c r="E57" s="8" t="str">
        <f ca="1">IFERROR(_xludf.XLOOKUP(D57,STUDENTS!$A$5:$A$204,STUDENTS!$C$5:$C$204,""),"")</f>
        <v/>
      </c>
      <c r="F57" s="8" t="str">
        <f ca="1">IFERROR(_xludf.XLOOKUP(D57,STUDENTS!$A$5:$A$204,STUDENTS!$L$5:$L$204,""),"")</f>
        <v/>
      </c>
      <c r="G57" s="8"/>
      <c r="H57" s="14"/>
      <c r="I57" s="14"/>
      <c r="J57" s="15" t="str">
        <f>IF(H57="","",H57*SETTINGS!$B$9)</f>
        <v/>
      </c>
      <c r="K57" s="15" t="str">
        <f>IF(I57="","",I57*SETTINGS!$B$10)</f>
        <v/>
      </c>
      <c r="L57" s="15" t="str">
        <f t="shared" si="1"/>
        <v/>
      </c>
      <c r="M57" s="10" t="str">
        <f t="shared" si="2"/>
        <v/>
      </c>
      <c r="N57" s="10" t="str">
        <f t="shared" si="3"/>
        <v/>
      </c>
      <c r="O57" s="8"/>
    </row>
    <row r="58" spans="1:15" x14ac:dyDescent="0.2">
      <c r="A58" s="10" t="str">
        <f t="shared" si="0"/>
        <v/>
      </c>
      <c r="B58" s="8"/>
      <c r="C58" s="8"/>
      <c r="D58" s="8"/>
      <c r="E58" s="8" t="str">
        <f ca="1">IFERROR(_xludf.XLOOKUP(D58,STUDENTS!$A$5:$A$204,STUDENTS!$C$5:$C$204,""),"")</f>
        <v/>
      </c>
      <c r="F58" s="8" t="str">
        <f ca="1">IFERROR(_xludf.XLOOKUP(D58,STUDENTS!$A$5:$A$204,STUDENTS!$L$5:$L$204,""),"")</f>
        <v/>
      </c>
      <c r="G58" s="8"/>
      <c r="H58" s="14"/>
      <c r="I58" s="14"/>
      <c r="J58" s="15" t="str">
        <f>IF(H58="","",H58*SETTINGS!$B$9)</f>
        <v/>
      </c>
      <c r="K58" s="15" t="str">
        <f>IF(I58="","",I58*SETTINGS!$B$10)</f>
        <v/>
      </c>
      <c r="L58" s="15" t="str">
        <f t="shared" si="1"/>
        <v/>
      </c>
      <c r="M58" s="10" t="str">
        <f t="shared" si="2"/>
        <v/>
      </c>
      <c r="N58" s="10" t="str">
        <f t="shared" si="3"/>
        <v/>
      </c>
      <c r="O58" s="8"/>
    </row>
    <row r="59" spans="1:15" x14ac:dyDescent="0.2">
      <c r="A59" s="10" t="str">
        <f t="shared" si="0"/>
        <v/>
      </c>
      <c r="B59" s="8"/>
      <c r="C59" s="8"/>
      <c r="D59" s="8"/>
      <c r="E59" s="8" t="str">
        <f ca="1">IFERROR(_xludf.XLOOKUP(D59,STUDENTS!$A$5:$A$204,STUDENTS!$C$5:$C$204,""),"")</f>
        <v/>
      </c>
      <c r="F59" s="8" t="str">
        <f ca="1">IFERROR(_xludf.XLOOKUP(D59,STUDENTS!$A$5:$A$204,STUDENTS!$L$5:$L$204,""),"")</f>
        <v/>
      </c>
      <c r="G59" s="8"/>
      <c r="H59" s="14"/>
      <c r="I59" s="14"/>
      <c r="J59" s="15" t="str">
        <f>IF(H59="","",H59*SETTINGS!$B$9)</f>
        <v/>
      </c>
      <c r="K59" s="15" t="str">
        <f>IF(I59="","",I59*SETTINGS!$B$10)</f>
        <v/>
      </c>
      <c r="L59" s="15" t="str">
        <f t="shared" si="1"/>
        <v/>
      </c>
      <c r="M59" s="10" t="str">
        <f t="shared" si="2"/>
        <v/>
      </c>
      <c r="N59" s="10" t="str">
        <f t="shared" si="3"/>
        <v/>
      </c>
      <c r="O59" s="8"/>
    </row>
    <row r="60" spans="1:15" x14ac:dyDescent="0.2">
      <c r="A60" s="10" t="str">
        <f t="shared" si="0"/>
        <v/>
      </c>
      <c r="B60" s="8"/>
      <c r="C60" s="8"/>
      <c r="D60" s="8"/>
      <c r="E60" s="8" t="str">
        <f ca="1">IFERROR(_xludf.XLOOKUP(D60,STUDENTS!$A$5:$A$204,STUDENTS!$C$5:$C$204,""),"")</f>
        <v/>
      </c>
      <c r="F60" s="8" t="str">
        <f ca="1">IFERROR(_xludf.XLOOKUP(D60,STUDENTS!$A$5:$A$204,STUDENTS!$L$5:$L$204,""),"")</f>
        <v/>
      </c>
      <c r="G60" s="8"/>
      <c r="H60" s="14"/>
      <c r="I60" s="14"/>
      <c r="J60" s="15" t="str">
        <f>IF(H60="","",H60*SETTINGS!$B$9)</f>
        <v/>
      </c>
      <c r="K60" s="15" t="str">
        <f>IF(I60="","",I60*SETTINGS!$B$10)</f>
        <v/>
      </c>
      <c r="L60" s="15" t="str">
        <f t="shared" si="1"/>
        <v/>
      </c>
      <c r="M60" s="10" t="str">
        <f t="shared" si="2"/>
        <v/>
      </c>
      <c r="N60" s="10" t="str">
        <f t="shared" si="3"/>
        <v/>
      </c>
      <c r="O60" s="8"/>
    </row>
    <row r="61" spans="1:15" x14ac:dyDescent="0.2">
      <c r="A61" s="10" t="str">
        <f t="shared" si="0"/>
        <v/>
      </c>
      <c r="B61" s="8"/>
      <c r="C61" s="8"/>
      <c r="D61" s="8"/>
      <c r="E61" s="8" t="str">
        <f ca="1">IFERROR(_xludf.XLOOKUP(D61,STUDENTS!$A$5:$A$204,STUDENTS!$C$5:$C$204,""),"")</f>
        <v/>
      </c>
      <c r="F61" s="8" t="str">
        <f ca="1">IFERROR(_xludf.XLOOKUP(D61,STUDENTS!$A$5:$A$204,STUDENTS!$L$5:$L$204,""),"")</f>
        <v/>
      </c>
      <c r="G61" s="8"/>
      <c r="H61" s="14"/>
      <c r="I61" s="14"/>
      <c r="J61" s="15" t="str">
        <f>IF(H61="","",H61*SETTINGS!$B$9)</f>
        <v/>
      </c>
      <c r="K61" s="15" t="str">
        <f>IF(I61="","",I61*SETTINGS!$B$10)</f>
        <v/>
      </c>
      <c r="L61" s="15" t="str">
        <f t="shared" si="1"/>
        <v/>
      </c>
      <c r="M61" s="10" t="str">
        <f t="shared" si="2"/>
        <v/>
      </c>
      <c r="N61" s="10" t="str">
        <f t="shared" si="3"/>
        <v/>
      </c>
      <c r="O61" s="8"/>
    </row>
    <row r="62" spans="1:15" x14ac:dyDescent="0.2">
      <c r="A62" s="10" t="str">
        <f t="shared" si="0"/>
        <v/>
      </c>
      <c r="B62" s="8"/>
      <c r="C62" s="8"/>
      <c r="D62" s="8"/>
      <c r="E62" s="8" t="str">
        <f ca="1">IFERROR(_xludf.XLOOKUP(D62,STUDENTS!$A$5:$A$204,STUDENTS!$C$5:$C$204,""),"")</f>
        <v/>
      </c>
      <c r="F62" s="8" t="str">
        <f ca="1">IFERROR(_xludf.XLOOKUP(D62,STUDENTS!$A$5:$A$204,STUDENTS!$L$5:$L$204,""),"")</f>
        <v/>
      </c>
      <c r="G62" s="8"/>
      <c r="H62" s="14"/>
      <c r="I62" s="14"/>
      <c r="J62" s="15" t="str">
        <f>IF(H62="","",H62*SETTINGS!$B$9)</f>
        <v/>
      </c>
      <c r="K62" s="15" t="str">
        <f>IF(I62="","",I62*SETTINGS!$B$10)</f>
        <v/>
      </c>
      <c r="L62" s="15" t="str">
        <f t="shared" si="1"/>
        <v/>
      </c>
      <c r="M62" s="10" t="str">
        <f t="shared" si="2"/>
        <v/>
      </c>
      <c r="N62" s="10" t="str">
        <f t="shared" si="3"/>
        <v/>
      </c>
      <c r="O62" s="8"/>
    </row>
    <row r="63" spans="1:15" x14ac:dyDescent="0.2">
      <c r="A63" s="10" t="str">
        <f t="shared" si="0"/>
        <v/>
      </c>
      <c r="B63" s="8"/>
      <c r="C63" s="8"/>
      <c r="D63" s="8"/>
      <c r="E63" s="8" t="str">
        <f ca="1">IFERROR(_xludf.XLOOKUP(D63,STUDENTS!$A$5:$A$204,STUDENTS!$C$5:$C$204,""),"")</f>
        <v/>
      </c>
      <c r="F63" s="8" t="str">
        <f ca="1">IFERROR(_xludf.XLOOKUP(D63,STUDENTS!$A$5:$A$204,STUDENTS!$L$5:$L$204,""),"")</f>
        <v/>
      </c>
      <c r="G63" s="8"/>
      <c r="H63" s="14"/>
      <c r="I63" s="14"/>
      <c r="J63" s="15" t="str">
        <f>IF(H63="","",H63*SETTINGS!$B$9)</f>
        <v/>
      </c>
      <c r="K63" s="15" t="str">
        <f>IF(I63="","",I63*SETTINGS!$B$10)</f>
        <v/>
      </c>
      <c r="L63" s="15" t="str">
        <f t="shared" si="1"/>
        <v/>
      </c>
      <c r="M63" s="10" t="str">
        <f t="shared" si="2"/>
        <v/>
      </c>
      <c r="N63" s="10" t="str">
        <f t="shared" si="3"/>
        <v/>
      </c>
      <c r="O63" s="8"/>
    </row>
    <row r="64" spans="1:15" x14ac:dyDescent="0.2">
      <c r="A64" s="10" t="str">
        <f t="shared" si="0"/>
        <v/>
      </c>
      <c r="B64" s="8"/>
      <c r="C64" s="8"/>
      <c r="D64" s="8"/>
      <c r="E64" s="8" t="str">
        <f ca="1">IFERROR(_xludf.XLOOKUP(D64,STUDENTS!$A$5:$A$204,STUDENTS!$C$5:$C$204,""),"")</f>
        <v/>
      </c>
      <c r="F64" s="8" t="str">
        <f ca="1">IFERROR(_xludf.XLOOKUP(D64,STUDENTS!$A$5:$A$204,STUDENTS!$L$5:$L$204,""),"")</f>
        <v/>
      </c>
      <c r="G64" s="8"/>
      <c r="H64" s="14"/>
      <c r="I64" s="14"/>
      <c r="J64" s="15" t="str">
        <f>IF(H64="","",H64*SETTINGS!$B$9)</f>
        <v/>
      </c>
      <c r="K64" s="15" t="str">
        <f>IF(I64="","",I64*SETTINGS!$B$10)</f>
        <v/>
      </c>
      <c r="L64" s="15" t="str">
        <f t="shared" si="1"/>
        <v/>
      </c>
      <c r="M64" s="10" t="str">
        <f t="shared" si="2"/>
        <v/>
      </c>
      <c r="N64" s="10" t="str">
        <f t="shared" si="3"/>
        <v/>
      </c>
      <c r="O64" s="8"/>
    </row>
    <row r="65" spans="1:15" x14ac:dyDescent="0.2">
      <c r="A65" s="10" t="str">
        <f t="shared" si="0"/>
        <v/>
      </c>
      <c r="B65" s="8"/>
      <c r="C65" s="8"/>
      <c r="D65" s="8"/>
      <c r="E65" s="8" t="str">
        <f ca="1">IFERROR(_xludf.XLOOKUP(D65,STUDENTS!$A$5:$A$204,STUDENTS!$C$5:$C$204,""),"")</f>
        <v/>
      </c>
      <c r="F65" s="8" t="str">
        <f ca="1">IFERROR(_xludf.XLOOKUP(D65,STUDENTS!$A$5:$A$204,STUDENTS!$L$5:$L$204,""),"")</f>
        <v/>
      </c>
      <c r="G65" s="8"/>
      <c r="H65" s="14"/>
      <c r="I65" s="14"/>
      <c r="J65" s="15" t="str">
        <f>IF(H65="","",H65*SETTINGS!$B$9)</f>
        <v/>
      </c>
      <c r="K65" s="15" t="str">
        <f>IF(I65="","",I65*SETTINGS!$B$10)</f>
        <v/>
      </c>
      <c r="L65" s="15" t="str">
        <f t="shared" si="1"/>
        <v/>
      </c>
      <c r="M65" s="10" t="str">
        <f t="shared" si="2"/>
        <v/>
      </c>
      <c r="N65" s="10" t="str">
        <f t="shared" si="3"/>
        <v/>
      </c>
      <c r="O65" s="8"/>
    </row>
    <row r="66" spans="1:15" x14ac:dyDescent="0.2">
      <c r="A66" s="10" t="str">
        <f t="shared" si="0"/>
        <v/>
      </c>
      <c r="B66" s="8"/>
      <c r="C66" s="8"/>
      <c r="D66" s="8"/>
      <c r="E66" s="8" t="str">
        <f ca="1">IFERROR(_xludf.XLOOKUP(D66,STUDENTS!$A$5:$A$204,STUDENTS!$C$5:$C$204,""),"")</f>
        <v/>
      </c>
      <c r="F66" s="8" t="str">
        <f ca="1">IFERROR(_xludf.XLOOKUP(D66,STUDENTS!$A$5:$A$204,STUDENTS!$L$5:$L$204,""),"")</f>
        <v/>
      </c>
      <c r="G66" s="8"/>
      <c r="H66" s="14"/>
      <c r="I66" s="14"/>
      <c r="J66" s="15" t="str">
        <f>IF(H66="","",H66*SETTINGS!$B$9)</f>
        <v/>
      </c>
      <c r="K66" s="15" t="str">
        <f>IF(I66="","",I66*SETTINGS!$B$10)</f>
        <v/>
      </c>
      <c r="L66" s="15" t="str">
        <f t="shared" si="1"/>
        <v/>
      </c>
      <c r="M66" s="10" t="str">
        <f t="shared" si="2"/>
        <v/>
      </c>
      <c r="N66" s="10" t="str">
        <f t="shared" si="3"/>
        <v/>
      </c>
      <c r="O66" s="8"/>
    </row>
    <row r="67" spans="1:15" x14ac:dyDescent="0.2">
      <c r="A67" s="10" t="str">
        <f t="shared" si="0"/>
        <v/>
      </c>
      <c r="B67" s="8"/>
      <c r="C67" s="8"/>
      <c r="D67" s="8"/>
      <c r="E67" s="8" t="str">
        <f ca="1">IFERROR(_xludf.XLOOKUP(D67,STUDENTS!$A$5:$A$204,STUDENTS!$C$5:$C$204,""),"")</f>
        <v/>
      </c>
      <c r="F67" s="8" t="str">
        <f ca="1">IFERROR(_xludf.XLOOKUP(D67,STUDENTS!$A$5:$A$204,STUDENTS!$L$5:$L$204,""),"")</f>
        <v/>
      </c>
      <c r="G67" s="8"/>
      <c r="H67" s="14"/>
      <c r="I67" s="14"/>
      <c r="J67" s="15" t="str">
        <f>IF(H67="","",H67*SETTINGS!$B$9)</f>
        <v/>
      </c>
      <c r="K67" s="15" t="str">
        <f>IF(I67="","",I67*SETTINGS!$B$10)</f>
        <v/>
      </c>
      <c r="L67" s="15" t="str">
        <f t="shared" si="1"/>
        <v/>
      </c>
      <c r="M67" s="10" t="str">
        <f t="shared" si="2"/>
        <v/>
      </c>
      <c r="N67" s="10" t="str">
        <f t="shared" si="3"/>
        <v/>
      </c>
      <c r="O67" s="8"/>
    </row>
    <row r="68" spans="1:15" x14ac:dyDescent="0.2">
      <c r="A68" s="10" t="str">
        <f t="shared" si="0"/>
        <v/>
      </c>
      <c r="B68" s="8"/>
      <c r="C68" s="8"/>
      <c r="D68" s="8"/>
      <c r="E68" s="8" t="str">
        <f ca="1">IFERROR(_xludf.XLOOKUP(D68,STUDENTS!$A$5:$A$204,STUDENTS!$C$5:$C$204,""),"")</f>
        <v/>
      </c>
      <c r="F68" s="8" t="str">
        <f ca="1">IFERROR(_xludf.XLOOKUP(D68,STUDENTS!$A$5:$A$204,STUDENTS!$L$5:$L$204,""),"")</f>
        <v/>
      </c>
      <c r="G68" s="8"/>
      <c r="H68" s="14"/>
      <c r="I68" s="14"/>
      <c r="J68" s="15" t="str">
        <f>IF(H68="","",H68*SETTINGS!$B$9)</f>
        <v/>
      </c>
      <c r="K68" s="15" t="str">
        <f>IF(I68="","",I68*SETTINGS!$B$10)</f>
        <v/>
      </c>
      <c r="L68" s="15" t="str">
        <f t="shared" si="1"/>
        <v/>
      </c>
      <c r="M68" s="10" t="str">
        <f t="shared" si="2"/>
        <v/>
      </c>
      <c r="N68" s="10" t="str">
        <f t="shared" si="3"/>
        <v/>
      </c>
      <c r="O68" s="8"/>
    </row>
    <row r="69" spans="1:15" x14ac:dyDescent="0.2">
      <c r="A69" s="10" t="str">
        <f t="shared" ref="A69:A132" si="4">IF(D69="","","R-"&amp;TEXT(ROW()-4,"00000"))</f>
        <v/>
      </c>
      <c r="B69" s="8"/>
      <c r="C69" s="8"/>
      <c r="D69" s="8"/>
      <c r="E69" s="8" t="str">
        <f ca="1">IFERROR(_xludf.XLOOKUP(D69,STUDENTS!$A$5:$A$204,STUDENTS!$C$5:$C$204,""),"")</f>
        <v/>
      </c>
      <c r="F69" s="8" t="str">
        <f ca="1">IFERROR(_xludf.XLOOKUP(D69,STUDENTS!$A$5:$A$204,STUDENTS!$L$5:$L$204,""),"")</f>
        <v/>
      </c>
      <c r="G69" s="8"/>
      <c r="H69" s="14"/>
      <c r="I69" s="14"/>
      <c r="J69" s="15" t="str">
        <f>IF(H69="","",H69*SETTINGS!$B$9)</f>
        <v/>
      </c>
      <c r="K69" s="15" t="str">
        <f>IF(I69="","",I69*SETTINGS!$B$10)</f>
        <v/>
      </c>
      <c r="L69" s="15" t="str">
        <f t="shared" ref="L69:L132" si="5">IF(OR(H69="",I69=""),"",J69+K69)</f>
        <v/>
      </c>
      <c r="M69" s="10" t="str">
        <f t="shared" ref="M69:M132" si="6">IF(L69="","",IF(L69&gt;=80,"A",IF(L69&gt;=70,"B",IF(L69&gt;=60,"C",IF(L69&gt;=50,"D","F")))))</f>
        <v/>
      </c>
      <c r="N69" s="10" t="str">
        <f t="shared" ref="N69:N132" si="7">IF(L69="","",1+COUNTIFS($F$5:$F$1004,F69,$C$5:$C$1004,C69,$G$5:$G$1004,G69,$L$5:$L$1004,"&gt;"&amp;L69))</f>
        <v/>
      </c>
      <c r="O69" s="8"/>
    </row>
    <row r="70" spans="1:15" x14ac:dyDescent="0.2">
      <c r="A70" s="10" t="str">
        <f t="shared" si="4"/>
        <v/>
      </c>
      <c r="B70" s="8"/>
      <c r="C70" s="8"/>
      <c r="D70" s="8"/>
      <c r="E70" s="8" t="str">
        <f ca="1">IFERROR(_xludf.XLOOKUP(D70,STUDENTS!$A$5:$A$204,STUDENTS!$C$5:$C$204,""),"")</f>
        <v/>
      </c>
      <c r="F70" s="8" t="str">
        <f ca="1">IFERROR(_xludf.XLOOKUP(D70,STUDENTS!$A$5:$A$204,STUDENTS!$L$5:$L$204,""),"")</f>
        <v/>
      </c>
      <c r="G70" s="8"/>
      <c r="H70" s="14"/>
      <c r="I70" s="14"/>
      <c r="J70" s="15" t="str">
        <f>IF(H70="","",H70*SETTINGS!$B$9)</f>
        <v/>
      </c>
      <c r="K70" s="15" t="str">
        <f>IF(I70="","",I70*SETTINGS!$B$10)</f>
        <v/>
      </c>
      <c r="L70" s="15" t="str">
        <f t="shared" si="5"/>
        <v/>
      </c>
      <c r="M70" s="10" t="str">
        <f t="shared" si="6"/>
        <v/>
      </c>
      <c r="N70" s="10" t="str">
        <f t="shared" si="7"/>
        <v/>
      </c>
      <c r="O70" s="8"/>
    </row>
    <row r="71" spans="1:15" x14ac:dyDescent="0.2">
      <c r="A71" s="10" t="str">
        <f t="shared" si="4"/>
        <v/>
      </c>
      <c r="B71" s="8"/>
      <c r="C71" s="8"/>
      <c r="D71" s="8"/>
      <c r="E71" s="8" t="str">
        <f ca="1">IFERROR(_xludf.XLOOKUP(D71,STUDENTS!$A$5:$A$204,STUDENTS!$C$5:$C$204,""),"")</f>
        <v/>
      </c>
      <c r="F71" s="8" t="str">
        <f ca="1">IFERROR(_xludf.XLOOKUP(D71,STUDENTS!$A$5:$A$204,STUDENTS!$L$5:$L$204,""),"")</f>
        <v/>
      </c>
      <c r="G71" s="8"/>
      <c r="H71" s="14"/>
      <c r="I71" s="14"/>
      <c r="J71" s="15" t="str">
        <f>IF(H71="","",H71*SETTINGS!$B$9)</f>
        <v/>
      </c>
      <c r="K71" s="15" t="str">
        <f>IF(I71="","",I71*SETTINGS!$B$10)</f>
        <v/>
      </c>
      <c r="L71" s="15" t="str">
        <f t="shared" si="5"/>
        <v/>
      </c>
      <c r="M71" s="10" t="str">
        <f t="shared" si="6"/>
        <v/>
      </c>
      <c r="N71" s="10" t="str">
        <f t="shared" si="7"/>
        <v/>
      </c>
      <c r="O71" s="8"/>
    </row>
    <row r="72" spans="1:15" x14ac:dyDescent="0.2">
      <c r="A72" s="10" t="str">
        <f t="shared" si="4"/>
        <v/>
      </c>
      <c r="B72" s="8"/>
      <c r="C72" s="8"/>
      <c r="D72" s="8"/>
      <c r="E72" s="8" t="str">
        <f ca="1">IFERROR(_xludf.XLOOKUP(D72,STUDENTS!$A$5:$A$204,STUDENTS!$C$5:$C$204,""),"")</f>
        <v/>
      </c>
      <c r="F72" s="8" t="str">
        <f ca="1">IFERROR(_xludf.XLOOKUP(D72,STUDENTS!$A$5:$A$204,STUDENTS!$L$5:$L$204,""),"")</f>
        <v/>
      </c>
      <c r="G72" s="8"/>
      <c r="H72" s="14"/>
      <c r="I72" s="14"/>
      <c r="J72" s="15" t="str">
        <f>IF(H72="","",H72*SETTINGS!$B$9)</f>
        <v/>
      </c>
      <c r="K72" s="15" t="str">
        <f>IF(I72="","",I72*SETTINGS!$B$10)</f>
        <v/>
      </c>
      <c r="L72" s="15" t="str">
        <f t="shared" si="5"/>
        <v/>
      </c>
      <c r="M72" s="10" t="str">
        <f t="shared" si="6"/>
        <v/>
      </c>
      <c r="N72" s="10" t="str">
        <f t="shared" si="7"/>
        <v/>
      </c>
      <c r="O72" s="8"/>
    </row>
    <row r="73" spans="1:15" x14ac:dyDescent="0.2">
      <c r="A73" s="10" t="str">
        <f t="shared" si="4"/>
        <v/>
      </c>
      <c r="B73" s="8"/>
      <c r="C73" s="8"/>
      <c r="D73" s="8"/>
      <c r="E73" s="8" t="str">
        <f ca="1">IFERROR(_xludf.XLOOKUP(D73,STUDENTS!$A$5:$A$204,STUDENTS!$C$5:$C$204,""),"")</f>
        <v/>
      </c>
      <c r="F73" s="8" t="str">
        <f ca="1">IFERROR(_xludf.XLOOKUP(D73,STUDENTS!$A$5:$A$204,STUDENTS!$L$5:$L$204,""),"")</f>
        <v/>
      </c>
      <c r="G73" s="8"/>
      <c r="H73" s="14"/>
      <c r="I73" s="14"/>
      <c r="J73" s="15" t="str">
        <f>IF(H73="","",H73*SETTINGS!$B$9)</f>
        <v/>
      </c>
      <c r="K73" s="15" t="str">
        <f>IF(I73="","",I73*SETTINGS!$B$10)</f>
        <v/>
      </c>
      <c r="L73" s="15" t="str">
        <f t="shared" si="5"/>
        <v/>
      </c>
      <c r="M73" s="10" t="str">
        <f t="shared" si="6"/>
        <v/>
      </c>
      <c r="N73" s="10" t="str">
        <f t="shared" si="7"/>
        <v/>
      </c>
      <c r="O73" s="8"/>
    </row>
    <row r="74" spans="1:15" x14ac:dyDescent="0.2">
      <c r="A74" s="10" t="str">
        <f t="shared" si="4"/>
        <v/>
      </c>
      <c r="B74" s="8"/>
      <c r="C74" s="8"/>
      <c r="D74" s="8"/>
      <c r="E74" s="8" t="str">
        <f ca="1">IFERROR(_xludf.XLOOKUP(D74,STUDENTS!$A$5:$A$204,STUDENTS!$C$5:$C$204,""),"")</f>
        <v/>
      </c>
      <c r="F74" s="8" t="str">
        <f ca="1">IFERROR(_xludf.XLOOKUP(D74,STUDENTS!$A$5:$A$204,STUDENTS!$L$5:$L$204,""),"")</f>
        <v/>
      </c>
      <c r="G74" s="8"/>
      <c r="H74" s="14"/>
      <c r="I74" s="14"/>
      <c r="J74" s="15" t="str">
        <f>IF(H74="","",H74*SETTINGS!$B$9)</f>
        <v/>
      </c>
      <c r="K74" s="15" t="str">
        <f>IF(I74="","",I74*SETTINGS!$B$10)</f>
        <v/>
      </c>
      <c r="L74" s="15" t="str">
        <f t="shared" si="5"/>
        <v/>
      </c>
      <c r="M74" s="10" t="str">
        <f t="shared" si="6"/>
        <v/>
      </c>
      <c r="N74" s="10" t="str">
        <f t="shared" si="7"/>
        <v/>
      </c>
      <c r="O74" s="8"/>
    </row>
    <row r="75" spans="1:15" x14ac:dyDescent="0.2">
      <c r="A75" s="10" t="str">
        <f t="shared" si="4"/>
        <v/>
      </c>
      <c r="B75" s="8"/>
      <c r="C75" s="8"/>
      <c r="D75" s="8"/>
      <c r="E75" s="8" t="str">
        <f ca="1">IFERROR(_xludf.XLOOKUP(D75,STUDENTS!$A$5:$A$204,STUDENTS!$C$5:$C$204,""),"")</f>
        <v/>
      </c>
      <c r="F75" s="8" t="str">
        <f ca="1">IFERROR(_xludf.XLOOKUP(D75,STUDENTS!$A$5:$A$204,STUDENTS!$L$5:$L$204,""),"")</f>
        <v/>
      </c>
      <c r="G75" s="8"/>
      <c r="H75" s="14"/>
      <c r="I75" s="14"/>
      <c r="J75" s="15" t="str">
        <f>IF(H75="","",H75*SETTINGS!$B$9)</f>
        <v/>
      </c>
      <c r="K75" s="15" t="str">
        <f>IF(I75="","",I75*SETTINGS!$B$10)</f>
        <v/>
      </c>
      <c r="L75" s="15" t="str">
        <f t="shared" si="5"/>
        <v/>
      </c>
      <c r="M75" s="10" t="str">
        <f t="shared" si="6"/>
        <v/>
      </c>
      <c r="N75" s="10" t="str">
        <f t="shared" si="7"/>
        <v/>
      </c>
      <c r="O75" s="8"/>
    </row>
    <row r="76" spans="1:15" x14ac:dyDescent="0.2">
      <c r="A76" s="10" t="str">
        <f t="shared" si="4"/>
        <v/>
      </c>
      <c r="B76" s="8"/>
      <c r="C76" s="8"/>
      <c r="D76" s="8"/>
      <c r="E76" s="8" t="str">
        <f ca="1">IFERROR(_xludf.XLOOKUP(D76,STUDENTS!$A$5:$A$204,STUDENTS!$C$5:$C$204,""),"")</f>
        <v/>
      </c>
      <c r="F76" s="8" t="str">
        <f ca="1">IFERROR(_xludf.XLOOKUP(D76,STUDENTS!$A$5:$A$204,STUDENTS!$L$5:$L$204,""),"")</f>
        <v/>
      </c>
      <c r="G76" s="8"/>
      <c r="H76" s="14"/>
      <c r="I76" s="14"/>
      <c r="J76" s="15" t="str">
        <f>IF(H76="","",H76*SETTINGS!$B$9)</f>
        <v/>
      </c>
      <c r="K76" s="15" t="str">
        <f>IF(I76="","",I76*SETTINGS!$B$10)</f>
        <v/>
      </c>
      <c r="L76" s="15" t="str">
        <f t="shared" si="5"/>
        <v/>
      </c>
      <c r="M76" s="10" t="str">
        <f t="shared" si="6"/>
        <v/>
      </c>
      <c r="N76" s="10" t="str">
        <f t="shared" si="7"/>
        <v/>
      </c>
      <c r="O76" s="8"/>
    </row>
    <row r="77" spans="1:15" x14ac:dyDescent="0.2">
      <c r="A77" s="10" t="str">
        <f t="shared" si="4"/>
        <v/>
      </c>
      <c r="B77" s="8"/>
      <c r="C77" s="8"/>
      <c r="D77" s="8"/>
      <c r="E77" s="8" t="str">
        <f ca="1">IFERROR(_xludf.XLOOKUP(D77,STUDENTS!$A$5:$A$204,STUDENTS!$C$5:$C$204,""),"")</f>
        <v/>
      </c>
      <c r="F77" s="8" t="str">
        <f ca="1">IFERROR(_xludf.XLOOKUP(D77,STUDENTS!$A$5:$A$204,STUDENTS!$L$5:$L$204,""),"")</f>
        <v/>
      </c>
      <c r="G77" s="8"/>
      <c r="H77" s="14"/>
      <c r="I77" s="14"/>
      <c r="J77" s="15" t="str">
        <f>IF(H77="","",H77*SETTINGS!$B$9)</f>
        <v/>
      </c>
      <c r="K77" s="15" t="str">
        <f>IF(I77="","",I77*SETTINGS!$B$10)</f>
        <v/>
      </c>
      <c r="L77" s="15" t="str">
        <f t="shared" si="5"/>
        <v/>
      </c>
      <c r="M77" s="10" t="str">
        <f t="shared" si="6"/>
        <v/>
      </c>
      <c r="N77" s="10" t="str">
        <f t="shared" si="7"/>
        <v/>
      </c>
      <c r="O77" s="8"/>
    </row>
    <row r="78" spans="1:15" x14ac:dyDescent="0.2">
      <c r="A78" s="10" t="str">
        <f t="shared" si="4"/>
        <v/>
      </c>
      <c r="B78" s="8"/>
      <c r="C78" s="8"/>
      <c r="D78" s="8"/>
      <c r="E78" s="8" t="str">
        <f ca="1">IFERROR(_xludf.XLOOKUP(D78,STUDENTS!$A$5:$A$204,STUDENTS!$C$5:$C$204,""),"")</f>
        <v/>
      </c>
      <c r="F78" s="8" t="str">
        <f ca="1">IFERROR(_xludf.XLOOKUP(D78,STUDENTS!$A$5:$A$204,STUDENTS!$L$5:$L$204,""),"")</f>
        <v/>
      </c>
      <c r="G78" s="8"/>
      <c r="H78" s="14"/>
      <c r="I78" s="14"/>
      <c r="J78" s="15" t="str">
        <f>IF(H78="","",H78*SETTINGS!$B$9)</f>
        <v/>
      </c>
      <c r="K78" s="15" t="str">
        <f>IF(I78="","",I78*SETTINGS!$B$10)</f>
        <v/>
      </c>
      <c r="L78" s="15" t="str">
        <f t="shared" si="5"/>
        <v/>
      </c>
      <c r="M78" s="10" t="str">
        <f t="shared" si="6"/>
        <v/>
      </c>
      <c r="N78" s="10" t="str">
        <f t="shared" si="7"/>
        <v/>
      </c>
      <c r="O78" s="8"/>
    </row>
    <row r="79" spans="1:15" x14ac:dyDescent="0.2">
      <c r="A79" s="10" t="str">
        <f t="shared" si="4"/>
        <v/>
      </c>
      <c r="B79" s="8"/>
      <c r="C79" s="8"/>
      <c r="D79" s="8"/>
      <c r="E79" s="8" t="str">
        <f ca="1">IFERROR(_xludf.XLOOKUP(D79,STUDENTS!$A$5:$A$204,STUDENTS!$C$5:$C$204,""),"")</f>
        <v/>
      </c>
      <c r="F79" s="8" t="str">
        <f ca="1">IFERROR(_xludf.XLOOKUP(D79,STUDENTS!$A$5:$A$204,STUDENTS!$L$5:$L$204,""),"")</f>
        <v/>
      </c>
      <c r="G79" s="8"/>
      <c r="H79" s="14"/>
      <c r="I79" s="14"/>
      <c r="J79" s="15" t="str">
        <f>IF(H79="","",H79*SETTINGS!$B$9)</f>
        <v/>
      </c>
      <c r="K79" s="15" t="str">
        <f>IF(I79="","",I79*SETTINGS!$B$10)</f>
        <v/>
      </c>
      <c r="L79" s="15" t="str">
        <f t="shared" si="5"/>
        <v/>
      </c>
      <c r="M79" s="10" t="str">
        <f t="shared" si="6"/>
        <v/>
      </c>
      <c r="N79" s="10" t="str">
        <f t="shared" si="7"/>
        <v/>
      </c>
      <c r="O79" s="8"/>
    </row>
    <row r="80" spans="1:15" x14ac:dyDescent="0.2">
      <c r="A80" s="10" t="str">
        <f t="shared" si="4"/>
        <v/>
      </c>
      <c r="B80" s="8"/>
      <c r="C80" s="8"/>
      <c r="D80" s="8"/>
      <c r="E80" s="8" t="str">
        <f ca="1">IFERROR(_xludf.XLOOKUP(D80,STUDENTS!$A$5:$A$204,STUDENTS!$C$5:$C$204,""),"")</f>
        <v/>
      </c>
      <c r="F80" s="8" t="str">
        <f ca="1">IFERROR(_xludf.XLOOKUP(D80,STUDENTS!$A$5:$A$204,STUDENTS!$L$5:$L$204,""),"")</f>
        <v/>
      </c>
      <c r="G80" s="8"/>
      <c r="H80" s="14"/>
      <c r="I80" s="14"/>
      <c r="J80" s="15" t="str">
        <f>IF(H80="","",H80*SETTINGS!$B$9)</f>
        <v/>
      </c>
      <c r="K80" s="15" t="str">
        <f>IF(I80="","",I80*SETTINGS!$B$10)</f>
        <v/>
      </c>
      <c r="L80" s="15" t="str">
        <f t="shared" si="5"/>
        <v/>
      </c>
      <c r="M80" s="10" t="str">
        <f t="shared" si="6"/>
        <v/>
      </c>
      <c r="N80" s="10" t="str">
        <f t="shared" si="7"/>
        <v/>
      </c>
      <c r="O80" s="8"/>
    </row>
    <row r="81" spans="1:15" x14ac:dyDescent="0.2">
      <c r="A81" s="10" t="str">
        <f t="shared" si="4"/>
        <v/>
      </c>
      <c r="B81" s="8"/>
      <c r="C81" s="8"/>
      <c r="D81" s="8"/>
      <c r="E81" s="8" t="str">
        <f ca="1">IFERROR(_xludf.XLOOKUP(D81,STUDENTS!$A$5:$A$204,STUDENTS!$C$5:$C$204,""),"")</f>
        <v/>
      </c>
      <c r="F81" s="8" t="str">
        <f ca="1">IFERROR(_xludf.XLOOKUP(D81,STUDENTS!$A$5:$A$204,STUDENTS!$L$5:$L$204,""),"")</f>
        <v/>
      </c>
      <c r="G81" s="8"/>
      <c r="H81" s="14"/>
      <c r="I81" s="14"/>
      <c r="J81" s="15" t="str">
        <f>IF(H81="","",H81*SETTINGS!$B$9)</f>
        <v/>
      </c>
      <c r="K81" s="15" t="str">
        <f>IF(I81="","",I81*SETTINGS!$B$10)</f>
        <v/>
      </c>
      <c r="L81" s="15" t="str">
        <f t="shared" si="5"/>
        <v/>
      </c>
      <c r="M81" s="10" t="str">
        <f t="shared" si="6"/>
        <v/>
      </c>
      <c r="N81" s="10" t="str">
        <f t="shared" si="7"/>
        <v/>
      </c>
      <c r="O81" s="8"/>
    </row>
    <row r="82" spans="1:15" x14ac:dyDescent="0.2">
      <c r="A82" s="10" t="str">
        <f t="shared" si="4"/>
        <v/>
      </c>
      <c r="B82" s="8"/>
      <c r="C82" s="8"/>
      <c r="D82" s="8"/>
      <c r="E82" s="8" t="str">
        <f ca="1">IFERROR(_xludf.XLOOKUP(D82,STUDENTS!$A$5:$A$204,STUDENTS!$C$5:$C$204,""),"")</f>
        <v/>
      </c>
      <c r="F82" s="8" t="str">
        <f ca="1">IFERROR(_xludf.XLOOKUP(D82,STUDENTS!$A$5:$A$204,STUDENTS!$L$5:$L$204,""),"")</f>
        <v/>
      </c>
      <c r="G82" s="8"/>
      <c r="H82" s="14"/>
      <c r="I82" s="14"/>
      <c r="J82" s="15" t="str">
        <f>IF(H82="","",H82*SETTINGS!$B$9)</f>
        <v/>
      </c>
      <c r="K82" s="15" t="str">
        <f>IF(I82="","",I82*SETTINGS!$B$10)</f>
        <v/>
      </c>
      <c r="L82" s="15" t="str">
        <f t="shared" si="5"/>
        <v/>
      </c>
      <c r="M82" s="10" t="str">
        <f t="shared" si="6"/>
        <v/>
      </c>
      <c r="N82" s="10" t="str">
        <f t="shared" si="7"/>
        <v/>
      </c>
      <c r="O82" s="8"/>
    </row>
    <row r="83" spans="1:15" x14ac:dyDescent="0.2">
      <c r="A83" s="10" t="str">
        <f t="shared" si="4"/>
        <v/>
      </c>
      <c r="B83" s="8"/>
      <c r="C83" s="8"/>
      <c r="D83" s="8"/>
      <c r="E83" s="8" t="str">
        <f ca="1">IFERROR(_xludf.XLOOKUP(D83,STUDENTS!$A$5:$A$204,STUDENTS!$C$5:$C$204,""),"")</f>
        <v/>
      </c>
      <c r="F83" s="8" t="str">
        <f ca="1">IFERROR(_xludf.XLOOKUP(D83,STUDENTS!$A$5:$A$204,STUDENTS!$L$5:$L$204,""),"")</f>
        <v/>
      </c>
      <c r="G83" s="8"/>
      <c r="H83" s="14"/>
      <c r="I83" s="14"/>
      <c r="J83" s="15" t="str">
        <f>IF(H83="","",H83*SETTINGS!$B$9)</f>
        <v/>
      </c>
      <c r="K83" s="15" t="str">
        <f>IF(I83="","",I83*SETTINGS!$B$10)</f>
        <v/>
      </c>
      <c r="L83" s="15" t="str">
        <f t="shared" si="5"/>
        <v/>
      </c>
      <c r="M83" s="10" t="str">
        <f t="shared" si="6"/>
        <v/>
      </c>
      <c r="N83" s="10" t="str">
        <f t="shared" si="7"/>
        <v/>
      </c>
      <c r="O83" s="8"/>
    </row>
    <row r="84" spans="1:15" x14ac:dyDescent="0.2">
      <c r="A84" s="10" t="str">
        <f t="shared" si="4"/>
        <v/>
      </c>
      <c r="B84" s="8"/>
      <c r="C84" s="8"/>
      <c r="D84" s="8"/>
      <c r="E84" s="8" t="str">
        <f ca="1">IFERROR(_xludf.XLOOKUP(D84,STUDENTS!$A$5:$A$204,STUDENTS!$C$5:$C$204,""),"")</f>
        <v/>
      </c>
      <c r="F84" s="8" t="str">
        <f ca="1">IFERROR(_xludf.XLOOKUP(D84,STUDENTS!$A$5:$A$204,STUDENTS!$L$5:$L$204,""),"")</f>
        <v/>
      </c>
      <c r="G84" s="8"/>
      <c r="H84" s="14"/>
      <c r="I84" s="14"/>
      <c r="J84" s="15" t="str">
        <f>IF(H84="","",H84*SETTINGS!$B$9)</f>
        <v/>
      </c>
      <c r="K84" s="15" t="str">
        <f>IF(I84="","",I84*SETTINGS!$B$10)</f>
        <v/>
      </c>
      <c r="L84" s="15" t="str">
        <f t="shared" si="5"/>
        <v/>
      </c>
      <c r="M84" s="10" t="str">
        <f t="shared" si="6"/>
        <v/>
      </c>
      <c r="N84" s="10" t="str">
        <f t="shared" si="7"/>
        <v/>
      </c>
      <c r="O84" s="8"/>
    </row>
    <row r="85" spans="1:15" x14ac:dyDescent="0.2">
      <c r="A85" s="10" t="str">
        <f t="shared" si="4"/>
        <v/>
      </c>
      <c r="B85" s="8"/>
      <c r="C85" s="8"/>
      <c r="D85" s="8"/>
      <c r="E85" s="8" t="str">
        <f ca="1">IFERROR(_xludf.XLOOKUP(D85,STUDENTS!$A$5:$A$204,STUDENTS!$C$5:$C$204,""),"")</f>
        <v/>
      </c>
      <c r="F85" s="8" t="str">
        <f ca="1">IFERROR(_xludf.XLOOKUP(D85,STUDENTS!$A$5:$A$204,STUDENTS!$L$5:$L$204,""),"")</f>
        <v/>
      </c>
      <c r="G85" s="8"/>
      <c r="H85" s="14"/>
      <c r="I85" s="14"/>
      <c r="J85" s="15" t="str">
        <f>IF(H85="","",H85*SETTINGS!$B$9)</f>
        <v/>
      </c>
      <c r="K85" s="15" t="str">
        <f>IF(I85="","",I85*SETTINGS!$B$10)</f>
        <v/>
      </c>
      <c r="L85" s="15" t="str">
        <f t="shared" si="5"/>
        <v/>
      </c>
      <c r="M85" s="10" t="str">
        <f t="shared" si="6"/>
        <v/>
      </c>
      <c r="N85" s="10" t="str">
        <f t="shared" si="7"/>
        <v/>
      </c>
      <c r="O85" s="8"/>
    </row>
    <row r="86" spans="1:15" x14ac:dyDescent="0.2">
      <c r="A86" s="10" t="str">
        <f t="shared" si="4"/>
        <v/>
      </c>
      <c r="B86" s="8"/>
      <c r="C86" s="8"/>
      <c r="D86" s="8"/>
      <c r="E86" s="8" t="str">
        <f ca="1">IFERROR(_xludf.XLOOKUP(D86,STUDENTS!$A$5:$A$204,STUDENTS!$C$5:$C$204,""),"")</f>
        <v/>
      </c>
      <c r="F86" s="8" t="str">
        <f ca="1">IFERROR(_xludf.XLOOKUP(D86,STUDENTS!$A$5:$A$204,STUDENTS!$L$5:$L$204,""),"")</f>
        <v/>
      </c>
      <c r="G86" s="8"/>
      <c r="H86" s="14"/>
      <c r="I86" s="14"/>
      <c r="J86" s="15" t="str">
        <f>IF(H86="","",H86*SETTINGS!$B$9)</f>
        <v/>
      </c>
      <c r="K86" s="15" t="str">
        <f>IF(I86="","",I86*SETTINGS!$B$10)</f>
        <v/>
      </c>
      <c r="L86" s="15" t="str">
        <f t="shared" si="5"/>
        <v/>
      </c>
      <c r="M86" s="10" t="str">
        <f t="shared" si="6"/>
        <v/>
      </c>
      <c r="N86" s="10" t="str">
        <f t="shared" si="7"/>
        <v/>
      </c>
      <c r="O86" s="8"/>
    </row>
    <row r="87" spans="1:15" x14ac:dyDescent="0.2">
      <c r="A87" s="10" t="str">
        <f t="shared" si="4"/>
        <v/>
      </c>
      <c r="B87" s="8"/>
      <c r="C87" s="8"/>
      <c r="D87" s="8"/>
      <c r="E87" s="8" t="str">
        <f ca="1">IFERROR(_xludf.XLOOKUP(D87,STUDENTS!$A$5:$A$204,STUDENTS!$C$5:$C$204,""),"")</f>
        <v/>
      </c>
      <c r="F87" s="8" t="str">
        <f ca="1">IFERROR(_xludf.XLOOKUP(D87,STUDENTS!$A$5:$A$204,STUDENTS!$L$5:$L$204,""),"")</f>
        <v/>
      </c>
      <c r="G87" s="8"/>
      <c r="H87" s="14"/>
      <c r="I87" s="14"/>
      <c r="J87" s="15" t="str">
        <f>IF(H87="","",H87*SETTINGS!$B$9)</f>
        <v/>
      </c>
      <c r="K87" s="15" t="str">
        <f>IF(I87="","",I87*SETTINGS!$B$10)</f>
        <v/>
      </c>
      <c r="L87" s="15" t="str">
        <f t="shared" si="5"/>
        <v/>
      </c>
      <c r="M87" s="10" t="str">
        <f t="shared" si="6"/>
        <v/>
      </c>
      <c r="N87" s="10" t="str">
        <f t="shared" si="7"/>
        <v/>
      </c>
      <c r="O87" s="8"/>
    </row>
    <row r="88" spans="1:15" x14ac:dyDescent="0.2">
      <c r="A88" s="10" t="str">
        <f t="shared" si="4"/>
        <v/>
      </c>
      <c r="B88" s="8"/>
      <c r="C88" s="8"/>
      <c r="D88" s="8"/>
      <c r="E88" s="8" t="str">
        <f ca="1">IFERROR(_xludf.XLOOKUP(D88,STUDENTS!$A$5:$A$204,STUDENTS!$C$5:$C$204,""),"")</f>
        <v/>
      </c>
      <c r="F88" s="8" t="str">
        <f ca="1">IFERROR(_xludf.XLOOKUP(D88,STUDENTS!$A$5:$A$204,STUDENTS!$L$5:$L$204,""),"")</f>
        <v/>
      </c>
      <c r="G88" s="8"/>
      <c r="H88" s="14"/>
      <c r="I88" s="14"/>
      <c r="J88" s="15" t="str">
        <f>IF(H88="","",H88*SETTINGS!$B$9)</f>
        <v/>
      </c>
      <c r="K88" s="15" t="str">
        <f>IF(I88="","",I88*SETTINGS!$B$10)</f>
        <v/>
      </c>
      <c r="L88" s="15" t="str">
        <f t="shared" si="5"/>
        <v/>
      </c>
      <c r="M88" s="10" t="str">
        <f t="shared" si="6"/>
        <v/>
      </c>
      <c r="N88" s="10" t="str">
        <f t="shared" si="7"/>
        <v/>
      </c>
      <c r="O88" s="8"/>
    </row>
    <row r="89" spans="1:15" x14ac:dyDescent="0.2">
      <c r="A89" s="10" t="str">
        <f t="shared" si="4"/>
        <v/>
      </c>
      <c r="B89" s="8"/>
      <c r="C89" s="8"/>
      <c r="D89" s="8"/>
      <c r="E89" s="8" t="str">
        <f ca="1">IFERROR(_xludf.XLOOKUP(D89,STUDENTS!$A$5:$A$204,STUDENTS!$C$5:$C$204,""),"")</f>
        <v/>
      </c>
      <c r="F89" s="8" t="str">
        <f ca="1">IFERROR(_xludf.XLOOKUP(D89,STUDENTS!$A$5:$A$204,STUDENTS!$L$5:$L$204,""),"")</f>
        <v/>
      </c>
      <c r="G89" s="8"/>
      <c r="H89" s="14"/>
      <c r="I89" s="14"/>
      <c r="J89" s="15" t="str">
        <f>IF(H89="","",H89*SETTINGS!$B$9)</f>
        <v/>
      </c>
      <c r="K89" s="15" t="str">
        <f>IF(I89="","",I89*SETTINGS!$B$10)</f>
        <v/>
      </c>
      <c r="L89" s="15" t="str">
        <f t="shared" si="5"/>
        <v/>
      </c>
      <c r="M89" s="10" t="str">
        <f t="shared" si="6"/>
        <v/>
      </c>
      <c r="N89" s="10" t="str">
        <f t="shared" si="7"/>
        <v/>
      </c>
      <c r="O89" s="8"/>
    </row>
    <row r="90" spans="1:15" x14ac:dyDescent="0.2">
      <c r="A90" s="10" t="str">
        <f t="shared" si="4"/>
        <v/>
      </c>
      <c r="B90" s="8"/>
      <c r="C90" s="8"/>
      <c r="D90" s="8"/>
      <c r="E90" s="8" t="str">
        <f ca="1">IFERROR(_xludf.XLOOKUP(D90,STUDENTS!$A$5:$A$204,STUDENTS!$C$5:$C$204,""),"")</f>
        <v/>
      </c>
      <c r="F90" s="8" t="str">
        <f ca="1">IFERROR(_xludf.XLOOKUP(D90,STUDENTS!$A$5:$A$204,STUDENTS!$L$5:$L$204,""),"")</f>
        <v/>
      </c>
      <c r="G90" s="8"/>
      <c r="H90" s="14"/>
      <c r="I90" s="14"/>
      <c r="J90" s="15" t="str">
        <f>IF(H90="","",H90*SETTINGS!$B$9)</f>
        <v/>
      </c>
      <c r="K90" s="15" t="str">
        <f>IF(I90="","",I90*SETTINGS!$B$10)</f>
        <v/>
      </c>
      <c r="L90" s="15" t="str">
        <f t="shared" si="5"/>
        <v/>
      </c>
      <c r="M90" s="10" t="str">
        <f t="shared" si="6"/>
        <v/>
      </c>
      <c r="N90" s="10" t="str">
        <f t="shared" si="7"/>
        <v/>
      </c>
      <c r="O90" s="8"/>
    </row>
    <row r="91" spans="1:15" x14ac:dyDescent="0.2">
      <c r="A91" s="10" t="str">
        <f t="shared" si="4"/>
        <v/>
      </c>
      <c r="B91" s="8"/>
      <c r="C91" s="8"/>
      <c r="D91" s="8"/>
      <c r="E91" s="8" t="str">
        <f ca="1">IFERROR(_xludf.XLOOKUP(D91,STUDENTS!$A$5:$A$204,STUDENTS!$C$5:$C$204,""),"")</f>
        <v/>
      </c>
      <c r="F91" s="8" t="str">
        <f ca="1">IFERROR(_xludf.XLOOKUP(D91,STUDENTS!$A$5:$A$204,STUDENTS!$L$5:$L$204,""),"")</f>
        <v/>
      </c>
      <c r="G91" s="8"/>
      <c r="H91" s="14"/>
      <c r="I91" s="14"/>
      <c r="J91" s="15" t="str">
        <f>IF(H91="","",H91*SETTINGS!$B$9)</f>
        <v/>
      </c>
      <c r="K91" s="15" t="str">
        <f>IF(I91="","",I91*SETTINGS!$B$10)</f>
        <v/>
      </c>
      <c r="L91" s="15" t="str">
        <f t="shared" si="5"/>
        <v/>
      </c>
      <c r="M91" s="10" t="str">
        <f t="shared" si="6"/>
        <v/>
      </c>
      <c r="N91" s="10" t="str">
        <f t="shared" si="7"/>
        <v/>
      </c>
      <c r="O91" s="8"/>
    </row>
    <row r="92" spans="1:15" x14ac:dyDescent="0.2">
      <c r="A92" s="10" t="str">
        <f t="shared" si="4"/>
        <v/>
      </c>
      <c r="B92" s="8"/>
      <c r="C92" s="8"/>
      <c r="D92" s="8"/>
      <c r="E92" s="8" t="str">
        <f ca="1">IFERROR(_xludf.XLOOKUP(D92,STUDENTS!$A$5:$A$204,STUDENTS!$C$5:$C$204,""),"")</f>
        <v/>
      </c>
      <c r="F92" s="8" t="str">
        <f ca="1">IFERROR(_xludf.XLOOKUP(D92,STUDENTS!$A$5:$A$204,STUDENTS!$L$5:$L$204,""),"")</f>
        <v/>
      </c>
      <c r="G92" s="8"/>
      <c r="H92" s="14"/>
      <c r="I92" s="14"/>
      <c r="J92" s="15" t="str">
        <f>IF(H92="","",H92*SETTINGS!$B$9)</f>
        <v/>
      </c>
      <c r="K92" s="15" t="str">
        <f>IF(I92="","",I92*SETTINGS!$B$10)</f>
        <v/>
      </c>
      <c r="L92" s="15" t="str">
        <f t="shared" si="5"/>
        <v/>
      </c>
      <c r="M92" s="10" t="str">
        <f t="shared" si="6"/>
        <v/>
      </c>
      <c r="N92" s="10" t="str">
        <f t="shared" si="7"/>
        <v/>
      </c>
      <c r="O92" s="8"/>
    </row>
    <row r="93" spans="1:15" x14ac:dyDescent="0.2">
      <c r="A93" s="10" t="str">
        <f t="shared" si="4"/>
        <v/>
      </c>
      <c r="B93" s="8"/>
      <c r="C93" s="8"/>
      <c r="D93" s="8"/>
      <c r="E93" s="8" t="str">
        <f ca="1">IFERROR(_xludf.XLOOKUP(D93,STUDENTS!$A$5:$A$204,STUDENTS!$C$5:$C$204,""),"")</f>
        <v/>
      </c>
      <c r="F93" s="8" t="str">
        <f ca="1">IFERROR(_xludf.XLOOKUP(D93,STUDENTS!$A$5:$A$204,STUDENTS!$L$5:$L$204,""),"")</f>
        <v/>
      </c>
      <c r="G93" s="8"/>
      <c r="H93" s="14"/>
      <c r="I93" s="14"/>
      <c r="J93" s="15" t="str">
        <f>IF(H93="","",H93*SETTINGS!$B$9)</f>
        <v/>
      </c>
      <c r="K93" s="15" t="str">
        <f>IF(I93="","",I93*SETTINGS!$B$10)</f>
        <v/>
      </c>
      <c r="L93" s="15" t="str">
        <f t="shared" si="5"/>
        <v/>
      </c>
      <c r="M93" s="10" t="str">
        <f t="shared" si="6"/>
        <v/>
      </c>
      <c r="N93" s="10" t="str">
        <f t="shared" si="7"/>
        <v/>
      </c>
      <c r="O93" s="8"/>
    </row>
    <row r="94" spans="1:15" x14ac:dyDescent="0.2">
      <c r="A94" s="10" t="str">
        <f t="shared" si="4"/>
        <v/>
      </c>
      <c r="B94" s="8"/>
      <c r="C94" s="8"/>
      <c r="D94" s="8"/>
      <c r="E94" s="8" t="str">
        <f ca="1">IFERROR(_xludf.XLOOKUP(D94,STUDENTS!$A$5:$A$204,STUDENTS!$C$5:$C$204,""),"")</f>
        <v/>
      </c>
      <c r="F94" s="8" t="str">
        <f ca="1">IFERROR(_xludf.XLOOKUP(D94,STUDENTS!$A$5:$A$204,STUDENTS!$L$5:$L$204,""),"")</f>
        <v/>
      </c>
      <c r="G94" s="8"/>
      <c r="H94" s="14"/>
      <c r="I94" s="14"/>
      <c r="J94" s="15" t="str">
        <f>IF(H94="","",H94*SETTINGS!$B$9)</f>
        <v/>
      </c>
      <c r="K94" s="15" t="str">
        <f>IF(I94="","",I94*SETTINGS!$B$10)</f>
        <v/>
      </c>
      <c r="L94" s="15" t="str">
        <f t="shared" si="5"/>
        <v/>
      </c>
      <c r="M94" s="10" t="str">
        <f t="shared" si="6"/>
        <v/>
      </c>
      <c r="N94" s="10" t="str">
        <f t="shared" si="7"/>
        <v/>
      </c>
      <c r="O94" s="8"/>
    </row>
    <row r="95" spans="1:15" x14ac:dyDescent="0.2">
      <c r="A95" s="10" t="str">
        <f t="shared" si="4"/>
        <v/>
      </c>
      <c r="B95" s="8"/>
      <c r="C95" s="8"/>
      <c r="D95" s="8"/>
      <c r="E95" s="8" t="str">
        <f ca="1">IFERROR(_xludf.XLOOKUP(D95,STUDENTS!$A$5:$A$204,STUDENTS!$C$5:$C$204,""),"")</f>
        <v/>
      </c>
      <c r="F95" s="8" t="str">
        <f ca="1">IFERROR(_xludf.XLOOKUP(D95,STUDENTS!$A$5:$A$204,STUDENTS!$L$5:$L$204,""),"")</f>
        <v/>
      </c>
      <c r="G95" s="8"/>
      <c r="H95" s="14"/>
      <c r="I95" s="14"/>
      <c r="J95" s="15" t="str">
        <f>IF(H95="","",H95*SETTINGS!$B$9)</f>
        <v/>
      </c>
      <c r="K95" s="15" t="str">
        <f>IF(I95="","",I95*SETTINGS!$B$10)</f>
        <v/>
      </c>
      <c r="L95" s="15" t="str">
        <f t="shared" si="5"/>
        <v/>
      </c>
      <c r="M95" s="10" t="str">
        <f t="shared" si="6"/>
        <v/>
      </c>
      <c r="N95" s="10" t="str">
        <f t="shared" si="7"/>
        <v/>
      </c>
      <c r="O95" s="8"/>
    </row>
    <row r="96" spans="1:15" x14ac:dyDescent="0.2">
      <c r="A96" s="10" t="str">
        <f t="shared" si="4"/>
        <v/>
      </c>
      <c r="B96" s="8"/>
      <c r="C96" s="8"/>
      <c r="D96" s="8"/>
      <c r="E96" s="8" t="str">
        <f ca="1">IFERROR(_xludf.XLOOKUP(D96,STUDENTS!$A$5:$A$204,STUDENTS!$C$5:$C$204,""),"")</f>
        <v/>
      </c>
      <c r="F96" s="8" t="str">
        <f ca="1">IFERROR(_xludf.XLOOKUP(D96,STUDENTS!$A$5:$A$204,STUDENTS!$L$5:$L$204,""),"")</f>
        <v/>
      </c>
      <c r="G96" s="8"/>
      <c r="H96" s="14"/>
      <c r="I96" s="14"/>
      <c r="J96" s="15" t="str">
        <f>IF(H96="","",H96*SETTINGS!$B$9)</f>
        <v/>
      </c>
      <c r="K96" s="15" t="str">
        <f>IF(I96="","",I96*SETTINGS!$B$10)</f>
        <v/>
      </c>
      <c r="L96" s="15" t="str">
        <f t="shared" si="5"/>
        <v/>
      </c>
      <c r="M96" s="10" t="str">
        <f t="shared" si="6"/>
        <v/>
      </c>
      <c r="N96" s="10" t="str">
        <f t="shared" si="7"/>
        <v/>
      </c>
      <c r="O96" s="8"/>
    </row>
    <row r="97" spans="1:15" x14ac:dyDescent="0.2">
      <c r="A97" s="10" t="str">
        <f t="shared" si="4"/>
        <v/>
      </c>
      <c r="B97" s="8"/>
      <c r="C97" s="8"/>
      <c r="D97" s="8"/>
      <c r="E97" s="8" t="str">
        <f ca="1">IFERROR(_xludf.XLOOKUP(D97,STUDENTS!$A$5:$A$204,STUDENTS!$C$5:$C$204,""),"")</f>
        <v/>
      </c>
      <c r="F97" s="8" t="str">
        <f ca="1">IFERROR(_xludf.XLOOKUP(D97,STUDENTS!$A$5:$A$204,STUDENTS!$L$5:$L$204,""),"")</f>
        <v/>
      </c>
      <c r="G97" s="8"/>
      <c r="H97" s="14"/>
      <c r="I97" s="14"/>
      <c r="J97" s="15" t="str">
        <f>IF(H97="","",H97*SETTINGS!$B$9)</f>
        <v/>
      </c>
      <c r="K97" s="15" t="str">
        <f>IF(I97="","",I97*SETTINGS!$B$10)</f>
        <v/>
      </c>
      <c r="L97" s="15" t="str">
        <f t="shared" si="5"/>
        <v/>
      </c>
      <c r="M97" s="10" t="str">
        <f t="shared" si="6"/>
        <v/>
      </c>
      <c r="N97" s="10" t="str">
        <f t="shared" si="7"/>
        <v/>
      </c>
      <c r="O97" s="8"/>
    </row>
    <row r="98" spans="1:15" x14ac:dyDescent="0.2">
      <c r="A98" s="10" t="str">
        <f t="shared" si="4"/>
        <v/>
      </c>
      <c r="B98" s="8"/>
      <c r="C98" s="8"/>
      <c r="D98" s="8"/>
      <c r="E98" s="8" t="str">
        <f ca="1">IFERROR(_xludf.XLOOKUP(D98,STUDENTS!$A$5:$A$204,STUDENTS!$C$5:$C$204,""),"")</f>
        <v/>
      </c>
      <c r="F98" s="8" t="str">
        <f ca="1">IFERROR(_xludf.XLOOKUP(D98,STUDENTS!$A$5:$A$204,STUDENTS!$L$5:$L$204,""),"")</f>
        <v/>
      </c>
      <c r="G98" s="8"/>
      <c r="H98" s="14"/>
      <c r="I98" s="14"/>
      <c r="J98" s="15" t="str">
        <f>IF(H98="","",H98*SETTINGS!$B$9)</f>
        <v/>
      </c>
      <c r="K98" s="15" t="str">
        <f>IF(I98="","",I98*SETTINGS!$B$10)</f>
        <v/>
      </c>
      <c r="L98" s="15" t="str">
        <f t="shared" si="5"/>
        <v/>
      </c>
      <c r="M98" s="10" t="str">
        <f t="shared" si="6"/>
        <v/>
      </c>
      <c r="N98" s="10" t="str">
        <f t="shared" si="7"/>
        <v/>
      </c>
      <c r="O98" s="8"/>
    </row>
    <row r="99" spans="1:15" x14ac:dyDescent="0.2">
      <c r="A99" s="10" t="str">
        <f t="shared" si="4"/>
        <v/>
      </c>
      <c r="B99" s="8"/>
      <c r="C99" s="8"/>
      <c r="D99" s="8"/>
      <c r="E99" s="8" t="str">
        <f ca="1">IFERROR(_xludf.XLOOKUP(D99,STUDENTS!$A$5:$A$204,STUDENTS!$C$5:$C$204,""),"")</f>
        <v/>
      </c>
      <c r="F99" s="8" t="str">
        <f ca="1">IFERROR(_xludf.XLOOKUP(D99,STUDENTS!$A$5:$A$204,STUDENTS!$L$5:$L$204,""),"")</f>
        <v/>
      </c>
      <c r="G99" s="8"/>
      <c r="H99" s="14"/>
      <c r="I99" s="14"/>
      <c r="J99" s="15" t="str">
        <f>IF(H99="","",H99*SETTINGS!$B$9)</f>
        <v/>
      </c>
      <c r="K99" s="15" t="str">
        <f>IF(I99="","",I99*SETTINGS!$B$10)</f>
        <v/>
      </c>
      <c r="L99" s="15" t="str">
        <f t="shared" si="5"/>
        <v/>
      </c>
      <c r="M99" s="10" t="str">
        <f t="shared" si="6"/>
        <v/>
      </c>
      <c r="N99" s="10" t="str">
        <f t="shared" si="7"/>
        <v/>
      </c>
      <c r="O99" s="8"/>
    </row>
    <row r="100" spans="1:15" x14ac:dyDescent="0.2">
      <c r="A100" s="10" t="str">
        <f t="shared" si="4"/>
        <v/>
      </c>
      <c r="B100" s="8"/>
      <c r="C100" s="8"/>
      <c r="D100" s="8"/>
      <c r="E100" s="8" t="str">
        <f ca="1">IFERROR(_xludf.XLOOKUP(D100,STUDENTS!$A$5:$A$204,STUDENTS!$C$5:$C$204,""),"")</f>
        <v/>
      </c>
      <c r="F100" s="8" t="str">
        <f ca="1">IFERROR(_xludf.XLOOKUP(D100,STUDENTS!$A$5:$A$204,STUDENTS!$L$5:$L$204,""),"")</f>
        <v/>
      </c>
      <c r="G100" s="8"/>
      <c r="H100" s="14"/>
      <c r="I100" s="14"/>
      <c r="J100" s="15" t="str">
        <f>IF(H100="","",H100*SETTINGS!$B$9)</f>
        <v/>
      </c>
      <c r="K100" s="15" t="str">
        <f>IF(I100="","",I100*SETTINGS!$B$10)</f>
        <v/>
      </c>
      <c r="L100" s="15" t="str">
        <f t="shared" si="5"/>
        <v/>
      </c>
      <c r="M100" s="10" t="str">
        <f t="shared" si="6"/>
        <v/>
      </c>
      <c r="N100" s="10" t="str">
        <f t="shared" si="7"/>
        <v/>
      </c>
      <c r="O100" s="8"/>
    </row>
    <row r="101" spans="1:15" x14ac:dyDescent="0.2">
      <c r="A101" s="10" t="str">
        <f t="shared" si="4"/>
        <v/>
      </c>
      <c r="B101" s="8"/>
      <c r="C101" s="8"/>
      <c r="D101" s="8"/>
      <c r="E101" s="8" t="str">
        <f ca="1">IFERROR(_xludf.XLOOKUP(D101,STUDENTS!$A$5:$A$204,STUDENTS!$C$5:$C$204,""),"")</f>
        <v/>
      </c>
      <c r="F101" s="8" t="str">
        <f ca="1">IFERROR(_xludf.XLOOKUP(D101,STUDENTS!$A$5:$A$204,STUDENTS!$L$5:$L$204,""),"")</f>
        <v/>
      </c>
      <c r="G101" s="8"/>
      <c r="H101" s="14"/>
      <c r="I101" s="14"/>
      <c r="J101" s="15" t="str">
        <f>IF(H101="","",H101*SETTINGS!$B$9)</f>
        <v/>
      </c>
      <c r="K101" s="15" t="str">
        <f>IF(I101="","",I101*SETTINGS!$B$10)</f>
        <v/>
      </c>
      <c r="L101" s="15" t="str">
        <f t="shared" si="5"/>
        <v/>
      </c>
      <c r="M101" s="10" t="str">
        <f t="shared" si="6"/>
        <v/>
      </c>
      <c r="N101" s="10" t="str">
        <f t="shared" si="7"/>
        <v/>
      </c>
      <c r="O101" s="8"/>
    </row>
    <row r="102" spans="1:15" x14ac:dyDescent="0.2">
      <c r="A102" s="10" t="str">
        <f t="shared" si="4"/>
        <v/>
      </c>
      <c r="B102" s="8"/>
      <c r="C102" s="8"/>
      <c r="D102" s="8"/>
      <c r="E102" s="8" t="str">
        <f ca="1">IFERROR(_xludf.XLOOKUP(D102,STUDENTS!$A$5:$A$204,STUDENTS!$C$5:$C$204,""),"")</f>
        <v/>
      </c>
      <c r="F102" s="8" t="str">
        <f ca="1">IFERROR(_xludf.XLOOKUP(D102,STUDENTS!$A$5:$A$204,STUDENTS!$L$5:$L$204,""),"")</f>
        <v/>
      </c>
      <c r="G102" s="8"/>
      <c r="H102" s="14"/>
      <c r="I102" s="14"/>
      <c r="J102" s="15" t="str">
        <f>IF(H102="","",H102*SETTINGS!$B$9)</f>
        <v/>
      </c>
      <c r="K102" s="15" t="str">
        <f>IF(I102="","",I102*SETTINGS!$B$10)</f>
        <v/>
      </c>
      <c r="L102" s="15" t="str">
        <f t="shared" si="5"/>
        <v/>
      </c>
      <c r="M102" s="10" t="str">
        <f t="shared" si="6"/>
        <v/>
      </c>
      <c r="N102" s="10" t="str">
        <f t="shared" si="7"/>
        <v/>
      </c>
      <c r="O102" s="8"/>
    </row>
    <row r="103" spans="1:15" x14ac:dyDescent="0.2">
      <c r="A103" s="10" t="str">
        <f t="shared" si="4"/>
        <v/>
      </c>
      <c r="B103" s="8"/>
      <c r="C103" s="8"/>
      <c r="D103" s="8"/>
      <c r="E103" s="8" t="str">
        <f ca="1">IFERROR(_xludf.XLOOKUP(D103,STUDENTS!$A$5:$A$204,STUDENTS!$C$5:$C$204,""),"")</f>
        <v/>
      </c>
      <c r="F103" s="8" t="str">
        <f ca="1">IFERROR(_xludf.XLOOKUP(D103,STUDENTS!$A$5:$A$204,STUDENTS!$L$5:$L$204,""),"")</f>
        <v/>
      </c>
      <c r="G103" s="8"/>
      <c r="H103" s="14"/>
      <c r="I103" s="14"/>
      <c r="J103" s="15" t="str">
        <f>IF(H103="","",H103*SETTINGS!$B$9)</f>
        <v/>
      </c>
      <c r="K103" s="15" t="str">
        <f>IF(I103="","",I103*SETTINGS!$B$10)</f>
        <v/>
      </c>
      <c r="L103" s="15" t="str">
        <f t="shared" si="5"/>
        <v/>
      </c>
      <c r="M103" s="10" t="str">
        <f t="shared" si="6"/>
        <v/>
      </c>
      <c r="N103" s="10" t="str">
        <f t="shared" si="7"/>
        <v/>
      </c>
      <c r="O103" s="8"/>
    </row>
    <row r="104" spans="1:15" x14ac:dyDescent="0.2">
      <c r="A104" s="10" t="str">
        <f t="shared" si="4"/>
        <v/>
      </c>
      <c r="B104" s="8"/>
      <c r="C104" s="8"/>
      <c r="D104" s="8"/>
      <c r="E104" s="8" t="str">
        <f ca="1">IFERROR(_xludf.XLOOKUP(D104,STUDENTS!$A$5:$A$204,STUDENTS!$C$5:$C$204,""),"")</f>
        <v/>
      </c>
      <c r="F104" s="8" t="str">
        <f ca="1">IFERROR(_xludf.XLOOKUP(D104,STUDENTS!$A$5:$A$204,STUDENTS!$L$5:$L$204,""),"")</f>
        <v/>
      </c>
      <c r="G104" s="8"/>
      <c r="H104" s="14"/>
      <c r="I104" s="14"/>
      <c r="J104" s="15" t="str">
        <f>IF(H104="","",H104*SETTINGS!$B$9)</f>
        <v/>
      </c>
      <c r="K104" s="15" t="str">
        <f>IF(I104="","",I104*SETTINGS!$B$10)</f>
        <v/>
      </c>
      <c r="L104" s="15" t="str">
        <f t="shared" si="5"/>
        <v/>
      </c>
      <c r="M104" s="10" t="str">
        <f t="shared" si="6"/>
        <v/>
      </c>
      <c r="N104" s="10" t="str">
        <f t="shared" si="7"/>
        <v/>
      </c>
      <c r="O104" s="8"/>
    </row>
    <row r="105" spans="1:15" x14ac:dyDescent="0.2">
      <c r="A105" s="10" t="str">
        <f t="shared" si="4"/>
        <v/>
      </c>
      <c r="B105" s="8"/>
      <c r="C105" s="8"/>
      <c r="D105" s="8"/>
      <c r="E105" s="8" t="str">
        <f ca="1">IFERROR(_xludf.XLOOKUP(D105,STUDENTS!$A$5:$A$204,STUDENTS!$C$5:$C$204,""),"")</f>
        <v/>
      </c>
      <c r="F105" s="8" t="str">
        <f ca="1">IFERROR(_xludf.XLOOKUP(D105,STUDENTS!$A$5:$A$204,STUDENTS!$L$5:$L$204,""),"")</f>
        <v/>
      </c>
      <c r="G105" s="8"/>
      <c r="H105" s="14"/>
      <c r="I105" s="14"/>
      <c r="J105" s="15" t="str">
        <f>IF(H105="","",H105*SETTINGS!$B$9)</f>
        <v/>
      </c>
      <c r="K105" s="15" t="str">
        <f>IF(I105="","",I105*SETTINGS!$B$10)</f>
        <v/>
      </c>
      <c r="L105" s="15" t="str">
        <f t="shared" si="5"/>
        <v/>
      </c>
      <c r="M105" s="10" t="str">
        <f t="shared" si="6"/>
        <v/>
      </c>
      <c r="N105" s="10" t="str">
        <f t="shared" si="7"/>
        <v/>
      </c>
      <c r="O105" s="8"/>
    </row>
    <row r="106" spans="1:15" x14ac:dyDescent="0.2">
      <c r="A106" s="10" t="str">
        <f t="shared" si="4"/>
        <v/>
      </c>
      <c r="B106" s="8"/>
      <c r="C106" s="8"/>
      <c r="D106" s="8"/>
      <c r="E106" s="8" t="str">
        <f ca="1">IFERROR(_xludf.XLOOKUP(D106,STUDENTS!$A$5:$A$204,STUDENTS!$C$5:$C$204,""),"")</f>
        <v/>
      </c>
      <c r="F106" s="8" t="str">
        <f ca="1">IFERROR(_xludf.XLOOKUP(D106,STUDENTS!$A$5:$A$204,STUDENTS!$L$5:$L$204,""),"")</f>
        <v/>
      </c>
      <c r="G106" s="8"/>
      <c r="H106" s="14"/>
      <c r="I106" s="14"/>
      <c r="J106" s="15" t="str">
        <f>IF(H106="","",H106*SETTINGS!$B$9)</f>
        <v/>
      </c>
      <c r="K106" s="15" t="str">
        <f>IF(I106="","",I106*SETTINGS!$B$10)</f>
        <v/>
      </c>
      <c r="L106" s="15" t="str">
        <f t="shared" si="5"/>
        <v/>
      </c>
      <c r="M106" s="10" t="str">
        <f t="shared" si="6"/>
        <v/>
      </c>
      <c r="N106" s="10" t="str">
        <f t="shared" si="7"/>
        <v/>
      </c>
      <c r="O106" s="8"/>
    </row>
    <row r="107" spans="1:15" x14ac:dyDescent="0.2">
      <c r="A107" s="10" t="str">
        <f t="shared" si="4"/>
        <v/>
      </c>
      <c r="B107" s="8"/>
      <c r="C107" s="8"/>
      <c r="D107" s="8"/>
      <c r="E107" s="8" t="str">
        <f ca="1">IFERROR(_xludf.XLOOKUP(D107,STUDENTS!$A$5:$A$204,STUDENTS!$C$5:$C$204,""),"")</f>
        <v/>
      </c>
      <c r="F107" s="8" t="str">
        <f ca="1">IFERROR(_xludf.XLOOKUP(D107,STUDENTS!$A$5:$A$204,STUDENTS!$L$5:$L$204,""),"")</f>
        <v/>
      </c>
      <c r="G107" s="8"/>
      <c r="H107" s="14"/>
      <c r="I107" s="14"/>
      <c r="J107" s="15" t="str">
        <f>IF(H107="","",H107*SETTINGS!$B$9)</f>
        <v/>
      </c>
      <c r="K107" s="15" t="str">
        <f>IF(I107="","",I107*SETTINGS!$B$10)</f>
        <v/>
      </c>
      <c r="L107" s="15" t="str">
        <f t="shared" si="5"/>
        <v/>
      </c>
      <c r="M107" s="10" t="str">
        <f t="shared" si="6"/>
        <v/>
      </c>
      <c r="N107" s="10" t="str">
        <f t="shared" si="7"/>
        <v/>
      </c>
      <c r="O107" s="8"/>
    </row>
    <row r="108" spans="1:15" x14ac:dyDescent="0.2">
      <c r="A108" s="10" t="str">
        <f t="shared" si="4"/>
        <v/>
      </c>
      <c r="B108" s="8"/>
      <c r="C108" s="8"/>
      <c r="D108" s="8"/>
      <c r="E108" s="8" t="str">
        <f ca="1">IFERROR(_xludf.XLOOKUP(D108,STUDENTS!$A$5:$A$204,STUDENTS!$C$5:$C$204,""),"")</f>
        <v/>
      </c>
      <c r="F108" s="8" t="str">
        <f ca="1">IFERROR(_xludf.XLOOKUP(D108,STUDENTS!$A$5:$A$204,STUDENTS!$L$5:$L$204,""),"")</f>
        <v/>
      </c>
      <c r="G108" s="8"/>
      <c r="H108" s="14"/>
      <c r="I108" s="14"/>
      <c r="J108" s="15" t="str">
        <f>IF(H108="","",H108*SETTINGS!$B$9)</f>
        <v/>
      </c>
      <c r="K108" s="15" t="str">
        <f>IF(I108="","",I108*SETTINGS!$B$10)</f>
        <v/>
      </c>
      <c r="L108" s="15" t="str">
        <f t="shared" si="5"/>
        <v/>
      </c>
      <c r="M108" s="10" t="str">
        <f t="shared" si="6"/>
        <v/>
      </c>
      <c r="N108" s="10" t="str">
        <f t="shared" si="7"/>
        <v/>
      </c>
      <c r="O108" s="8"/>
    </row>
    <row r="109" spans="1:15" x14ac:dyDescent="0.2">
      <c r="A109" s="10" t="str">
        <f t="shared" si="4"/>
        <v/>
      </c>
      <c r="B109" s="8"/>
      <c r="C109" s="8"/>
      <c r="D109" s="8"/>
      <c r="E109" s="8" t="str">
        <f ca="1">IFERROR(_xludf.XLOOKUP(D109,STUDENTS!$A$5:$A$204,STUDENTS!$C$5:$C$204,""),"")</f>
        <v/>
      </c>
      <c r="F109" s="8" t="str">
        <f ca="1">IFERROR(_xludf.XLOOKUP(D109,STUDENTS!$A$5:$A$204,STUDENTS!$L$5:$L$204,""),"")</f>
        <v/>
      </c>
      <c r="G109" s="8"/>
      <c r="H109" s="14"/>
      <c r="I109" s="14"/>
      <c r="J109" s="15" t="str">
        <f>IF(H109="","",H109*SETTINGS!$B$9)</f>
        <v/>
      </c>
      <c r="K109" s="15" t="str">
        <f>IF(I109="","",I109*SETTINGS!$B$10)</f>
        <v/>
      </c>
      <c r="L109" s="15" t="str">
        <f t="shared" si="5"/>
        <v/>
      </c>
      <c r="M109" s="10" t="str">
        <f t="shared" si="6"/>
        <v/>
      </c>
      <c r="N109" s="10" t="str">
        <f t="shared" si="7"/>
        <v/>
      </c>
      <c r="O109" s="8"/>
    </row>
    <row r="110" spans="1:15" x14ac:dyDescent="0.2">
      <c r="A110" s="10" t="str">
        <f t="shared" si="4"/>
        <v/>
      </c>
      <c r="B110" s="8"/>
      <c r="C110" s="8"/>
      <c r="D110" s="8"/>
      <c r="E110" s="8" t="str">
        <f ca="1">IFERROR(_xludf.XLOOKUP(D110,STUDENTS!$A$5:$A$204,STUDENTS!$C$5:$C$204,""),"")</f>
        <v/>
      </c>
      <c r="F110" s="8" t="str">
        <f ca="1">IFERROR(_xludf.XLOOKUP(D110,STUDENTS!$A$5:$A$204,STUDENTS!$L$5:$L$204,""),"")</f>
        <v/>
      </c>
      <c r="G110" s="8"/>
      <c r="H110" s="14"/>
      <c r="I110" s="14"/>
      <c r="J110" s="15" t="str">
        <f>IF(H110="","",H110*SETTINGS!$B$9)</f>
        <v/>
      </c>
      <c r="K110" s="15" t="str">
        <f>IF(I110="","",I110*SETTINGS!$B$10)</f>
        <v/>
      </c>
      <c r="L110" s="15" t="str">
        <f t="shared" si="5"/>
        <v/>
      </c>
      <c r="M110" s="10" t="str">
        <f t="shared" si="6"/>
        <v/>
      </c>
      <c r="N110" s="10" t="str">
        <f t="shared" si="7"/>
        <v/>
      </c>
      <c r="O110" s="8"/>
    </row>
    <row r="111" spans="1:15" x14ac:dyDescent="0.2">
      <c r="A111" s="10" t="str">
        <f t="shared" si="4"/>
        <v/>
      </c>
      <c r="B111" s="8"/>
      <c r="C111" s="8"/>
      <c r="D111" s="8"/>
      <c r="E111" s="8" t="str">
        <f ca="1">IFERROR(_xludf.XLOOKUP(D111,STUDENTS!$A$5:$A$204,STUDENTS!$C$5:$C$204,""),"")</f>
        <v/>
      </c>
      <c r="F111" s="8" t="str">
        <f ca="1">IFERROR(_xludf.XLOOKUP(D111,STUDENTS!$A$5:$A$204,STUDENTS!$L$5:$L$204,""),"")</f>
        <v/>
      </c>
      <c r="G111" s="8"/>
      <c r="H111" s="14"/>
      <c r="I111" s="14"/>
      <c r="J111" s="15" t="str">
        <f>IF(H111="","",H111*SETTINGS!$B$9)</f>
        <v/>
      </c>
      <c r="K111" s="15" t="str">
        <f>IF(I111="","",I111*SETTINGS!$B$10)</f>
        <v/>
      </c>
      <c r="L111" s="15" t="str">
        <f t="shared" si="5"/>
        <v/>
      </c>
      <c r="M111" s="10" t="str">
        <f t="shared" si="6"/>
        <v/>
      </c>
      <c r="N111" s="10" t="str">
        <f t="shared" si="7"/>
        <v/>
      </c>
      <c r="O111" s="8"/>
    </row>
    <row r="112" spans="1:15" x14ac:dyDescent="0.2">
      <c r="A112" s="10" t="str">
        <f t="shared" si="4"/>
        <v/>
      </c>
      <c r="B112" s="8"/>
      <c r="C112" s="8"/>
      <c r="D112" s="8"/>
      <c r="E112" s="8" t="str">
        <f ca="1">IFERROR(_xludf.XLOOKUP(D112,STUDENTS!$A$5:$A$204,STUDENTS!$C$5:$C$204,""),"")</f>
        <v/>
      </c>
      <c r="F112" s="8" t="str">
        <f ca="1">IFERROR(_xludf.XLOOKUP(D112,STUDENTS!$A$5:$A$204,STUDENTS!$L$5:$L$204,""),"")</f>
        <v/>
      </c>
      <c r="G112" s="8"/>
      <c r="H112" s="14"/>
      <c r="I112" s="14"/>
      <c r="J112" s="15" t="str">
        <f>IF(H112="","",H112*SETTINGS!$B$9)</f>
        <v/>
      </c>
      <c r="K112" s="15" t="str">
        <f>IF(I112="","",I112*SETTINGS!$B$10)</f>
        <v/>
      </c>
      <c r="L112" s="15" t="str">
        <f t="shared" si="5"/>
        <v/>
      </c>
      <c r="M112" s="10" t="str">
        <f t="shared" si="6"/>
        <v/>
      </c>
      <c r="N112" s="10" t="str">
        <f t="shared" si="7"/>
        <v/>
      </c>
      <c r="O112" s="8"/>
    </row>
    <row r="113" spans="1:15" x14ac:dyDescent="0.2">
      <c r="A113" s="10" t="str">
        <f t="shared" si="4"/>
        <v/>
      </c>
      <c r="B113" s="8"/>
      <c r="C113" s="8"/>
      <c r="D113" s="8"/>
      <c r="E113" s="8" t="str">
        <f ca="1">IFERROR(_xludf.XLOOKUP(D113,STUDENTS!$A$5:$A$204,STUDENTS!$C$5:$C$204,""),"")</f>
        <v/>
      </c>
      <c r="F113" s="8" t="str">
        <f ca="1">IFERROR(_xludf.XLOOKUP(D113,STUDENTS!$A$5:$A$204,STUDENTS!$L$5:$L$204,""),"")</f>
        <v/>
      </c>
      <c r="G113" s="8"/>
      <c r="H113" s="14"/>
      <c r="I113" s="14"/>
      <c r="J113" s="15" t="str">
        <f>IF(H113="","",H113*SETTINGS!$B$9)</f>
        <v/>
      </c>
      <c r="K113" s="15" t="str">
        <f>IF(I113="","",I113*SETTINGS!$B$10)</f>
        <v/>
      </c>
      <c r="L113" s="15" t="str">
        <f t="shared" si="5"/>
        <v/>
      </c>
      <c r="M113" s="10" t="str">
        <f t="shared" si="6"/>
        <v/>
      </c>
      <c r="N113" s="10" t="str">
        <f t="shared" si="7"/>
        <v/>
      </c>
      <c r="O113" s="8"/>
    </row>
    <row r="114" spans="1:15" x14ac:dyDescent="0.2">
      <c r="A114" s="10" t="str">
        <f t="shared" si="4"/>
        <v/>
      </c>
      <c r="B114" s="8"/>
      <c r="C114" s="8"/>
      <c r="D114" s="8"/>
      <c r="E114" s="8" t="str">
        <f ca="1">IFERROR(_xludf.XLOOKUP(D114,STUDENTS!$A$5:$A$204,STUDENTS!$C$5:$C$204,""),"")</f>
        <v/>
      </c>
      <c r="F114" s="8" t="str">
        <f ca="1">IFERROR(_xludf.XLOOKUP(D114,STUDENTS!$A$5:$A$204,STUDENTS!$L$5:$L$204,""),"")</f>
        <v/>
      </c>
      <c r="G114" s="8"/>
      <c r="H114" s="14"/>
      <c r="I114" s="14"/>
      <c r="J114" s="15" t="str">
        <f>IF(H114="","",H114*SETTINGS!$B$9)</f>
        <v/>
      </c>
      <c r="K114" s="15" t="str">
        <f>IF(I114="","",I114*SETTINGS!$B$10)</f>
        <v/>
      </c>
      <c r="L114" s="15" t="str">
        <f t="shared" si="5"/>
        <v/>
      </c>
      <c r="M114" s="10" t="str">
        <f t="shared" si="6"/>
        <v/>
      </c>
      <c r="N114" s="10" t="str">
        <f t="shared" si="7"/>
        <v/>
      </c>
      <c r="O114" s="8"/>
    </row>
    <row r="115" spans="1:15" x14ac:dyDescent="0.2">
      <c r="A115" s="10" t="str">
        <f t="shared" si="4"/>
        <v/>
      </c>
      <c r="B115" s="8"/>
      <c r="C115" s="8"/>
      <c r="D115" s="8"/>
      <c r="E115" s="8" t="str">
        <f ca="1">IFERROR(_xludf.XLOOKUP(D115,STUDENTS!$A$5:$A$204,STUDENTS!$C$5:$C$204,""),"")</f>
        <v/>
      </c>
      <c r="F115" s="8" t="str">
        <f ca="1">IFERROR(_xludf.XLOOKUP(D115,STUDENTS!$A$5:$A$204,STUDENTS!$L$5:$L$204,""),"")</f>
        <v/>
      </c>
      <c r="G115" s="8"/>
      <c r="H115" s="14"/>
      <c r="I115" s="14"/>
      <c r="J115" s="15" t="str">
        <f>IF(H115="","",H115*SETTINGS!$B$9)</f>
        <v/>
      </c>
      <c r="K115" s="15" t="str">
        <f>IF(I115="","",I115*SETTINGS!$B$10)</f>
        <v/>
      </c>
      <c r="L115" s="15" t="str">
        <f t="shared" si="5"/>
        <v/>
      </c>
      <c r="M115" s="10" t="str">
        <f t="shared" si="6"/>
        <v/>
      </c>
      <c r="N115" s="10" t="str">
        <f t="shared" si="7"/>
        <v/>
      </c>
      <c r="O115" s="8"/>
    </row>
    <row r="116" spans="1:15" x14ac:dyDescent="0.2">
      <c r="A116" s="10" t="str">
        <f t="shared" si="4"/>
        <v/>
      </c>
      <c r="B116" s="8"/>
      <c r="C116" s="8"/>
      <c r="D116" s="8"/>
      <c r="E116" s="8" t="str">
        <f ca="1">IFERROR(_xludf.XLOOKUP(D116,STUDENTS!$A$5:$A$204,STUDENTS!$C$5:$C$204,""),"")</f>
        <v/>
      </c>
      <c r="F116" s="8" t="str">
        <f ca="1">IFERROR(_xludf.XLOOKUP(D116,STUDENTS!$A$5:$A$204,STUDENTS!$L$5:$L$204,""),"")</f>
        <v/>
      </c>
      <c r="G116" s="8"/>
      <c r="H116" s="14"/>
      <c r="I116" s="14"/>
      <c r="J116" s="15" t="str">
        <f>IF(H116="","",H116*SETTINGS!$B$9)</f>
        <v/>
      </c>
      <c r="K116" s="15" t="str">
        <f>IF(I116="","",I116*SETTINGS!$B$10)</f>
        <v/>
      </c>
      <c r="L116" s="15" t="str">
        <f t="shared" si="5"/>
        <v/>
      </c>
      <c r="M116" s="10" t="str">
        <f t="shared" si="6"/>
        <v/>
      </c>
      <c r="N116" s="10" t="str">
        <f t="shared" si="7"/>
        <v/>
      </c>
      <c r="O116" s="8"/>
    </row>
    <row r="117" spans="1:15" x14ac:dyDescent="0.2">
      <c r="A117" s="10" t="str">
        <f t="shared" si="4"/>
        <v/>
      </c>
      <c r="B117" s="8"/>
      <c r="C117" s="8"/>
      <c r="D117" s="8"/>
      <c r="E117" s="8" t="str">
        <f ca="1">IFERROR(_xludf.XLOOKUP(D117,STUDENTS!$A$5:$A$204,STUDENTS!$C$5:$C$204,""),"")</f>
        <v/>
      </c>
      <c r="F117" s="8" t="str">
        <f ca="1">IFERROR(_xludf.XLOOKUP(D117,STUDENTS!$A$5:$A$204,STUDENTS!$L$5:$L$204,""),"")</f>
        <v/>
      </c>
      <c r="G117" s="8"/>
      <c r="H117" s="14"/>
      <c r="I117" s="14"/>
      <c r="J117" s="15" t="str">
        <f>IF(H117="","",H117*SETTINGS!$B$9)</f>
        <v/>
      </c>
      <c r="K117" s="15" t="str">
        <f>IF(I117="","",I117*SETTINGS!$B$10)</f>
        <v/>
      </c>
      <c r="L117" s="15" t="str">
        <f t="shared" si="5"/>
        <v/>
      </c>
      <c r="M117" s="10" t="str">
        <f t="shared" si="6"/>
        <v/>
      </c>
      <c r="N117" s="10" t="str">
        <f t="shared" si="7"/>
        <v/>
      </c>
      <c r="O117" s="8"/>
    </row>
    <row r="118" spans="1:15" x14ac:dyDescent="0.2">
      <c r="A118" s="10" t="str">
        <f t="shared" si="4"/>
        <v/>
      </c>
      <c r="B118" s="8"/>
      <c r="C118" s="8"/>
      <c r="D118" s="8"/>
      <c r="E118" s="8" t="str">
        <f ca="1">IFERROR(_xludf.XLOOKUP(D118,STUDENTS!$A$5:$A$204,STUDENTS!$C$5:$C$204,""),"")</f>
        <v/>
      </c>
      <c r="F118" s="8" t="str">
        <f ca="1">IFERROR(_xludf.XLOOKUP(D118,STUDENTS!$A$5:$A$204,STUDENTS!$L$5:$L$204,""),"")</f>
        <v/>
      </c>
      <c r="G118" s="8"/>
      <c r="H118" s="14"/>
      <c r="I118" s="14"/>
      <c r="J118" s="15" t="str">
        <f>IF(H118="","",H118*SETTINGS!$B$9)</f>
        <v/>
      </c>
      <c r="K118" s="15" t="str">
        <f>IF(I118="","",I118*SETTINGS!$B$10)</f>
        <v/>
      </c>
      <c r="L118" s="15" t="str">
        <f t="shared" si="5"/>
        <v/>
      </c>
      <c r="M118" s="10" t="str">
        <f t="shared" si="6"/>
        <v/>
      </c>
      <c r="N118" s="10" t="str">
        <f t="shared" si="7"/>
        <v/>
      </c>
      <c r="O118" s="8"/>
    </row>
    <row r="119" spans="1:15" x14ac:dyDescent="0.2">
      <c r="A119" s="10" t="str">
        <f t="shared" si="4"/>
        <v/>
      </c>
      <c r="B119" s="8"/>
      <c r="C119" s="8"/>
      <c r="D119" s="8"/>
      <c r="E119" s="8" t="str">
        <f ca="1">IFERROR(_xludf.XLOOKUP(D119,STUDENTS!$A$5:$A$204,STUDENTS!$C$5:$C$204,""),"")</f>
        <v/>
      </c>
      <c r="F119" s="8" t="str">
        <f ca="1">IFERROR(_xludf.XLOOKUP(D119,STUDENTS!$A$5:$A$204,STUDENTS!$L$5:$L$204,""),"")</f>
        <v/>
      </c>
      <c r="G119" s="8"/>
      <c r="H119" s="14"/>
      <c r="I119" s="14"/>
      <c r="J119" s="15" t="str">
        <f>IF(H119="","",H119*SETTINGS!$B$9)</f>
        <v/>
      </c>
      <c r="K119" s="15" t="str">
        <f>IF(I119="","",I119*SETTINGS!$B$10)</f>
        <v/>
      </c>
      <c r="L119" s="15" t="str">
        <f t="shared" si="5"/>
        <v/>
      </c>
      <c r="M119" s="10" t="str">
        <f t="shared" si="6"/>
        <v/>
      </c>
      <c r="N119" s="10" t="str">
        <f t="shared" si="7"/>
        <v/>
      </c>
      <c r="O119" s="8"/>
    </row>
    <row r="120" spans="1:15" x14ac:dyDescent="0.2">
      <c r="A120" s="10" t="str">
        <f t="shared" si="4"/>
        <v/>
      </c>
      <c r="B120" s="8"/>
      <c r="C120" s="8"/>
      <c r="D120" s="8"/>
      <c r="E120" s="8" t="str">
        <f ca="1">IFERROR(_xludf.XLOOKUP(D120,STUDENTS!$A$5:$A$204,STUDENTS!$C$5:$C$204,""),"")</f>
        <v/>
      </c>
      <c r="F120" s="8" t="str">
        <f ca="1">IFERROR(_xludf.XLOOKUP(D120,STUDENTS!$A$5:$A$204,STUDENTS!$L$5:$L$204,""),"")</f>
        <v/>
      </c>
      <c r="G120" s="8"/>
      <c r="H120" s="14"/>
      <c r="I120" s="14"/>
      <c r="J120" s="15" t="str">
        <f>IF(H120="","",H120*SETTINGS!$B$9)</f>
        <v/>
      </c>
      <c r="K120" s="15" t="str">
        <f>IF(I120="","",I120*SETTINGS!$B$10)</f>
        <v/>
      </c>
      <c r="L120" s="15" t="str">
        <f t="shared" si="5"/>
        <v/>
      </c>
      <c r="M120" s="10" t="str">
        <f t="shared" si="6"/>
        <v/>
      </c>
      <c r="N120" s="10" t="str">
        <f t="shared" si="7"/>
        <v/>
      </c>
      <c r="O120" s="8"/>
    </row>
    <row r="121" spans="1:15" x14ac:dyDescent="0.2">
      <c r="A121" s="10" t="str">
        <f t="shared" si="4"/>
        <v/>
      </c>
      <c r="B121" s="8"/>
      <c r="C121" s="8"/>
      <c r="D121" s="8"/>
      <c r="E121" s="8" t="str">
        <f ca="1">IFERROR(_xludf.XLOOKUP(D121,STUDENTS!$A$5:$A$204,STUDENTS!$C$5:$C$204,""),"")</f>
        <v/>
      </c>
      <c r="F121" s="8" t="str">
        <f ca="1">IFERROR(_xludf.XLOOKUP(D121,STUDENTS!$A$5:$A$204,STUDENTS!$L$5:$L$204,""),"")</f>
        <v/>
      </c>
      <c r="G121" s="8"/>
      <c r="H121" s="14"/>
      <c r="I121" s="14"/>
      <c r="J121" s="15" t="str">
        <f>IF(H121="","",H121*SETTINGS!$B$9)</f>
        <v/>
      </c>
      <c r="K121" s="15" t="str">
        <f>IF(I121="","",I121*SETTINGS!$B$10)</f>
        <v/>
      </c>
      <c r="L121" s="15" t="str">
        <f t="shared" si="5"/>
        <v/>
      </c>
      <c r="M121" s="10" t="str">
        <f t="shared" si="6"/>
        <v/>
      </c>
      <c r="N121" s="10" t="str">
        <f t="shared" si="7"/>
        <v/>
      </c>
      <c r="O121" s="8"/>
    </row>
    <row r="122" spans="1:15" x14ac:dyDescent="0.2">
      <c r="A122" s="10" t="str">
        <f t="shared" si="4"/>
        <v/>
      </c>
      <c r="B122" s="8"/>
      <c r="C122" s="8"/>
      <c r="D122" s="8"/>
      <c r="E122" s="8" t="str">
        <f ca="1">IFERROR(_xludf.XLOOKUP(D122,STUDENTS!$A$5:$A$204,STUDENTS!$C$5:$C$204,""),"")</f>
        <v/>
      </c>
      <c r="F122" s="8" t="str">
        <f ca="1">IFERROR(_xludf.XLOOKUP(D122,STUDENTS!$A$5:$A$204,STUDENTS!$L$5:$L$204,""),"")</f>
        <v/>
      </c>
      <c r="G122" s="8"/>
      <c r="H122" s="14"/>
      <c r="I122" s="14"/>
      <c r="J122" s="15" t="str">
        <f>IF(H122="","",H122*SETTINGS!$B$9)</f>
        <v/>
      </c>
      <c r="K122" s="15" t="str">
        <f>IF(I122="","",I122*SETTINGS!$B$10)</f>
        <v/>
      </c>
      <c r="L122" s="15" t="str">
        <f t="shared" si="5"/>
        <v/>
      </c>
      <c r="M122" s="10" t="str">
        <f t="shared" si="6"/>
        <v/>
      </c>
      <c r="N122" s="10" t="str">
        <f t="shared" si="7"/>
        <v/>
      </c>
      <c r="O122" s="8"/>
    </row>
    <row r="123" spans="1:15" x14ac:dyDescent="0.2">
      <c r="A123" s="10" t="str">
        <f t="shared" si="4"/>
        <v/>
      </c>
      <c r="B123" s="8"/>
      <c r="C123" s="8"/>
      <c r="D123" s="8"/>
      <c r="E123" s="8" t="str">
        <f ca="1">IFERROR(_xludf.XLOOKUP(D123,STUDENTS!$A$5:$A$204,STUDENTS!$C$5:$C$204,""),"")</f>
        <v/>
      </c>
      <c r="F123" s="8" t="str">
        <f ca="1">IFERROR(_xludf.XLOOKUP(D123,STUDENTS!$A$5:$A$204,STUDENTS!$L$5:$L$204,""),"")</f>
        <v/>
      </c>
      <c r="G123" s="8"/>
      <c r="H123" s="14"/>
      <c r="I123" s="14"/>
      <c r="J123" s="15" t="str">
        <f>IF(H123="","",H123*SETTINGS!$B$9)</f>
        <v/>
      </c>
      <c r="K123" s="15" t="str">
        <f>IF(I123="","",I123*SETTINGS!$B$10)</f>
        <v/>
      </c>
      <c r="L123" s="15" t="str">
        <f t="shared" si="5"/>
        <v/>
      </c>
      <c r="M123" s="10" t="str">
        <f t="shared" si="6"/>
        <v/>
      </c>
      <c r="N123" s="10" t="str">
        <f t="shared" si="7"/>
        <v/>
      </c>
      <c r="O123" s="8"/>
    </row>
    <row r="124" spans="1:15" x14ac:dyDescent="0.2">
      <c r="A124" s="10" t="str">
        <f t="shared" si="4"/>
        <v/>
      </c>
      <c r="B124" s="8"/>
      <c r="C124" s="8"/>
      <c r="D124" s="8"/>
      <c r="E124" s="8" t="str">
        <f ca="1">IFERROR(_xludf.XLOOKUP(D124,STUDENTS!$A$5:$A$204,STUDENTS!$C$5:$C$204,""),"")</f>
        <v/>
      </c>
      <c r="F124" s="8" t="str">
        <f ca="1">IFERROR(_xludf.XLOOKUP(D124,STUDENTS!$A$5:$A$204,STUDENTS!$L$5:$L$204,""),"")</f>
        <v/>
      </c>
      <c r="G124" s="8"/>
      <c r="H124" s="14"/>
      <c r="I124" s="14"/>
      <c r="J124" s="15" t="str">
        <f>IF(H124="","",H124*SETTINGS!$B$9)</f>
        <v/>
      </c>
      <c r="K124" s="15" t="str">
        <f>IF(I124="","",I124*SETTINGS!$B$10)</f>
        <v/>
      </c>
      <c r="L124" s="15" t="str">
        <f t="shared" si="5"/>
        <v/>
      </c>
      <c r="M124" s="10" t="str">
        <f t="shared" si="6"/>
        <v/>
      </c>
      <c r="N124" s="10" t="str">
        <f t="shared" si="7"/>
        <v/>
      </c>
      <c r="O124" s="8"/>
    </row>
    <row r="125" spans="1:15" x14ac:dyDescent="0.2">
      <c r="A125" s="10" t="str">
        <f t="shared" si="4"/>
        <v/>
      </c>
      <c r="B125" s="8"/>
      <c r="C125" s="8"/>
      <c r="D125" s="8"/>
      <c r="E125" s="8" t="str">
        <f ca="1">IFERROR(_xludf.XLOOKUP(D125,STUDENTS!$A$5:$A$204,STUDENTS!$C$5:$C$204,""),"")</f>
        <v/>
      </c>
      <c r="F125" s="8" t="str">
        <f ca="1">IFERROR(_xludf.XLOOKUP(D125,STUDENTS!$A$5:$A$204,STUDENTS!$L$5:$L$204,""),"")</f>
        <v/>
      </c>
      <c r="G125" s="8"/>
      <c r="H125" s="14"/>
      <c r="I125" s="14"/>
      <c r="J125" s="15" t="str">
        <f>IF(H125="","",H125*SETTINGS!$B$9)</f>
        <v/>
      </c>
      <c r="K125" s="15" t="str">
        <f>IF(I125="","",I125*SETTINGS!$B$10)</f>
        <v/>
      </c>
      <c r="L125" s="15" t="str">
        <f t="shared" si="5"/>
        <v/>
      </c>
      <c r="M125" s="10" t="str">
        <f t="shared" si="6"/>
        <v/>
      </c>
      <c r="N125" s="10" t="str">
        <f t="shared" si="7"/>
        <v/>
      </c>
      <c r="O125" s="8"/>
    </row>
    <row r="126" spans="1:15" x14ac:dyDescent="0.2">
      <c r="A126" s="10" t="str">
        <f t="shared" si="4"/>
        <v/>
      </c>
      <c r="B126" s="8"/>
      <c r="C126" s="8"/>
      <c r="D126" s="8"/>
      <c r="E126" s="8" t="str">
        <f ca="1">IFERROR(_xludf.XLOOKUP(D126,STUDENTS!$A$5:$A$204,STUDENTS!$C$5:$C$204,""),"")</f>
        <v/>
      </c>
      <c r="F126" s="8" t="str">
        <f ca="1">IFERROR(_xludf.XLOOKUP(D126,STUDENTS!$A$5:$A$204,STUDENTS!$L$5:$L$204,""),"")</f>
        <v/>
      </c>
      <c r="G126" s="8"/>
      <c r="H126" s="14"/>
      <c r="I126" s="14"/>
      <c r="J126" s="15" t="str">
        <f>IF(H126="","",H126*SETTINGS!$B$9)</f>
        <v/>
      </c>
      <c r="K126" s="15" t="str">
        <f>IF(I126="","",I126*SETTINGS!$B$10)</f>
        <v/>
      </c>
      <c r="L126" s="15" t="str">
        <f t="shared" si="5"/>
        <v/>
      </c>
      <c r="M126" s="10" t="str">
        <f t="shared" si="6"/>
        <v/>
      </c>
      <c r="N126" s="10" t="str">
        <f t="shared" si="7"/>
        <v/>
      </c>
      <c r="O126" s="8"/>
    </row>
    <row r="127" spans="1:15" x14ac:dyDescent="0.2">
      <c r="A127" s="10" t="str">
        <f t="shared" si="4"/>
        <v/>
      </c>
      <c r="B127" s="8"/>
      <c r="C127" s="8"/>
      <c r="D127" s="8"/>
      <c r="E127" s="8" t="str">
        <f ca="1">IFERROR(_xludf.XLOOKUP(D127,STUDENTS!$A$5:$A$204,STUDENTS!$C$5:$C$204,""),"")</f>
        <v/>
      </c>
      <c r="F127" s="8" t="str">
        <f ca="1">IFERROR(_xludf.XLOOKUP(D127,STUDENTS!$A$5:$A$204,STUDENTS!$L$5:$L$204,""),"")</f>
        <v/>
      </c>
      <c r="G127" s="8"/>
      <c r="H127" s="14"/>
      <c r="I127" s="14"/>
      <c r="J127" s="15" t="str">
        <f>IF(H127="","",H127*SETTINGS!$B$9)</f>
        <v/>
      </c>
      <c r="K127" s="15" t="str">
        <f>IF(I127="","",I127*SETTINGS!$B$10)</f>
        <v/>
      </c>
      <c r="L127" s="15" t="str">
        <f t="shared" si="5"/>
        <v/>
      </c>
      <c r="M127" s="10" t="str">
        <f t="shared" si="6"/>
        <v/>
      </c>
      <c r="N127" s="10" t="str">
        <f t="shared" si="7"/>
        <v/>
      </c>
      <c r="O127" s="8"/>
    </row>
    <row r="128" spans="1:15" x14ac:dyDescent="0.2">
      <c r="A128" s="10" t="str">
        <f t="shared" si="4"/>
        <v/>
      </c>
      <c r="B128" s="8"/>
      <c r="C128" s="8"/>
      <c r="D128" s="8"/>
      <c r="E128" s="8" t="str">
        <f ca="1">IFERROR(_xludf.XLOOKUP(D128,STUDENTS!$A$5:$A$204,STUDENTS!$C$5:$C$204,""),"")</f>
        <v/>
      </c>
      <c r="F128" s="8" t="str">
        <f ca="1">IFERROR(_xludf.XLOOKUP(D128,STUDENTS!$A$5:$A$204,STUDENTS!$L$5:$L$204,""),"")</f>
        <v/>
      </c>
      <c r="G128" s="8"/>
      <c r="H128" s="14"/>
      <c r="I128" s="14"/>
      <c r="J128" s="15" t="str">
        <f>IF(H128="","",H128*SETTINGS!$B$9)</f>
        <v/>
      </c>
      <c r="K128" s="15" t="str">
        <f>IF(I128="","",I128*SETTINGS!$B$10)</f>
        <v/>
      </c>
      <c r="L128" s="15" t="str">
        <f t="shared" si="5"/>
        <v/>
      </c>
      <c r="M128" s="10" t="str">
        <f t="shared" si="6"/>
        <v/>
      </c>
      <c r="N128" s="10" t="str">
        <f t="shared" si="7"/>
        <v/>
      </c>
      <c r="O128" s="8"/>
    </row>
    <row r="129" spans="1:15" x14ac:dyDescent="0.2">
      <c r="A129" s="10" t="str">
        <f t="shared" si="4"/>
        <v/>
      </c>
      <c r="B129" s="8"/>
      <c r="C129" s="8"/>
      <c r="D129" s="8"/>
      <c r="E129" s="8" t="str">
        <f ca="1">IFERROR(_xludf.XLOOKUP(D129,STUDENTS!$A$5:$A$204,STUDENTS!$C$5:$C$204,""),"")</f>
        <v/>
      </c>
      <c r="F129" s="8" t="str">
        <f ca="1">IFERROR(_xludf.XLOOKUP(D129,STUDENTS!$A$5:$A$204,STUDENTS!$L$5:$L$204,""),"")</f>
        <v/>
      </c>
      <c r="G129" s="8"/>
      <c r="H129" s="14"/>
      <c r="I129" s="14"/>
      <c r="J129" s="15" t="str">
        <f>IF(H129="","",H129*SETTINGS!$B$9)</f>
        <v/>
      </c>
      <c r="K129" s="15" t="str">
        <f>IF(I129="","",I129*SETTINGS!$B$10)</f>
        <v/>
      </c>
      <c r="L129" s="15" t="str">
        <f t="shared" si="5"/>
        <v/>
      </c>
      <c r="M129" s="10" t="str">
        <f t="shared" si="6"/>
        <v/>
      </c>
      <c r="N129" s="10" t="str">
        <f t="shared" si="7"/>
        <v/>
      </c>
      <c r="O129" s="8"/>
    </row>
    <row r="130" spans="1:15" x14ac:dyDescent="0.2">
      <c r="A130" s="10" t="str">
        <f t="shared" si="4"/>
        <v/>
      </c>
      <c r="B130" s="8"/>
      <c r="C130" s="8"/>
      <c r="D130" s="8"/>
      <c r="E130" s="8" t="str">
        <f ca="1">IFERROR(_xludf.XLOOKUP(D130,STUDENTS!$A$5:$A$204,STUDENTS!$C$5:$C$204,""),"")</f>
        <v/>
      </c>
      <c r="F130" s="8" t="str">
        <f ca="1">IFERROR(_xludf.XLOOKUP(D130,STUDENTS!$A$5:$A$204,STUDENTS!$L$5:$L$204,""),"")</f>
        <v/>
      </c>
      <c r="G130" s="8"/>
      <c r="H130" s="14"/>
      <c r="I130" s="14"/>
      <c r="J130" s="15" t="str">
        <f>IF(H130="","",H130*SETTINGS!$B$9)</f>
        <v/>
      </c>
      <c r="K130" s="15" t="str">
        <f>IF(I130="","",I130*SETTINGS!$B$10)</f>
        <v/>
      </c>
      <c r="L130" s="15" t="str">
        <f t="shared" si="5"/>
        <v/>
      </c>
      <c r="M130" s="10" t="str">
        <f t="shared" si="6"/>
        <v/>
      </c>
      <c r="N130" s="10" t="str">
        <f t="shared" si="7"/>
        <v/>
      </c>
      <c r="O130" s="8"/>
    </row>
    <row r="131" spans="1:15" x14ac:dyDescent="0.2">
      <c r="A131" s="10" t="str">
        <f t="shared" si="4"/>
        <v/>
      </c>
      <c r="B131" s="8"/>
      <c r="C131" s="8"/>
      <c r="D131" s="8"/>
      <c r="E131" s="8" t="str">
        <f ca="1">IFERROR(_xludf.XLOOKUP(D131,STUDENTS!$A$5:$A$204,STUDENTS!$C$5:$C$204,""),"")</f>
        <v/>
      </c>
      <c r="F131" s="8" t="str">
        <f ca="1">IFERROR(_xludf.XLOOKUP(D131,STUDENTS!$A$5:$A$204,STUDENTS!$L$5:$L$204,""),"")</f>
        <v/>
      </c>
      <c r="G131" s="8"/>
      <c r="H131" s="14"/>
      <c r="I131" s="14"/>
      <c r="J131" s="15" t="str">
        <f>IF(H131="","",H131*SETTINGS!$B$9)</f>
        <v/>
      </c>
      <c r="K131" s="15" t="str">
        <f>IF(I131="","",I131*SETTINGS!$B$10)</f>
        <v/>
      </c>
      <c r="L131" s="15" t="str">
        <f t="shared" si="5"/>
        <v/>
      </c>
      <c r="M131" s="10" t="str">
        <f t="shared" si="6"/>
        <v/>
      </c>
      <c r="N131" s="10" t="str">
        <f t="shared" si="7"/>
        <v/>
      </c>
      <c r="O131" s="8"/>
    </row>
    <row r="132" spans="1:15" x14ac:dyDescent="0.2">
      <c r="A132" s="10" t="str">
        <f t="shared" si="4"/>
        <v/>
      </c>
      <c r="B132" s="8"/>
      <c r="C132" s="8"/>
      <c r="D132" s="8"/>
      <c r="E132" s="8" t="str">
        <f ca="1">IFERROR(_xludf.XLOOKUP(D132,STUDENTS!$A$5:$A$204,STUDENTS!$C$5:$C$204,""),"")</f>
        <v/>
      </c>
      <c r="F132" s="8" t="str">
        <f ca="1">IFERROR(_xludf.XLOOKUP(D132,STUDENTS!$A$5:$A$204,STUDENTS!$L$5:$L$204,""),"")</f>
        <v/>
      </c>
      <c r="G132" s="8"/>
      <c r="H132" s="14"/>
      <c r="I132" s="14"/>
      <c r="J132" s="15" t="str">
        <f>IF(H132="","",H132*SETTINGS!$B$9)</f>
        <v/>
      </c>
      <c r="K132" s="15" t="str">
        <f>IF(I132="","",I132*SETTINGS!$B$10)</f>
        <v/>
      </c>
      <c r="L132" s="15" t="str">
        <f t="shared" si="5"/>
        <v/>
      </c>
      <c r="M132" s="10" t="str">
        <f t="shared" si="6"/>
        <v/>
      </c>
      <c r="N132" s="10" t="str">
        <f t="shared" si="7"/>
        <v/>
      </c>
      <c r="O132" s="8"/>
    </row>
    <row r="133" spans="1:15" x14ac:dyDescent="0.2">
      <c r="A133" s="10" t="str">
        <f t="shared" ref="A133:A196" si="8">IF(D133="","","R-"&amp;TEXT(ROW()-4,"00000"))</f>
        <v/>
      </c>
      <c r="B133" s="8"/>
      <c r="C133" s="8"/>
      <c r="D133" s="8"/>
      <c r="E133" s="8" t="str">
        <f ca="1">IFERROR(_xludf.XLOOKUP(D133,STUDENTS!$A$5:$A$204,STUDENTS!$C$5:$C$204,""),"")</f>
        <v/>
      </c>
      <c r="F133" s="8" t="str">
        <f ca="1">IFERROR(_xludf.XLOOKUP(D133,STUDENTS!$A$5:$A$204,STUDENTS!$L$5:$L$204,""),"")</f>
        <v/>
      </c>
      <c r="G133" s="8"/>
      <c r="H133" s="14"/>
      <c r="I133" s="14"/>
      <c r="J133" s="15" t="str">
        <f>IF(H133="","",H133*SETTINGS!$B$9)</f>
        <v/>
      </c>
      <c r="K133" s="15" t="str">
        <f>IF(I133="","",I133*SETTINGS!$B$10)</f>
        <v/>
      </c>
      <c r="L133" s="15" t="str">
        <f t="shared" ref="L133:L196" si="9">IF(OR(H133="",I133=""),"",J133+K133)</f>
        <v/>
      </c>
      <c r="M133" s="10" t="str">
        <f t="shared" ref="M133:M196" si="10">IF(L133="","",IF(L133&gt;=80,"A",IF(L133&gt;=70,"B",IF(L133&gt;=60,"C",IF(L133&gt;=50,"D","F")))))</f>
        <v/>
      </c>
      <c r="N133" s="10" t="str">
        <f t="shared" ref="N133:N196" si="11">IF(L133="","",1+COUNTIFS($F$5:$F$1004,F133,$C$5:$C$1004,C133,$G$5:$G$1004,G133,$L$5:$L$1004,"&gt;"&amp;L133))</f>
        <v/>
      </c>
      <c r="O133" s="8"/>
    </row>
    <row r="134" spans="1:15" x14ac:dyDescent="0.2">
      <c r="A134" s="10" t="str">
        <f t="shared" si="8"/>
        <v/>
      </c>
      <c r="B134" s="8"/>
      <c r="C134" s="8"/>
      <c r="D134" s="8"/>
      <c r="E134" s="8" t="str">
        <f ca="1">IFERROR(_xludf.XLOOKUP(D134,STUDENTS!$A$5:$A$204,STUDENTS!$C$5:$C$204,""),"")</f>
        <v/>
      </c>
      <c r="F134" s="8" t="str">
        <f ca="1">IFERROR(_xludf.XLOOKUP(D134,STUDENTS!$A$5:$A$204,STUDENTS!$L$5:$L$204,""),"")</f>
        <v/>
      </c>
      <c r="G134" s="8"/>
      <c r="H134" s="14"/>
      <c r="I134" s="14"/>
      <c r="J134" s="15" t="str">
        <f>IF(H134="","",H134*SETTINGS!$B$9)</f>
        <v/>
      </c>
      <c r="K134" s="15" t="str">
        <f>IF(I134="","",I134*SETTINGS!$B$10)</f>
        <v/>
      </c>
      <c r="L134" s="15" t="str">
        <f t="shared" si="9"/>
        <v/>
      </c>
      <c r="M134" s="10" t="str">
        <f t="shared" si="10"/>
        <v/>
      </c>
      <c r="N134" s="10" t="str">
        <f t="shared" si="11"/>
        <v/>
      </c>
      <c r="O134" s="8"/>
    </row>
    <row r="135" spans="1:15" x14ac:dyDescent="0.2">
      <c r="A135" s="10" t="str">
        <f t="shared" si="8"/>
        <v/>
      </c>
      <c r="B135" s="8"/>
      <c r="C135" s="8"/>
      <c r="D135" s="8"/>
      <c r="E135" s="8" t="str">
        <f ca="1">IFERROR(_xludf.XLOOKUP(D135,STUDENTS!$A$5:$A$204,STUDENTS!$C$5:$C$204,""),"")</f>
        <v/>
      </c>
      <c r="F135" s="8" t="str">
        <f ca="1">IFERROR(_xludf.XLOOKUP(D135,STUDENTS!$A$5:$A$204,STUDENTS!$L$5:$L$204,""),"")</f>
        <v/>
      </c>
      <c r="G135" s="8"/>
      <c r="H135" s="14"/>
      <c r="I135" s="14"/>
      <c r="J135" s="15" t="str">
        <f>IF(H135="","",H135*SETTINGS!$B$9)</f>
        <v/>
      </c>
      <c r="K135" s="15" t="str">
        <f>IF(I135="","",I135*SETTINGS!$B$10)</f>
        <v/>
      </c>
      <c r="L135" s="15" t="str">
        <f t="shared" si="9"/>
        <v/>
      </c>
      <c r="M135" s="10" t="str">
        <f t="shared" si="10"/>
        <v/>
      </c>
      <c r="N135" s="10" t="str">
        <f t="shared" si="11"/>
        <v/>
      </c>
      <c r="O135" s="8"/>
    </row>
    <row r="136" spans="1:15" x14ac:dyDescent="0.2">
      <c r="A136" s="10" t="str">
        <f t="shared" si="8"/>
        <v/>
      </c>
      <c r="B136" s="8"/>
      <c r="C136" s="8"/>
      <c r="D136" s="8"/>
      <c r="E136" s="8" t="str">
        <f ca="1">IFERROR(_xludf.XLOOKUP(D136,STUDENTS!$A$5:$A$204,STUDENTS!$C$5:$C$204,""),"")</f>
        <v/>
      </c>
      <c r="F136" s="8" t="str">
        <f ca="1">IFERROR(_xludf.XLOOKUP(D136,STUDENTS!$A$5:$A$204,STUDENTS!$L$5:$L$204,""),"")</f>
        <v/>
      </c>
      <c r="G136" s="8"/>
      <c r="H136" s="14"/>
      <c r="I136" s="14"/>
      <c r="J136" s="15" t="str">
        <f>IF(H136="","",H136*SETTINGS!$B$9)</f>
        <v/>
      </c>
      <c r="K136" s="15" t="str">
        <f>IF(I136="","",I136*SETTINGS!$B$10)</f>
        <v/>
      </c>
      <c r="L136" s="15" t="str">
        <f t="shared" si="9"/>
        <v/>
      </c>
      <c r="M136" s="10" t="str">
        <f t="shared" si="10"/>
        <v/>
      </c>
      <c r="N136" s="10" t="str">
        <f t="shared" si="11"/>
        <v/>
      </c>
      <c r="O136" s="8"/>
    </row>
    <row r="137" spans="1:15" x14ac:dyDescent="0.2">
      <c r="A137" s="10" t="str">
        <f t="shared" si="8"/>
        <v/>
      </c>
      <c r="B137" s="8"/>
      <c r="C137" s="8"/>
      <c r="D137" s="8"/>
      <c r="E137" s="8" t="str">
        <f ca="1">IFERROR(_xludf.XLOOKUP(D137,STUDENTS!$A$5:$A$204,STUDENTS!$C$5:$C$204,""),"")</f>
        <v/>
      </c>
      <c r="F137" s="8" t="str">
        <f ca="1">IFERROR(_xludf.XLOOKUP(D137,STUDENTS!$A$5:$A$204,STUDENTS!$L$5:$L$204,""),"")</f>
        <v/>
      </c>
      <c r="G137" s="8"/>
      <c r="H137" s="14"/>
      <c r="I137" s="14"/>
      <c r="J137" s="15" t="str">
        <f>IF(H137="","",H137*SETTINGS!$B$9)</f>
        <v/>
      </c>
      <c r="K137" s="15" t="str">
        <f>IF(I137="","",I137*SETTINGS!$B$10)</f>
        <v/>
      </c>
      <c r="L137" s="15" t="str">
        <f t="shared" si="9"/>
        <v/>
      </c>
      <c r="M137" s="10" t="str">
        <f t="shared" si="10"/>
        <v/>
      </c>
      <c r="N137" s="10" t="str">
        <f t="shared" si="11"/>
        <v/>
      </c>
      <c r="O137" s="8"/>
    </row>
    <row r="138" spans="1:15" x14ac:dyDescent="0.2">
      <c r="A138" s="10" t="str">
        <f t="shared" si="8"/>
        <v/>
      </c>
      <c r="B138" s="8"/>
      <c r="C138" s="8"/>
      <c r="D138" s="8"/>
      <c r="E138" s="8" t="str">
        <f ca="1">IFERROR(_xludf.XLOOKUP(D138,STUDENTS!$A$5:$A$204,STUDENTS!$C$5:$C$204,""),"")</f>
        <v/>
      </c>
      <c r="F138" s="8" t="str">
        <f ca="1">IFERROR(_xludf.XLOOKUP(D138,STUDENTS!$A$5:$A$204,STUDENTS!$L$5:$L$204,""),"")</f>
        <v/>
      </c>
      <c r="G138" s="8"/>
      <c r="H138" s="14"/>
      <c r="I138" s="14"/>
      <c r="J138" s="15" t="str">
        <f>IF(H138="","",H138*SETTINGS!$B$9)</f>
        <v/>
      </c>
      <c r="K138" s="15" t="str">
        <f>IF(I138="","",I138*SETTINGS!$B$10)</f>
        <v/>
      </c>
      <c r="L138" s="15" t="str">
        <f t="shared" si="9"/>
        <v/>
      </c>
      <c r="M138" s="10" t="str">
        <f t="shared" si="10"/>
        <v/>
      </c>
      <c r="N138" s="10" t="str">
        <f t="shared" si="11"/>
        <v/>
      </c>
      <c r="O138" s="8"/>
    </row>
    <row r="139" spans="1:15" x14ac:dyDescent="0.2">
      <c r="A139" s="10" t="str">
        <f t="shared" si="8"/>
        <v/>
      </c>
      <c r="B139" s="8"/>
      <c r="C139" s="8"/>
      <c r="D139" s="8"/>
      <c r="E139" s="8" t="str">
        <f ca="1">IFERROR(_xludf.XLOOKUP(D139,STUDENTS!$A$5:$A$204,STUDENTS!$C$5:$C$204,""),"")</f>
        <v/>
      </c>
      <c r="F139" s="8" t="str">
        <f ca="1">IFERROR(_xludf.XLOOKUP(D139,STUDENTS!$A$5:$A$204,STUDENTS!$L$5:$L$204,""),"")</f>
        <v/>
      </c>
      <c r="G139" s="8"/>
      <c r="H139" s="14"/>
      <c r="I139" s="14"/>
      <c r="J139" s="15" t="str">
        <f>IF(H139="","",H139*SETTINGS!$B$9)</f>
        <v/>
      </c>
      <c r="K139" s="15" t="str">
        <f>IF(I139="","",I139*SETTINGS!$B$10)</f>
        <v/>
      </c>
      <c r="L139" s="15" t="str">
        <f t="shared" si="9"/>
        <v/>
      </c>
      <c r="M139" s="10" t="str">
        <f t="shared" si="10"/>
        <v/>
      </c>
      <c r="N139" s="10" t="str">
        <f t="shared" si="11"/>
        <v/>
      </c>
      <c r="O139" s="8"/>
    </row>
    <row r="140" spans="1:15" x14ac:dyDescent="0.2">
      <c r="A140" s="10" t="str">
        <f t="shared" si="8"/>
        <v/>
      </c>
      <c r="B140" s="8"/>
      <c r="C140" s="8"/>
      <c r="D140" s="8"/>
      <c r="E140" s="8" t="str">
        <f ca="1">IFERROR(_xludf.XLOOKUP(D140,STUDENTS!$A$5:$A$204,STUDENTS!$C$5:$C$204,""),"")</f>
        <v/>
      </c>
      <c r="F140" s="8" t="str">
        <f ca="1">IFERROR(_xludf.XLOOKUP(D140,STUDENTS!$A$5:$A$204,STUDENTS!$L$5:$L$204,""),"")</f>
        <v/>
      </c>
      <c r="G140" s="8"/>
      <c r="H140" s="14"/>
      <c r="I140" s="14"/>
      <c r="J140" s="15" t="str">
        <f>IF(H140="","",H140*SETTINGS!$B$9)</f>
        <v/>
      </c>
      <c r="K140" s="15" t="str">
        <f>IF(I140="","",I140*SETTINGS!$B$10)</f>
        <v/>
      </c>
      <c r="L140" s="15" t="str">
        <f t="shared" si="9"/>
        <v/>
      </c>
      <c r="M140" s="10" t="str">
        <f t="shared" si="10"/>
        <v/>
      </c>
      <c r="N140" s="10" t="str">
        <f t="shared" si="11"/>
        <v/>
      </c>
      <c r="O140" s="8"/>
    </row>
    <row r="141" spans="1:15" x14ac:dyDescent="0.2">
      <c r="A141" s="10" t="str">
        <f t="shared" si="8"/>
        <v/>
      </c>
      <c r="B141" s="8"/>
      <c r="C141" s="8"/>
      <c r="D141" s="8"/>
      <c r="E141" s="8" t="str">
        <f ca="1">IFERROR(_xludf.XLOOKUP(D141,STUDENTS!$A$5:$A$204,STUDENTS!$C$5:$C$204,""),"")</f>
        <v/>
      </c>
      <c r="F141" s="8" t="str">
        <f ca="1">IFERROR(_xludf.XLOOKUP(D141,STUDENTS!$A$5:$A$204,STUDENTS!$L$5:$L$204,""),"")</f>
        <v/>
      </c>
      <c r="G141" s="8"/>
      <c r="H141" s="14"/>
      <c r="I141" s="14"/>
      <c r="J141" s="15" t="str">
        <f>IF(H141="","",H141*SETTINGS!$B$9)</f>
        <v/>
      </c>
      <c r="K141" s="15" t="str">
        <f>IF(I141="","",I141*SETTINGS!$B$10)</f>
        <v/>
      </c>
      <c r="L141" s="15" t="str">
        <f t="shared" si="9"/>
        <v/>
      </c>
      <c r="M141" s="10" t="str">
        <f t="shared" si="10"/>
        <v/>
      </c>
      <c r="N141" s="10" t="str">
        <f t="shared" si="11"/>
        <v/>
      </c>
      <c r="O141" s="8"/>
    </row>
    <row r="142" spans="1:15" x14ac:dyDescent="0.2">
      <c r="A142" s="10" t="str">
        <f t="shared" si="8"/>
        <v/>
      </c>
      <c r="B142" s="8"/>
      <c r="C142" s="8"/>
      <c r="D142" s="8"/>
      <c r="E142" s="8" t="str">
        <f ca="1">IFERROR(_xludf.XLOOKUP(D142,STUDENTS!$A$5:$A$204,STUDENTS!$C$5:$C$204,""),"")</f>
        <v/>
      </c>
      <c r="F142" s="8" t="str">
        <f ca="1">IFERROR(_xludf.XLOOKUP(D142,STUDENTS!$A$5:$A$204,STUDENTS!$L$5:$L$204,""),"")</f>
        <v/>
      </c>
      <c r="G142" s="8"/>
      <c r="H142" s="14"/>
      <c r="I142" s="14"/>
      <c r="J142" s="15" t="str">
        <f>IF(H142="","",H142*SETTINGS!$B$9)</f>
        <v/>
      </c>
      <c r="K142" s="15" t="str">
        <f>IF(I142="","",I142*SETTINGS!$B$10)</f>
        <v/>
      </c>
      <c r="L142" s="15" t="str">
        <f t="shared" si="9"/>
        <v/>
      </c>
      <c r="M142" s="10" t="str">
        <f t="shared" si="10"/>
        <v/>
      </c>
      <c r="N142" s="10" t="str">
        <f t="shared" si="11"/>
        <v/>
      </c>
      <c r="O142" s="8"/>
    </row>
    <row r="143" spans="1:15" x14ac:dyDescent="0.2">
      <c r="A143" s="10" t="str">
        <f t="shared" si="8"/>
        <v/>
      </c>
      <c r="B143" s="8"/>
      <c r="C143" s="8"/>
      <c r="D143" s="8"/>
      <c r="E143" s="8" t="str">
        <f ca="1">IFERROR(_xludf.XLOOKUP(D143,STUDENTS!$A$5:$A$204,STUDENTS!$C$5:$C$204,""),"")</f>
        <v/>
      </c>
      <c r="F143" s="8" t="str">
        <f ca="1">IFERROR(_xludf.XLOOKUP(D143,STUDENTS!$A$5:$A$204,STUDENTS!$L$5:$L$204,""),"")</f>
        <v/>
      </c>
      <c r="G143" s="8"/>
      <c r="H143" s="14"/>
      <c r="I143" s="14"/>
      <c r="J143" s="15" t="str">
        <f>IF(H143="","",H143*SETTINGS!$B$9)</f>
        <v/>
      </c>
      <c r="K143" s="15" t="str">
        <f>IF(I143="","",I143*SETTINGS!$B$10)</f>
        <v/>
      </c>
      <c r="L143" s="15" t="str">
        <f t="shared" si="9"/>
        <v/>
      </c>
      <c r="M143" s="10" t="str">
        <f t="shared" si="10"/>
        <v/>
      </c>
      <c r="N143" s="10" t="str">
        <f t="shared" si="11"/>
        <v/>
      </c>
      <c r="O143" s="8"/>
    </row>
    <row r="144" spans="1:15" x14ac:dyDescent="0.2">
      <c r="A144" s="10" t="str">
        <f t="shared" si="8"/>
        <v/>
      </c>
      <c r="B144" s="8"/>
      <c r="C144" s="8"/>
      <c r="D144" s="8"/>
      <c r="E144" s="8" t="str">
        <f ca="1">IFERROR(_xludf.XLOOKUP(D144,STUDENTS!$A$5:$A$204,STUDENTS!$C$5:$C$204,""),"")</f>
        <v/>
      </c>
      <c r="F144" s="8" t="str">
        <f ca="1">IFERROR(_xludf.XLOOKUP(D144,STUDENTS!$A$5:$A$204,STUDENTS!$L$5:$L$204,""),"")</f>
        <v/>
      </c>
      <c r="G144" s="8"/>
      <c r="H144" s="14"/>
      <c r="I144" s="14"/>
      <c r="J144" s="15" t="str">
        <f>IF(H144="","",H144*SETTINGS!$B$9)</f>
        <v/>
      </c>
      <c r="K144" s="15" t="str">
        <f>IF(I144="","",I144*SETTINGS!$B$10)</f>
        <v/>
      </c>
      <c r="L144" s="15" t="str">
        <f t="shared" si="9"/>
        <v/>
      </c>
      <c r="M144" s="10" t="str">
        <f t="shared" si="10"/>
        <v/>
      </c>
      <c r="N144" s="10" t="str">
        <f t="shared" si="11"/>
        <v/>
      </c>
      <c r="O144" s="8"/>
    </row>
    <row r="145" spans="1:15" x14ac:dyDescent="0.2">
      <c r="A145" s="10" t="str">
        <f t="shared" si="8"/>
        <v/>
      </c>
      <c r="B145" s="8"/>
      <c r="C145" s="8"/>
      <c r="D145" s="8"/>
      <c r="E145" s="8" t="str">
        <f ca="1">IFERROR(_xludf.XLOOKUP(D145,STUDENTS!$A$5:$A$204,STUDENTS!$C$5:$C$204,""),"")</f>
        <v/>
      </c>
      <c r="F145" s="8" t="str">
        <f ca="1">IFERROR(_xludf.XLOOKUP(D145,STUDENTS!$A$5:$A$204,STUDENTS!$L$5:$L$204,""),"")</f>
        <v/>
      </c>
      <c r="G145" s="8"/>
      <c r="H145" s="14"/>
      <c r="I145" s="14"/>
      <c r="J145" s="15" t="str">
        <f>IF(H145="","",H145*SETTINGS!$B$9)</f>
        <v/>
      </c>
      <c r="K145" s="15" t="str">
        <f>IF(I145="","",I145*SETTINGS!$B$10)</f>
        <v/>
      </c>
      <c r="L145" s="15" t="str">
        <f t="shared" si="9"/>
        <v/>
      </c>
      <c r="M145" s="10" t="str">
        <f t="shared" si="10"/>
        <v/>
      </c>
      <c r="N145" s="10" t="str">
        <f t="shared" si="11"/>
        <v/>
      </c>
      <c r="O145" s="8"/>
    </row>
    <row r="146" spans="1:15" x14ac:dyDescent="0.2">
      <c r="A146" s="10" t="str">
        <f t="shared" si="8"/>
        <v/>
      </c>
      <c r="B146" s="8"/>
      <c r="C146" s="8"/>
      <c r="D146" s="8"/>
      <c r="E146" s="8" t="str">
        <f ca="1">IFERROR(_xludf.XLOOKUP(D146,STUDENTS!$A$5:$A$204,STUDENTS!$C$5:$C$204,""),"")</f>
        <v/>
      </c>
      <c r="F146" s="8" t="str">
        <f ca="1">IFERROR(_xludf.XLOOKUP(D146,STUDENTS!$A$5:$A$204,STUDENTS!$L$5:$L$204,""),"")</f>
        <v/>
      </c>
      <c r="G146" s="8"/>
      <c r="H146" s="14"/>
      <c r="I146" s="14"/>
      <c r="J146" s="15" t="str">
        <f>IF(H146="","",H146*SETTINGS!$B$9)</f>
        <v/>
      </c>
      <c r="K146" s="15" t="str">
        <f>IF(I146="","",I146*SETTINGS!$B$10)</f>
        <v/>
      </c>
      <c r="L146" s="15" t="str">
        <f t="shared" si="9"/>
        <v/>
      </c>
      <c r="M146" s="10" t="str">
        <f t="shared" si="10"/>
        <v/>
      </c>
      <c r="N146" s="10" t="str">
        <f t="shared" si="11"/>
        <v/>
      </c>
      <c r="O146" s="8"/>
    </row>
    <row r="147" spans="1:15" x14ac:dyDescent="0.2">
      <c r="A147" s="10" t="str">
        <f t="shared" si="8"/>
        <v/>
      </c>
      <c r="B147" s="8"/>
      <c r="C147" s="8"/>
      <c r="D147" s="8"/>
      <c r="E147" s="8" t="str">
        <f ca="1">IFERROR(_xludf.XLOOKUP(D147,STUDENTS!$A$5:$A$204,STUDENTS!$C$5:$C$204,""),"")</f>
        <v/>
      </c>
      <c r="F147" s="8" t="str">
        <f ca="1">IFERROR(_xludf.XLOOKUP(D147,STUDENTS!$A$5:$A$204,STUDENTS!$L$5:$L$204,""),"")</f>
        <v/>
      </c>
      <c r="G147" s="8"/>
      <c r="H147" s="14"/>
      <c r="I147" s="14"/>
      <c r="J147" s="15" t="str">
        <f>IF(H147="","",H147*SETTINGS!$B$9)</f>
        <v/>
      </c>
      <c r="K147" s="15" t="str">
        <f>IF(I147="","",I147*SETTINGS!$B$10)</f>
        <v/>
      </c>
      <c r="L147" s="15" t="str">
        <f t="shared" si="9"/>
        <v/>
      </c>
      <c r="M147" s="10" t="str">
        <f t="shared" si="10"/>
        <v/>
      </c>
      <c r="N147" s="10" t="str">
        <f t="shared" si="11"/>
        <v/>
      </c>
      <c r="O147" s="8"/>
    </row>
    <row r="148" spans="1:15" x14ac:dyDescent="0.2">
      <c r="A148" s="10" t="str">
        <f t="shared" si="8"/>
        <v/>
      </c>
      <c r="B148" s="8"/>
      <c r="C148" s="8"/>
      <c r="D148" s="8"/>
      <c r="E148" s="8" t="str">
        <f ca="1">IFERROR(_xludf.XLOOKUP(D148,STUDENTS!$A$5:$A$204,STUDENTS!$C$5:$C$204,""),"")</f>
        <v/>
      </c>
      <c r="F148" s="8" t="str">
        <f ca="1">IFERROR(_xludf.XLOOKUP(D148,STUDENTS!$A$5:$A$204,STUDENTS!$L$5:$L$204,""),"")</f>
        <v/>
      </c>
      <c r="G148" s="8"/>
      <c r="H148" s="14"/>
      <c r="I148" s="14"/>
      <c r="J148" s="15" t="str">
        <f>IF(H148="","",H148*SETTINGS!$B$9)</f>
        <v/>
      </c>
      <c r="K148" s="15" t="str">
        <f>IF(I148="","",I148*SETTINGS!$B$10)</f>
        <v/>
      </c>
      <c r="L148" s="15" t="str">
        <f t="shared" si="9"/>
        <v/>
      </c>
      <c r="M148" s="10" t="str">
        <f t="shared" si="10"/>
        <v/>
      </c>
      <c r="N148" s="10" t="str">
        <f t="shared" si="11"/>
        <v/>
      </c>
      <c r="O148" s="8"/>
    </row>
    <row r="149" spans="1:15" x14ac:dyDescent="0.2">
      <c r="A149" s="10" t="str">
        <f t="shared" si="8"/>
        <v/>
      </c>
      <c r="B149" s="8"/>
      <c r="C149" s="8"/>
      <c r="D149" s="8"/>
      <c r="E149" s="8" t="str">
        <f ca="1">IFERROR(_xludf.XLOOKUP(D149,STUDENTS!$A$5:$A$204,STUDENTS!$C$5:$C$204,""),"")</f>
        <v/>
      </c>
      <c r="F149" s="8" t="str">
        <f ca="1">IFERROR(_xludf.XLOOKUP(D149,STUDENTS!$A$5:$A$204,STUDENTS!$L$5:$L$204,""),"")</f>
        <v/>
      </c>
      <c r="G149" s="8"/>
      <c r="H149" s="14"/>
      <c r="I149" s="14"/>
      <c r="J149" s="15" t="str">
        <f>IF(H149="","",H149*SETTINGS!$B$9)</f>
        <v/>
      </c>
      <c r="K149" s="15" t="str">
        <f>IF(I149="","",I149*SETTINGS!$B$10)</f>
        <v/>
      </c>
      <c r="L149" s="15" t="str">
        <f t="shared" si="9"/>
        <v/>
      </c>
      <c r="M149" s="10" t="str">
        <f t="shared" si="10"/>
        <v/>
      </c>
      <c r="N149" s="10" t="str">
        <f t="shared" si="11"/>
        <v/>
      </c>
      <c r="O149" s="8"/>
    </row>
    <row r="150" spans="1:15" x14ac:dyDescent="0.2">
      <c r="A150" s="10" t="str">
        <f t="shared" si="8"/>
        <v/>
      </c>
      <c r="B150" s="8"/>
      <c r="C150" s="8"/>
      <c r="D150" s="8"/>
      <c r="E150" s="8" t="str">
        <f ca="1">IFERROR(_xludf.XLOOKUP(D150,STUDENTS!$A$5:$A$204,STUDENTS!$C$5:$C$204,""),"")</f>
        <v/>
      </c>
      <c r="F150" s="8" t="str">
        <f ca="1">IFERROR(_xludf.XLOOKUP(D150,STUDENTS!$A$5:$A$204,STUDENTS!$L$5:$L$204,""),"")</f>
        <v/>
      </c>
      <c r="G150" s="8"/>
      <c r="H150" s="14"/>
      <c r="I150" s="14"/>
      <c r="J150" s="15" t="str">
        <f>IF(H150="","",H150*SETTINGS!$B$9)</f>
        <v/>
      </c>
      <c r="K150" s="15" t="str">
        <f>IF(I150="","",I150*SETTINGS!$B$10)</f>
        <v/>
      </c>
      <c r="L150" s="15" t="str">
        <f t="shared" si="9"/>
        <v/>
      </c>
      <c r="M150" s="10" t="str">
        <f t="shared" si="10"/>
        <v/>
      </c>
      <c r="N150" s="10" t="str">
        <f t="shared" si="11"/>
        <v/>
      </c>
      <c r="O150" s="8"/>
    </row>
    <row r="151" spans="1:15" x14ac:dyDescent="0.2">
      <c r="A151" s="10" t="str">
        <f t="shared" si="8"/>
        <v/>
      </c>
      <c r="B151" s="8"/>
      <c r="C151" s="8"/>
      <c r="D151" s="8"/>
      <c r="E151" s="8" t="str">
        <f ca="1">IFERROR(_xludf.XLOOKUP(D151,STUDENTS!$A$5:$A$204,STUDENTS!$C$5:$C$204,""),"")</f>
        <v/>
      </c>
      <c r="F151" s="8" t="str">
        <f ca="1">IFERROR(_xludf.XLOOKUP(D151,STUDENTS!$A$5:$A$204,STUDENTS!$L$5:$L$204,""),"")</f>
        <v/>
      </c>
      <c r="G151" s="8"/>
      <c r="H151" s="14"/>
      <c r="I151" s="14"/>
      <c r="J151" s="15" t="str">
        <f>IF(H151="","",H151*SETTINGS!$B$9)</f>
        <v/>
      </c>
      <c r="K151" s="15" t="str">
        <f>IF(I151="","",I151*SETTINGS!$B$10)</f>
        <v/>
      </c>
      <c r="L151" s="15" t="str">
        <f t="shared" si="9"/>
        <v/>
      </c>
      <c r="M151" s="10" t="str">
        <f t="shared" si="10"/>
        <v/>
      </c>
      <c r="N151" s="10" t="str">
        <f t="shared" si="11"/>
        <v/>
      </c>
      <c r="O151" s="8"/>
    </row>
    <row r="152" spans="1:15" x14ac:dyDescent="0.2">
      <c r="A152" s="10" t="str">
        <f t="shared" si="8"/>
        <v/>
      </c>
      <c r="B152" s="8"/>
      <c r="C152" s="8"/>
      <c r="D152" s="8"/>
      <c r="E152" s="8" t="str">
        <f ca="1">IFERROR(_xludf.XLOOKUP(D152,STUDENTS!$A$5:$A$204,STUDENTS!$C$5:$C$204,""),"")</f>
        <v/>
      </c>
      <c r="F152" s="8" t="str">
        <f ca="1">IFERROR(_xludf.XLOOKUP(D152,STUDENTS!$A$5:$A$204,STUDENTS!$L$5:$L$204,""),"")</f>
        <v/>
      </c>
      <c r="G152" s="8"/>
      <c r="H152" s="14"/>
      <c r="I152" s="14"/>
      <c r="J152" s="15" t="str">
        <f>IF(H152="","",H152*SETTINGS!$B$9)</f>
        <v/>
      </c>
      <c r="K152" s="15" t="str">
        <f>IF(I152="","",I152*SETTINGS!$B$10)</f>
        <v/>
      </c>
      <c r="L152" s="15" t="str">
        <f t="shared" si="9"/>
        <v/>
      </c>
      <c r="M152" s="10" t="str">
        <f t="shared" si="10"/>
        <v/>
      </c>
      <c r="N152" s="10" t="str">
        <f t="shared" si="11"/>
        <v/>
      </c>
      <c r="O152" s="8"/>
    </row>
    <row r="153" spans="1:15" x14ac:dyDescent="0.2">
      <c r="A153" s="10" t="str">
        <f t="shared" si="8"/>
        <v/>
      </c>
      <c r="B153" s="8"/>
      <c r="C153" s="8"/>
      <c r="D153" s="8"/>
      <c r="E153" s="8" t="str">
        <f ca="1">IFERROR(_xludf.XLOOKUP(D153,STUDENTS!$A$5:$A$204,STUDENTS!$C$5:$C$204,""),"")</f>
        <v/>
      </c>
      <c r="F153" s="8" t="str">
        <f ca="1">IFERROR(_xludf.XLOOKUP(D153,STUDENTS!$A$5:$A$204,STUDENTS!$L$5:$L$204,""),"")</f>
        <v/>
      </c>
      <c r="G153" s="8"/>
      <c r="H153" s="14"/>
      <c r="I153" s="14"/>
      <c r="J153" s="15" t="str">
        <f>IF(H153="","",H153*SETTINGS!$B$9)</f>
        <v/>
      </c>
      <c r="K153" s="15" t="str">
        <f>IF(I153="","",I153*SETTINGS!$B$10)</f>
        <v/>
      </c>
      <c r="L153" s="15" t="str">
        <f t="shared" si="9"/>
        <v/>
      </c>
      <c r="M153" s="10" t="str">
        <f t="shared" si="10"/>
        <v/>
      </c>
      <c r="N153" s="10" t="str">
        <f t="shared" si="11"/>
        <v/>
      </c>
      <c r="O153" s="8"/>
    </row>
    <row r="154" spans="1:15" x14ac:dyDescent="0.2">
      <c r="A154" s="10" t="str">
        <f t="shared" si="8"/>
        <v/>
      </c>
      <c r="B154" s="8"/>
      <c r="C154" s="8"/>
      <c r="D154" s="8"/>
      <c r="E154" s="8" t="str">
        <f ca="1">IFERROR(_xludf.XLOOKUP(D154,STUDENTS!$A$5:$A$204,STUDENTS!$C$5:$C$204,""),"")</f>
        <v/>
      </c>
      <c r="F154" s="8" t="str">
        <f ca="1">IFERROR(_xludf.XLOOKUP(D154,STUDENTS!$A$5:$A$204,STUDENTS!$L$5:$L$204,""),"")</f>
        <v/>
      </c>
      <c r="G154" s="8"/>
      <c r="H154" s="14"/>
      <c r="I154" s="14"/>
      <c r="J154" s="15" t="str">
        <f>IF(H154="","",H154*SETTINGS!$B$9)</f>
        <v/>
      </c>
      <c r="K154" s="15" t="str">
        <f>IF(I154="","",I154*SETTINGS!$B$10)</f>
        <v/>
      </c>
      <c r="L154" s="15" t="str">
        <f t="shared" si="9"/>
        <v/>
      </c>
      <c r="M154" s="10" t="str">
        <f t="shared" si="10"/>
        <v/>
      </c>
      <c r="N154" s="10" t="str">
        <f t="shared" si="11"/>
        <v/>
      </c>
      <c r="O154" s="8"/>
    </row>
    <row r="155" spans="1:15" x14ac:dyDescent="0.2">
      <c r="A155" s="10" t="str">
        <f t="shared" si="8"/>
        <v/>
      </c>
      <c r="B155" s="8"/>
      <c r="C155" s="8"/>
      <c r="D155" s="8"/>
      <c r="E155" s="8" t="str">
        <f ca="1">IFERROR(_xludf.XLOOKUP(D155,STUDENTS!$A$5:$A$204,STUDENTS!$C$5:$C$204,""),"")</f>
        <v/>
      </c>
      <c r="F155" s="8" t="str">
        <f ca="1">IFERROR(_xludf.XLOOKUP(D155,STUDENTS!$A$5:$A$204,STUDENTS!$L$5:$L$204,""),"")</f>
        <v/>
      </c>
      <c r="G155" s="8"/>
      <c r="H155" s="14"/>
      <c r="I155" s="14"/>
      <c r="J155" s="15" t="str">
        <f>IF(H155="","",H155*SETTINGS!$B$9)</f>
        <v/>
      </c>
      <c r="K155" s="15" t="str">
        <f>IF(I155="","",I155*SETTINGS!$B$10)</f>
        <v/>
      </c>
      <c r="L155" s="15" t="str">
        <f t="shared" si="9"/>
        <v/>
      </c>
      <c r="M155" s="10" t="str">
        <f t="shared" si="10"/>
        <v/>
      </c>
      <c r="N155" s="10" t="str">
        <f t="shared" si="11"/>
        <v/>
      </c>
      <c r="O155" s="8"/>
    </row>
    <row r="156" spans="1:15" x14ac:dyDescent="0.2">
      <c r="A156" s="10" t="str">
        <f t="shared" si="8"/>
        <v/>
      </c>
      <c r="B156" s="8"/>
      <c r="C156" s="8"/>
      <c r="D156" s="8"/>
      <c r="E156" s="8" t="str">
        <f ca="1">IFERROR(_xludf.XLOOKUP(D156,STUDENTS!$A$5:$A$204,STUDENTS!$C$5:$C$204,""),"")</f>
        <v/>
      </c>
      <c r="F156" s="8" t="str">
        <f ca="1">IFERROR(_xludf.XLOOKUP(D156,STUDENTS!$A$5:$A$204,STUDENTS!$L$5:$L$204,""),"")</f>
        <v/>
      </c>
      <c r="G156" s="8"/>
      <c r="H156" s="14"/>
      <c r="I156" s="14"/>
      <c r="J156" s="15" t="str">
        <f>IF(H156="","",H156*SETTINGS!$B$9)</f>
        <v/>
      </c>
      <c r="K156" s="15" t="str">
        <f>IF(I156="","",I156*SETTINGS!$B$10)</f>
        <v/>
      </c>
      <c r="L156" s="15" t="str">
        <f t="shared" si="9"/>
        <v/>
      </c>
      <c r="M156" s="10" t="str">
        <f t="shared" si="10"/>
        <v/>
      </c>
      <c r="N156" s="10" t="str">
        <f t="shared" si="11"/>
        <v/>
      </c>
      <c r="O156" s="8"/>
    </row>
    <row r="157" spans="1:15" x14ac:dyDescent="0.2">
      <c r="A157" s="10" t="str">
        <f t="shared" si="8"/>
        <v/>
      </c>
      <c r="B157" s="8"/>
      <c r="C157" s="8"/>
      <c r="D157" s="8"/>
      <c r="E157" s="8" t="str">
        <f ca="1">IFERROR(_xludf.XLOOKUP(D157,STUDENTS!$A$5:$A$204,STUDENTS!$C$5:$C$204,""),"")</f>
        <v/>
      </c>
      <c r="F157" s="8" t="str">
        <f ca="1">IFERROR(_xludf.XLOOKUP(D157,STUDENTS!$A$5:$A$204,STUDENTS!$L$5:$L$204,""),"")</f>
        <v/>
      </c>
      <c r="G157" s="8"/>
      <c r="H157" s="14"/>
      <c r="I157" s="14"/>
      <c r="J157" s="15" t="str">
        <f>IF(H157="","",H157*SETTINGS!$B$9)</f>
        <v/>
      </c>
      <c r="K157" s="15" t="str">
        <f>IF(I157="","",I157*SETTINGS!$B$10)</f>
        <v/>
      </c>
      <c r="L157" s="15" t="str">
        <f t="shared" si="9"/>
        <v/>
      </c>
      <c r="M157" s="10" t="str">
        <f t="shared" si="10"/>
        <v/>
      </c>
      <c r="N157" s="10" t="str">
        <f t="shared" si="11"/>
        <v/>
      </c>
      <c r="O157" s="8"/>
    </row>
    <row r="158" spans="1:15" x14ac:dyDescent="0.2">
      <c r="A158" s="10" t="str">
        <f t="shared" si="8"/>
        <v/>
      </c>
      <c r="B158" s="8"/>
      <c r="C158" s="8"/>
      <c r="D158" s="8"/>
      <c r="E158" s="8" t="str">
        <f ca="1">IFERROR(_xludf.XLOOKUP(D158,STUDENTS!$A$5:$A$204,STUDENTS!$C$5:$C$204,""),"")</f>
        <v/>
      </c>
      <c r="F158" s="8" t="str">
        <f ca="1">IFERROR(_xludf.XLOOKUP(D158,STUDENTS!$A$5:$A$204,STUDENTS!$L$5:$L$204,""),"")</f>
        <v/>
      </c>
      <c r="G158" s="8"/>
      <c r="H158" s="14"/>
      <c r="I158" s="14"/>
      <c r="J158" s="15" t="str">
        <f>IF(H158="","",H158*SETTINGS!$B$9)</f>
        <v/>
      </c>
      <c r="K158" s="15" t="str">
        <f>IF(I158="","",I158*SETTINGS!$B$10)</f>
        <v/>
      </c>
      <c r="L158" s="15" t="str">
        <f t="shared" si="9"/>
        <v/>
      </c>
      <c r="M158" s="10" t="str">
        <f t="shared" si="10"/>
        <v/>
      </c>
      <c r="N158" s="10" t="str">
        <f t="shared" si="11"/>
        <v/>
      </c>
      <c r="O158" s="8"/>
    </row>
    <row r="159" spans="1:15" x14ac:dyDescent="0.2">
      <c r="A159" s="10" t="str">
        <f t="shared" si="8"/>
        <v/>
      </c>
      <c r="B159" s="8"/>
      <c r="C159" s="8"/>
      <c r="D159" s="8"/>
      <c r="E159" s="8" t="str">
        <f ca="1">IFERROR(_xludf.XLOOKUP(D159,STUDENTS!$A$5:$A$204,STUDENTS!$C$5:$C$204,""),"")</f>
        <v/>
      </c>
      <c r="F159" s="8" t="str">
        <f ca="1">IFERROR(_xludf.XLOOKUP(D159,STUDENTS!$A$5:$A$204,STUDENTS!$L$5:$L$204,""),"")</f>
        <v/>
      </c>
      <c r="G159" s="8"/>
      <c r="H159" s="14"/>
      <c r="I159" s="14"/>
      <c r="J159" s="15" t="str">
        <f>IF(H159="","",H159*SETTINGS!$B$9)</f>
        <v/>
      </c>
      <c r="K159" s="15" t="str">
        <f>IF(I159="","",I159*SETTINGS!$B$10)</f>
        <v/>
      </c>
      <c r="L159" s="15" t="str">
        <f t="shared" si="9"/>
        <v/>
      </c>
      <c r="M159" s="10" t="str">
        <f t="shared" si="10"/>
        <v/>
      </c>
      <c r="N159" s="10" t="str">
        <f t="shared" si="11"/>
        <v/>
      </c>
      <c r="O159" s="8"/>
    </row>
    <row r="160" spans="1:15" x14ac:dyDescent="0.2">
      <c r="A160" s="10" t="str">
        <f t="shared" si="8"/>
        <v/>
      </c>
      <c r="B160" s="8"/>
      <c r="C160" s="8"/>
      <c r="D160" s="8"/>
      <c r="E160" s="8" t="str">
        <f ca="1">IFERROR(_xludf.XLOOKUP(D160,STUDENTS!$A$5:$A$204,STUDENTS!$C$5:$C$204,""),"")</f>
        <v/>
      </c>
      <c r="F160" s="8" t="str">
        <f ca="1">IFERROR(_xludf.XLOOKUP(D160,STUDENTS!$A$5:$A$204,STUDENTS!$L$5:$L$204,""),"")</f>
        <v/>
      </c>
      <c r="G160" s="8"/>
      <c r="H160" s="14"/>
      <c r="I160" s="14"/>
      <c r="J160" s="15" t="str">
        <f>IF(H160="","",H160*SETTINGS!$B$9)</f>
        <v/>
      </c>
      <c r="K160" s="15" t="str">
        <f>IF(I160="","",I160*SETTINGS!$B$10)</f>
        <v/>
      </c>
      <c r="L160" s="15" t="str">
        <f t="shared" si="9"/>
        <v/>
      </c>
      <c r="M160" s="10" t="str">
        <f t="shared" si="10"/>
        <v/>
      </c>
      <c r="N160" s="10" t="str">
        <f t="shared" si="11"/>
        <v/>
      </c>
      <c r="O160" s="8"/>
    </row>
    <row r="161" spans="1:15" x14ac:dyDescent="0.2">
      <c r="A161" s="10" t="str">
        <f t="shared" si="8"/>
        <v/>
      </c>
      <c r="B161" s="8"/>
      <c r="C161" s="8"/>
      <c r="D161" s="8"/>
      <c r="E161" s="8" t="str">
        <f ca="1">IFERROR(_xludf.XLOOKUP(D161,STUDENTS!$A$5:$A$204,STUDENTS!$C$5:$C$204,""),"")</f>
        <v/>
      </c>
      <c r="F161" s="8" t="str">
        <f ca="1">IFERROR(_xludf.XLOOKUP(D161,STUDENTS!$A$5:$A$204,STUDENTS!$L$5:$L$204,""),"")</f>
        <v/>
      </c>
      <c r="G161" s="8"/>
      <c r="H161" s="14"/>
      <c r="I161" s="14"/>
      <c r="J161" s="15" t="str">
        <f>IF(H161="","",H161*SETTINGS!$B$9)</f>
        <v/>
      </c>
      <c r="K161" s="15" t="str">
        <f>IF(I161="","",I161*SETTINGS!$B$10)</f>
        <v/>
      </c>
      <c r="L161" s="15" t="str">
        <f t="shared" si="9"/>
        <v/>
      </c>
      <c r="M161" s="10" t="str">
        <f t="shared" si="10"/>
        <v/>
      </c>
      <c r="N161" s="10" t="str">
        <f t="shared" si="11"/>
        <v/>
      </c>
      <c r="O161" s="8"/>
    </row>
    <row r="162" spans="1:15" x14ac:dyDescent="0.2">
      <c r="A162" s="10" t="str">
        <f t="shared" si="8"/>
        <v/>
      </c>
      <c r="B162" s="8"/>
      <c r="C162" s="8"/>
      <c r="D162" s="8"/>
      <c r="E162" s="8" t="str">
        <f ca="1">IFERROR(_xludf.XLOOKUP(D162,STUDENTS!$A$5:$A$204,STUDENTS!$C$5:$C$204,""),"")</f>
        <v/>
      </c>
      <c r="F162" s="8" t="str">
        <f ca="1">IFERROR(_xludf.XLOOKUP(D162,STUDENTS!$A$5:$A$204,STUDENTS!$L$5:$L$204,""),"")</f>
        <v/>
      </c>
      <c r="G162" s="8"/>
      <c r="H162" s="14"/>
      <c r="I162" s="14"/>
      <c r="J162" s="15" t="str">
        <f>IF(H162="","",H162*SETTINGS!$B$9)</f>
        <v/>
      </c>
      <c r="K162" s="15" t="str">
        <f>IF(I162="","",I162*SETTINGS!$B$10)</f>
        <v/>
      </c>
      <c r="L162" s="15" t="str">
        <f t="shared" si="9"/>
        <v/>
      </c>
      <c r="M162" s="10" t="str">
        <f t="shared" si="10"/>
        <v/>
      </c>
      <c r="N162" s="10" t="str">
        <f t="shared" si="11"/>
        <v/>
      </c>
      <c r="O162" s="8"/>
    </row>
    <row r="163" spans="1:15" x14ac:dyDescent="0.2">
      <c r="A163" s="10" t="str">
        <f t="shared" si="8"/>
        <v/>
      </c>
      <c r="B163" s="8"/>
      <c r="C163" s="8"/>
      <c r="D163" s="8"/>
      <c r="E163" s="8" t="str">
        <f ca="1">IFERROR(_xludf.XLOOKUP(D163,STUDENTS!$A$5:$A$204,STUDENTS!$C$5:$C$204,""),"")</f>
        <v/>
      </c>
      <c r="F163" s="8" t="str">
        <f ca="1">IFERROR(_xludf.XLOOKUP(D163,STUDENTS!$A$5:$A$204,STUDENTS!$L$5:$L$204,""),"")</f>
        <v/>
      </c>
      <c r="G163" s="8"/>
      <c r="H163" s="14"/>
      <c r="I163" s="14"/>
      <c r="J163" s="15" t="str">
        <f>IF(H163="","",H163*SETTINGS!$B$9)</f>
        <v/>
      </c>
      <c r="K163" s="15" t="str">
        <f>IF(I163="","",I163*SETTINGS!$B$10)</f>
        <v/>
      </c>
      <c r="L163" s="15" t="str">
        <f t="shared" si="9"/>
        <v/>
      </c>
      <c r="M163" s="10" t="str">
        <f t="shared" si="10"/>
        <v/>
      </c>
      <c r="N163" s="10" t="str">
        <f t="shared" si="11"/>
        <v/>
      </c>
      <c r="O163" s="8"/>
    </row>
    <row r="164" spans="1:15" x14ac:dyDescent="0.2">
      <c r="A164" s="10" t="str">
        <f t="shared" si="8"/>
        <v/>
      </c>
      <c r="B164" s="8"/>
      <c r="C164" s="8"/>
      <c r="D164" s="8"/>
      <c r="E164" s="8" t="str">
        <f ca="1">IFERROR(_xludf.XLOOKUP(D164,STUDENTS!$A$5:$A$204,STUDENTS!$C$5:$C$204,""),"")</f>
        <v/>
      </c>
      <c r="F164" s="8" t="str">
        <f ca="1">IFERROR(_xludf.XLOOKUP(D164,STUDENTS!$A$5:$A$204,STUDENTS!$L$5:$L$204,""),"")</f>
        <v/>
      </c>
      <c r="G164" s="8"/>
      <c r="H164" s="14"/>
      <c r="I164" s="14"/>
      <c r="J164" s="15" t="str">
        <f>IF(H164="","",H164*SETTINGS!$B$9)</f>
        <v/>
      </c>
      <c r="K164" s="15" t="str">
        <f>IF(I164="","",I164*SETTINGS!$B$10)</f>
        <v/>
      </c>
      <c r="L164" s="15" t="str">
        <f t="shared" si="9"/>
        <v/>
      </c>
      <c r="M164" s="10" t="str">
        <f t="shared" si="10"/>
        <v/>
      </c>
      <c r="N164" s="10" t="str">
        <f t="shared" si="11"/>
        <v/>
      </c>
      <c r="O164" s="8"/>
    </row>
    <row r="165" spans="1:15" x14ac:dyDescent="0.2">
      <c r="A165" s="10" t="str">
        <f t="shared" si="8"/>
        <v/>
      </c>
      <c r="B165" s="8"/>
      <c r="C165" s="8"/>
      <c r="D165" s="8"/>
      <c r="E165" s="8" t="str">
        <f ca="1">IFERROR(_xludf.XLOOKUP(D165,STUDENTS!$A$5:$A$204,STUDENTS!$C$5:$C$204,""),"")</f>
        <v/>
      </c>
      <c r="F165" s="8" t="str">
        <f ca="1">IFERROR(_xludf.XLOOKUP(D165,STUDENTS!$A$5:$A$204,STUDENTS!$L$5:$L$204,""),"")</f>
        <v/>
      </c>
      <c r="G165" s="8"/>
      <c r="H165" s="14"/>
      <c r="I165" s="14"/>
      <c r="J165" s="15" t="str">
        <f>IF(H165="","",H165*SETTINGS!$B$9)</f>
        <v/>
      </c>
      <c r="K165" s="15" t="str">
        <f>IF(I165="","",I165*SETTINGS!$B$10)</f>
        <v/>
      </c>
      <c r="L165" s="15" t="str">
        <f t="shared" si="9"/>
        <v/>
      </c>
      <c r="M165" s="10" t="str">
        <f t="shared" si="10"/>
        <v/>
      </c>
      <c r="N165" s="10" t="str">
        <f t="shared" si="11"/>
        <v/>
      </c>
      <c r="O165" s="8"/>
    </row>
    <row r="166" spans="1:15" x14ac:dyDescent="0.2">
      <c r="A166" s="10" t="str">
        <f t="shared" si="8"/>
        <v/>
      </c>
      <c r="B166" s="8"/>
      <c r="C166" s="8"/>
      <c r="D166" s="8"/>
      <c r="E166" s="8" t="str">
        <f ca="1">IFERROR(_xludf.XLOOKUP(D166,STUDENTS!$A$5:$A$204,STUDENTS!$C$5:$C$204,""),"")</f>
        <v/>
      </c>
      <c r="F166" s="8" t="str">
        <f ca="1">IFERROR(_xludf.XLOOKUP(D166,STUDENTS!$A$5:$A$204,STUDENTS!$L$5:$L$204,""),"")</f>
        <v/>
      </c>
      <c r="G166" s="8"/>
      <c r="H166" s="14"/>
      <c r="I166" s="14"/>
      <c r="J166" s="15" t="str">
        <f>IF(H166="","",H166*SETTINGS!$B$9)</f>
        <v/>
      </c>
      <c r="K166" s="15" t="str">
        <f>IF(I166="","",I166*SETTINGS!$B$10)</f>
        <v/>
      </c>
      <c r="L166" s="15" t="str">
        <f t="shared" si="9"/>
        <v/>
      </c>
      <c r="M166" s="10" t="str">
        <f t="shared" si="10"/>
        <v/>
      </c>
      <c r="N166" s="10" t="str">
        <f t="shared" si="11"/>
        <v/>
      </c>
      <c r="O166" s="8"/>
    </row>
    <row r="167" spans="1:15" x14ac:dyDescent="0.2">
      <c r="A167" s="10" t="str">
        <f t="shared" si="8"/>
        <v/>
      </c>
      <c r="B167" s="8"/>
      <c r="C167" s="8"/>
      <c r="D167" s="8"/>
      <c r="E167" s="8" t="str">
        <f ca="1">IFERROR(_xludf.XLOOKUP(D167,STUDENTS!$A$5:$A$204,STUDENTS!$C$5:$C$204,""),"")</f>
        <v/>
      </c>
      <c r="F167" s="8" t="str">
        <f ca="1">IFERROR(_xludf.XLOOKUP(D167,STUDENTS!$A$5:$A$204,STUDENTS!$L$5:$L$204,""),"")</f>
        <v/>
      </c>
      <c r="G167" s="8"/>
      <c r="H167" s="14"/>
      <c r="I167" s="14"/>
      <c r="J167" s="15" t="str">
        <f>IF(H167="","",H167*SETTINGS!$B$9)</f>
        <v/>
      </c>
      <c r="K167" s="15" t="str">
        <f>IF(I167="","",I167*SETTINGS!$B$10)</f>
        <v/>
      </c>
      <c r="L167" s="15" t="str">
        <f t="shared" si="9"/>
        <v/>
      </c>
      <c r="M167" s="10" t="str">
        <f t="shared" si="10"/>
        <v/>
      </c>
      <c r="N167" s="10" t="str">
        <f t="shared" si="11"/>
        <v/>
      </c>
      <c r="O167" s="8"/>
    </row>
    <row r="168" spans="1:15" x14ac:dyDescent="0.2">
      <c r="A168" s="10" t="str">
        <f t="shared" si="8"/>
        <v/>
      </c>
      <c r="B168" s="8"/>
      <c r="C168" s="8"/>
      <c r="D168" s="8"/>
      <c r="E168" s="8" t="str">
        <f ca="1">IFERROR(_xludf.XLOOKUP(D168,STUDENTS!$A$5:$A$204,STUDENTS!$C$5:$C$204,""),"")</f>
        <v/>
      </c>
      <c r="F168" s="8" t="str">
        <f ca="1">IFERROR(_xludf.XLOOKUP(D168,STUDENTS!$A$5:$A$204,STUDENTS!$L$5:$L$204,""),"")</f>
        <v/>
      </c>
      <c r="G168" s="8"/>
      <c r="H168" s="14"/>
      <c r="I168" s="14"/>
      <c r="J168" s="15" t="str">
        <f>IF(H168="","",H168*SETTINGS!$B$9)</f>
        <v/>
      </c>
      <c r="K168" s="15" t="str">
        <f>IF(I168="","",I168*SETTINGS!$B$10)</f>
        <v/>
      </c>
      <c r="L168" s="15" t="str">
        <f t="shared" si="9"/>
        <v/>
      </c>
      <c r="M168" s="10" t="str">
        <f t="shared" si="10"/>
        <v/>
      </c>
      <c r="N168" s="10" t="str">
        <f t="shared" si="11"/>
        <v/>
      </c>
      <c r="O168" s="8"/>
    </row>
    <row r="169" spans="1:15" x14ac:dyDescent="0.2">
      <c r="A169" s="10" t="str">
        <f t="shared" si="8"/>
        <v/>
      </c>
      <c r="B169" s="8"/>
      <c r="C169" s="8"/>
      <c r="D169" s="8"/>
      <c r="E169" s="8" t="str">
        <f ca="1">IFERROR(_xludf.XLOOKUP(D169,STUDENTS!$A$5:$A$204,STUDENTS!$C$5:$C$204,""),"")</f>
        <v/>
      </c>
      <c r="F169" s="8" t="str">
        <f ca="1">IFERROR(_xludf.XLOOKUP(D169,STUDENTS!$A$5:$A$204,STUDENTS!$L$5:$L$204,""),"")</f>
        <v/>
      </c>
      <c r="G169" s="8"/>
      <c r="H169" s="14"/>
      <c r="I169" s="14"/>
      <c r="J169" s="15" t="str">
        <f>IF(H169="","",H169*SETTINGS!$B$9)</f>
        <v/>
      </c>
      <c r="K169" s="15" t="str">
        <f>IF(I169="","",I169*SETTINGS!$B$10)</f>
        <v/>
      </c>
      <c r="L169" s="15" t="str">
        <f t="shared" si="9"/>
        <v/>
      </c>
      <c r="M169" s="10" t="str">
        <f t="shared" si="10"/>
        <v/>
      </c>
      <c r="N169" s="10" t="str">
        <f t="shared" si="11"/>
        <v/>
      </c>
      <c r="O169" s="8"/>
    </row>
    <row r="170" spans="1:15" x14ac:dyDescent="0.2">
      <c r="A170" s="10" t="str">
        <f t="shared" si="8"/>
        <v/>
      </c>
      <c r="B170" s="8"/>
      <c r="C170" s="8"/>
      <c r="D170" s="8"/>
      <c r="E170" s="8" t="str">
        <f ca="1">IFERROR(_xludf.XLOOKUP(D170,STUDENTS!$A$5:$A$204,STUDENTS!$C$5:$C$204,""),"")</f>
        <v/>
      </c>
      <c r="F170" s="8" t="str">
        <f ca="1">IFERROR(_xludf.XLOOKUP(D170,STUDENTS!$A$5:$A$204,STUDENTS!$L$5:$L$204,""),"")</f>
        <v/>
      </c>
      <c r="G170" s="8"/>
      <c r="H170" s="14"/>
      <c r="I170" s="14"/>
      <c r="J170" s="15" t="str">
        <f>IF(H170="","",H170*SETTINGS!$B$9)</f>
        <v/>
      </c>
      <c r="K170" s="15" t="str">
        <f>IF(I170="","",I170*SETTINGS!$B$10)</f>
        <v/>
      </c>
      <c r="L170" s="15" t="str">
        <f t="shared" si="9"/>
        <v/>
      </c>
      <c r="M170" s="10" t="str">
        <f t="shared" si="10"/>
        <v/>
      </c>
      <c r="N170" s="10" t="str">
        <f t="shared" si="11"/>
        <v/>
      </c>
      <c r="O170" s="8"/>
    </row>
    <row r="171" spans="1:15" x14ac:dyDescent="0.2">
      <c r="A171" s="10" t="str">
        <f t="shared" si="8"/>
        <v/>
      </c>
      <c r="B171" s="8"/>
      <c r="C171" s="8"/>
      <c r="D171" s="8"/>
      <c r="E171" s="8" t="str">
        <f ca="1">IFERROR(_xludf.XLOOKUP(D171,STUDENTS!$A$5:$A$204,STUDENTS!$C$5:$C$204,""),"")</f>
        <v/>
      </c>
      <c r="F171" s="8" t="str">
        <f ca="1">IFERROR(_xludf.XLOOKUP(D171,STUDENTS!$A$5:$A$204,STUDENTS!$L$5:$L$204,""),"")</f>
        <v/>
      </c>
      <c r="G171" s="8"/>
      <c r="H171" s="14"/>
      <c r="I171" s="14"/>
      <c r="J171" s="15" t="str">
        <f>IF(H171="","",H171*SETTINGS!$B$9)</f>
        <v/>
      </c>
      <c r="K171" s="15" t="str">
        <f>IF(I171="","",I171*SETTINGS!$B$10)</f>
        <v/>
      </c>
      <c r="L171" s="15" t="str">
        <f t="shared" si="9"/>
        <v/>
      </c>
      <c r="M171" s="10" t="str">
        <f t="shared" si="10"/>
        <v/>
      </c>
      <c r="N171" s="10" t="str">
        <f t="shared" si="11"/>
        <v/>
      </c>
      <c r="O171" s="8"/>
    </row>
    <row r="172" spans="1:15" x14ac:dyDescent="0.2">
      <c r="A172" s="10" t="str">
        <f t="shared" si="8"/>
        <v/>
      </c>
      <c r="B172" s="8"/>
      <c r="C172" s="8"/>
      <c r="D172" s="8"/>
      <c r="E172" s="8" t="str">
        <f ca="1">IFERROR(_xludf.XLOOKUP(D172,STUDENTS!$A$5:$A$204,STUDENTS!$C$5:$C$204,""),"")</f>
        <v/>
      </c>
      <c r="F172" s="8" t="str">
        <f ca="1">IFERROR(_xludf.XLOOKUP(D172,STUDENTS!$A$5:$A$204,STUDENTS!$L$5:$L$204,""),"")</f>
        <v/>
      </c>
      <c r="G172" s="8"/>
      <c r="H172" s="14"/>
      <c r="I172" s="14"/>
      <c r="J172" s="15" t="str">
        <f>IF(H172="","",H172*SETTINGS!$B$9)</f>
        <v/>
      </c>
      <c r="K172" s="15" t="str">
        <f>IF(I172="","",I172*SETTINGS!$B$10)</f>
        <v/>
      </c>
      <c r="L172" s="15" t="str">
        <f t="shared" si="9"/>
        <v/>
      </c>
      <c r="M172" s="10" t="str">
        <f t="shared" si="10"/>
        <v/>
      </c>
      <c r="N172" s="10" t="str">
        <f t="shared" si="11"/>
        <v/>
      </c>
      <c r="O172" s="8"/>
    </row>
    <row r="173" spans="1:15" x14ac:dyDescent="0.2">
      <c r="A173" s="10" t="str">
        <f t="shared" si="8"/>
        <v/>
      </c>
      <c r="B173" s="8"/>
      <c r="C173" s="8"/>
      <c r="D173" s="8"/>
      <c r="E173" s="8" t="str">
        <f ca="1">IFERROR(_xludf.XLOOKUP(D173,STUDENTS!$A$5:$A$204,STUDENTS!$C$5:$C$204,""),"")</f>
        <v/>
      </c>
      <c r="F173" s="8" t="str">
        <f ca="1">IFERROR(_xludf.XLOOKUP(D173,STUDENTS!$A$5:$A$204,STUDENTS!$L$5:$L$204,""),"")</f>
        <v/>
      </c>
      <c r="G173" s="8"/>
      <c r="H173" s="14"/>
      <c r="I173" s="14"/>
      <c r="J173" s="15" t="str">
        <f>IF(H173="","",H173*SETTINGS!$B$9)</f>
        <v/>
      </c>
      <c r="K173" s="15" t="str">
        <f>IF(I173="","",I173*SETTINGS!$B$10)</f>
        <v/>
      </c>
      <c r="L173" s="15" t="str">
        <f t="shared" si="9"/>
        <v/>
      </c>
      <c r="M173" s="10" t="str">
        <f t="shared" si="10"/>
        <v/>
      </c>
      <c r="N173" s="10" t="str">
        <f t="shared" si="11"/>
        <v/>
      </c>
      <c r="O173" s="8"/>
    </row>
    <row r="174" spans="1:15" x14ac:dyDescent="0.2">
      <c r="A174" s="10" t="str">
        <f t="shared" si="8"/>
        <v/>
      </c>
      <c r="B174" s="8"/>
      <c r="C174" s="8"/>
      <c r="D174" s="8"/>
      <c r="E174" s="8" t="str">
        <f ca="1">IFERROR(_xludf.XLOOKUP(D174,STUDENTS!$A$5:$A$204,STUDENTS!$C$5:$C$204,""),"")</f>
        <v/>
      </c>
      <c r="F174" s="8" t="str">
        <f ca="1">IFERROR(_xludf.XLOOKUP(D174,STUDENTS!$A$5:$A$204,STUDENTS!$L$5:$L$204,""),"")</f>
        <v/>
      </c>
      <c r="G174" s="8"/>
      <c r="H174" s="14"/>
      <c r="I174" s="14"/>
      <c r="J174" s="15" t="str">
        <f>IF(H174="","",H174*SETTINGS!$B$9)</f>
        <v/>
      </c>
      <c r="K174" s="15" t="str">
        <f>IF(I174="","",I174*SETTINGS!$B$10)</f>
        <v/>
      </c>
      <c r="L174" s="15" t="str">
        <f t="shared" si="9"/>
        <v/>
      </c>
      <c r="M174" s="10" t="str">
        <f t="shared" si="10"/>
        <v/>
      </c>
      <c r="N174" s="10" t="str">
        <f t="shared" si="11"/>
        <v/>
      </c>
      <c r="O174" s="8"/>
    </row>
    <row r="175" spans="1:15" x14ac:dyDescent="0.2">
      <c r="A175" s="10" t="str">
        <f t="shared" si="8"/>
        <v/>
      </c>
      <c r="B175" s="8"/>
      <c r="C175" s="8"/>
      <c r="D175" s="8"/>
      <c r="E175" s="8" t="str">
        <f ca="1">IFERROR(_xludf.XLOOKUP(D175,STUDENTS!$A$5:$A$204,STUDENTS!$C$5:$C$204,""),"")</f>
        <v/>
      </c>
      <c r="F175" s="8" t="str">
        <f ca="1">IFERROR(_xludf.XLOOKUP(D175,STUDENTS!$A$5:$A$204,STUDENTS!$L$5:$L$204,""),"")</f>
        <v/>
      </c>
      <c r="G175" s="8"/>
      <c r="H175" s="14"/>
      <c r="I175" s="14"/>
      <c r="J175" s="15" t="str">
        <f>IF(H175="","",H175*SETTINGS!$B$9)</f>
        <v/>
      </c>
      <c r="K175" s="15" t="str">
        <f>IF(I175="","",I175*SETTINGS!$B$10)</f>
        <v/>
      </c>
      <c r="L175" s="15" t="str">
        <f t="shared" si="9"/>
        <v/>
      </c>
      <c r="M175" s="10" t="str">
        <f t="shared" si="10"/>
        <v/>
      </c>
      <c r="N175" s="10" t="str">
        <f t="shared" si="11"/>
        <v/>
      </c>
      <c r="O175" s="8"/>
    </row>
    <row r="176" spans="1:15" x14ac:dyDescent="0.2">
      <c r="A176" s="10" t="str">
        <f t="shared" si="8"/>
        <v/>
      </c>
      <c r="B176" s="8"/>
      <c r="C176" s="8"/>
      <c r="D176" s="8"/>
      <c r="E176" s="8" t="str">
        <f ca="1">IFERROR(_xludf.XLOOKUP(D176,STUDENTS!$A$5:$A$204,STUDENTS!$C$5:$C$204,""),"")</f>
        <v/>
      </c>
      <c r="F176" s="8" t="str">
        <f ca="1">IFERROR(_xludf.XLOOKUP(D176,STUDENTS!$A$5:$A$204,STUDENTS!$L$5:$L$204,""),"")</f>
        <v/>
      </c>
      <c r="G176" s="8"/>
      <c r="H176" s="14"/>
      <c r="I176" s="14"/>
      <c r="J176" s="15" t="str">
        <f>IF(H176="","",H176*SETTINGS!$B$9)</f>
        <v/>
      </c>
      <c r="K176" s="15" t="str">
        <f>IF(I176="","",I176*SETTINGS!$B$10)</f>
        <v/>
      </c>
      <c r="L176" s="15" t="str">
        <f t="shared" si="9"/>
        <v/>
      </c>
      <c r="M176" s="10" t="str">
        <f t="shared" si="10"/>
        <v/>
      </c>
      <c r="N176" s="10" t="str">
        <f t="shared" si="11"/>
        <v/>
      </c>
      <c r="O176" s="8"/>
    </row>
    <row r="177" spans="1:15" x14ac:dyDescent="0.2">
      <c r="A177" s="10" t="str">
        <f t="shared" si="8"/>
        <v/>
      </c>
      <c r="B177" s="8"/>
      <c r="C177" s="8"/>
      <c r="D177" s="8"/>
      <c r="E177" s="8" t="str">
        <f ca="1">IFERROR(_xludf.XLOOKUP(D177,STUDENTS!$A$5:$A$204,STUDENTS!$C$5:$C$204,""),"")</f>
        <v/>
      </c>
      <c r="F177" s="8" t="str">
        <f ca="1">IFERROR(_xludf.XLOOKUP(D177,STUDENTS!$A$5:$A$204,STUDENTS!$L$5:$L$204,""),"")</f>
        <v/>
      </c>
      <c r="G177" s="8"/>
      <c r="H177" s="14"/>
      <c r="I177" s="14"/>
      <c r="J177" s="15" t="str">
        <f>IF(H177="","",H177*SETTINGS!$B$9)</f>
        <v/>
      </c>
      <c r="K177" s="15" t="str">
        <f>IF(I177="","",I177*SETTINGS!$B$10)</f>
        <v/>
      </c>
      <c r="L177" s="15" t="str">
        <f t="shared" si="9"/>
        <v/>
      </c>
      <c r="M177" s="10" t="str">
        <f t="shared" si="10"/>
        <v/>
      </c>
      <c r="N177" s="10" t="str">
        <f t="shared" si="11"/>
        <v/>
      </c>
      <c r="O177" s="8"/>
    </row>
    <row r="178" spans="1:15" x14ac:dyDescent="0.2">
      <c r="A178" s="10" t="str">
        <f t="shared" si="8"/>
        <v/>
      </c>
      <c r="B178" s="8"/>
      <c r="C178" s="8"/>
      <c r="D178" s="8"/>
      <c r="E178" s="8" t="str">
        <f ca="1">IFERROR(_xludf.XLOOKUP(D178,STUDENTS!$A$5:$A$204,STUDENTS!$C$5:$C$204,""),"")</f>
        <v/>
      </c>
      <c r="F178" s="8" t="str">
        <f ca="1">IFERROR(_xludf.XLOOKUP(D178,STUDENTS!$A$5:$A$204,STUDENTS!$L$5:$L$204,""),"")</f>
        <v/>
      </c>
      <c r="G178" s="8"/>
      <c r="H178" s="14"/>
      <c r="I178" s="14"/>
      <c r="J178" s="15" t="str">
        <f>IF(H178="","",H178*SETTINGS!$B$9)</f>
        <v/>
      </c>
      <c r="K178" s="15" t="str">
        <f>IF(I178="","",I178*SETTINGS!$B$10)</f>
        <v/>
      </c>
      <c r="L178" s="15" t="str">
        <f t="shared" si="9"/>
        <v/>
      </c>
      <c r="M178" s="10" t="str">
        <f t="shared" si="10"/>
        <v/>
      </c>
      <c r="N178" s="10" t="str">
        <f t="shared" si="11"/>
        <v/>
      </c>
      <c r="O178" s="8"/>
    </row>
    <row r="179" spans="1:15" x14ac:dyDescent="0.2">
      <c r="A179" s="10" t="str">
        <f t="shared" si="8"/>
        <v/>
      </c>
      <c r="B179" s="8"/>
      <c r="C179" s="8"/>
      <c r="D179" s="8"/>
      <c r="E179" s="8" t="str">
        <f ca="1">IFERROR(_xludf.XLOOKUP(D179,STUDENTS!$A$5:$A$204,STUDENTS!$C$5:$C$204,""),"")</f>
        <v/>
      </c>
      <c r="F179" s="8" t="str">
        <f ca="1">IFERROR(_xludf.XLOOKUP(D179,STUDENTS!$A$5:$A$204,STUDENTS!$L$5:$L$204,""),"")</f>
        <v/>
      </c>
      <c r="G179" s="8"/>
      <c r="H179" s="14"/>
      <c r="I179" s="14"/>
      <c r="J179" s="15" t="str">
        <f>IF(H179="","",H179*SETTINGS!$B$9)</f>
        <v/>
      </c>
      <c r="K179" s="15" t="str">
        <f>IF(I179="","",I179*SETTINGS!$B$10)</f>
        <v/>
      </c>
      <c r="L179" s="15" t="str">
        <f t="shared" si="9"/>
        <v/>
      </c>
      <c r="M179" s="10" t="str">
        <f t="shared" si="10"/>
        <v/>
      </c>
      <c r="N179" s="10" t="str">
        <f t="shared" si="11"/>
        <v/>
      </c>
      <c r="O179" s="8"/>
    </row>
    <row r="180" spans="1:15" x14ac:dyDescent="0.2">
      <c r="A180" s="10" t="str">
        <f t="shared" si="8"/>
        <v/>
      </c>
      <c r="B180" s="8"/>
      <c r="C180" s="8"/>
      <c r="D180" s="8"/>
      <c r="E180" s="8" t="str">
        <f ca="1">IFERROR(_xludf.XLOOKUP(D180,STUDENTS!$A$5:$A$204,STUDENTS!$C$5:$C$204,""),"")</f>
        <v/>
      </c>
      <c r="F180" s="8" t="str">
        <f ca="1">IFERROR(_xludf.XLOOKUP(D180,STUDENTS!$A$5:$A$204,STUDENTS!$L$5:$L$204,""),"")</f>
        <v/>
      </c>
      <c r="G180" s="8"/>
      <c r="H180" s="14"/>
      <c r="I180" s="14"/>
      <c r="J180" s="15" t="str">
        <f>IF(H180="","",H180*SETTINGS!$B$9)</f>
        <v/>
      </c>
      <c r="K180" s="15" t="str">
        <f>IF(I180="","",I180*SETTINGS!$B$10)</f>
        <v/>
      </c>
      <c r="L180" s="15" t="str">
        <f t="shared" si="9"/>
        <v/>
      </c>
      <c r="M180" s="10" t="str">
        <f t="shared" si="10"/>
        <v/>
      </c>
      <c r="N180" s="10" t="str">
        <f t="shared" si="11"/>
        <v/>
      </c>
      <c r="O180" s="8"/>
    </row>
    <row r="181" spans="1:15" x14ac:dyDescent="0.2">
      <c r="A181" s="10" t="str">
        <f t="shared" si="8"/>
        <v/>
      </c>
      <c r="B181" s="8"/>
      <c r="C181" s="8"/>
      <c r="D181" s="8"/>
      <c r="E181" s="8" t="str">
        <f ca="1">IFERROR(_xludf.XLOOKUP(D181,STUDENTS!$A$5:$A$204,STUDENTS!$C$5:$C$204,""),"")</f>
        <v/>
      </c>
      <c r="F181" s="8" t="str">
        <f ca="1">IFERROR(_xludf.XLOOKUP(D181,STUDENTS!$A$5:$A$204,STUDENTS!$L$5:$L$204,""),"")</f>
        <v/>
      </c>
      <c r="G181" s="8"/>
      <c r="H181" s="14"/>
      <c r="I181" s="14"/>
      <c r="J181" s="15" t="str">
        <f>IF(H181="","",H181*SETTINGS!$B$9)</f>
        <v/>
      </c>
      <c r="K181" s="15" t="str">
        <f>IF(I181="","",I181*SETTINGS!$B$10)</f>
        <v/>
      </c>
      <c r="L181" s="15" t="str">
        <f t="shared" si="9"/>
        <v/>
      </c>
      <c r="M181" s="10" t="str">
        <f t="shared" si="10"/>
        <v/>
      </c>
      <c r="N181" s="10" t="str">
        <f t="shared" si="11"/>
        <v/>
      </c>
      <c r="O181" s="8"/>
    </row>
    <row r="182" spans="1:15" x14ac:dyDescent="0.2">
      <c r="A182" s="10" t="str">
        <f t="shared" si="8"/>
        <v/>
      </c>
      <c r="B182" s="8"/>
      <c r="C182" s="8"/>
      <c r="D182" s="8"/>
      <c r="E182" s="8" t="str">
        <f ca="1">IFERROR(_xludf.XLOOKUP(D182,STUDENTS!$A$5:$A$204,STUDENTS!$C$5:$C$204,""),"")</f>
        <v/>
      </c>
      <c r="F182" s="8" t="str">
        <f ca="1">IFERROR(_xludf.XLOOKUP(D182,STUDENTS!$A$5:$A$204,STUDENTS!$L$5:$L$204,""),"")</f>
        <v/>
      </c>
      <c r="G182" s="8"/>
      <c r="H182" s="14"/>
      <c r="I182" s="14"/>
      <c r="J182" s="15" t="str">
        <f>IF(H182="","",H182*SETTINGS!$B$9)</f>
        <v/>
      </c>
      <c r="K182" s="15" t="str">
        <f>IF(I182="","",I182*SETTINGS!$B$10)</f>
        <v/>
      </c>
      <c r="L182" s="15" t="str">
        <f t="shared" si="9"/>
        <v/>
      </c>
      <c r="M182" s="10" t="str">
        <f t="shared" si="10"/>
        <v/>
      </c>
      <c r="N182" s="10" t="str">
        <f t="shared" si="11"/>
        <v/>
      </c>
      <c r="O182" s="8"/>
    </row>
    <row r="183" spans="1:15" x14ac:dyDescent="0.2">
      <c r="A183" s="10" t="str">
        <f t="shared" si="8"/>
        <v/>
      </c>
      <c r="B183" s="8"/>
      <c r="C183" s="8"/>
      <c r="D183" s="8"/>
      <c r="E183" s="8" t="str">
        <f ca="1">IFERROR(_xludf.XLOOKUP(D183,STUDENTS!$A$5:$A$204,STUDENTS!$C$5:$C$204,""),"")</f>
        <v/>
      </c>
      <c r="F183" s="8" t="str">
        <f ca="1">IFERROR(_xludf.XLOOKUP(D183,STUDENTS!$A$5:$A$204,STUDENTS!$L$5:$L$204,""),"")</f>
        <v/>
      </c>
      <c r="G183" s="8"/>
      <c r="H183" s="14"/>
      <c r="I183" s="14"/>
      <c r="J183" s="15" t="str">
        <f>IF(H183="","",H183*SETTINGS!$B$9)</f>
        <v/>
      </c>
      <c r="K183" s="15" t="str">
        <f>IF(I183="","",I183*SETTINGS!$B$10)</f>
        <v/>
      </c>
      <c r="L183" s="15" t="str">
        <f t="shared" si="9"/>
        <v/>
      </c>
      <c r="M183" s="10" t="str">
        <f t="shared" si="10"/>
        <v/>
      </c>
      <c r="N183" s="10" t="str">
        <f t="shared" si="11"/>
        <v/>
      </c>
      <c r="O183" s="8"/>
    </row>
    <row r="184" spans="1:15" x14ac:dyDescent="0.2">
      <c r="A184" s="10" t="str">
        <f t="shared" si="8"/>
        <v/>
      </c>
      <c r="B184" s="8"/>
      <c r="C184" s="8"/>
      <c r="D184" s="8"/>
      <c r="E184" s="8" t="str">
        <f ca="1">IFERROR(_xludf.XLOOKUP(D184,STUDENTS!$A$5:$A$204,STUDENTS!$C$5:$C$204,""),"")</f>
        <v/>
      </c>
      <c r="F184" s="8" t="str">
        <f ca="1">IFERROR(_xludf.XLOOKUP(D184,STUDENTS!$A$5:$A$204,STUDENTS!$L$5:$L$204,""),"")</f>
        <v/>
      </c>
      <c r="G184" s="8"/>
      <c r="H184" s="14"/>
      <c r="I184" s="14"/>
      <c r="J184" s="15" t="str">
        <f>IF(H184="","",H184*SETTINGS!$B$9)</f>
        <v/>
      </c>
      <c r="K184" s="15" t="str">
        <f>IF(I184="","",I184*SETTINGS!$B$10)</f>
        <v/>
      </c>
      <c r="L184" s="15" t="str">
        <f t="shared" si="9"/>
        <v/>
      </c>
      <c r="M184" s="10" t="str">
        <f t="shared" si="10"/>
        <v/>
      </c>
      <c r="N184" s="10" t="str">
        <f t="shared" si="11"/>
        <v/>
      </c>
      <c r="O184" s="8"/>
    </row>
    <row r="185" spans="1:15" x14ac:dyDescent="0.2">
      <c r="A185" s="10" t="str">
        <f t="shared" si="8"/>
        <v/>
      </c>
      <c r="B185" s="8"/>
      <c r="C185" s="8"/>
      <c r="D185" s="8"/>
      <c r="E185" s="8" t="str">
        <f ca="1">IFERROR(_xludf.XLOOKUP(D185,STUDENTS!$A$5:$A$204,STUDENTS!$C$5:$C$204,""),"")</f>
        <v/>
      </c>
      <c r="F185" s="8" t="str">
        <f ca="1">IFERROR(_xludf.XLOOKUP(D185,STUDENTS!$A$5:$A$204,STUDENTS!$L$5:$L$204,""),"")</f>
        <v/>
      </c>
      <c r="G185" s="8"/>
      <c r="H185" s="14"/>
      <c r="I185" s="14"/>
      <c r="J185" s="15" t="str">
        <f>IF(H185="","",H185*SETTINGS!$B$9)</f>
        <v/>
      </c>
      <c r="K185" s="15" t="str">
        <f>IF(I185="","",I185*SETTINGS!$B$10)</f>
        <v/>
      </c>
      <c r="L185" s="15" t="str">
        <f t="shared" si="9"/>
        <v/>
      </c>
      <c r="M185" s="10" t="str">
        <f t="shared" si="10"/>
        <v/>
      </c>
      <c r="N185" s="10" t="str">
        <f t="shared" si="11"/>
        <v/>
      </c>
      <c r="O185" s="8"/>
    </row>
    <row r="186" spans="1:15" x14ac:dyDescent="0.2">
      <c r="A186" s="10" t="str">
        <f t="shared" si="8"/>
        <v/>
      </c>
      <c r="B186" s="8"/>
      <c r="C186" s="8"/>
      <c r="D186" s="8"/>
      <c r="E186" s="8" t="str">
        <f ca="1">IFERROR(_xludf.XLOOKUP(D186,STUDENTS!$A$5:$A$204,STUDENTS!$C$5:$C$204,""),"")</f>
        <v/>
      </c>
      <c r="F186" s="8" t="str">
        <f ca="1">IFERROR(_xludf.XLOOKUP(D186,STUDENTS!$A$5:$A$204,STUDENTS!$L$5:$L$204,""),"")</f>
        <v/>
      </c>
      <c r="G186" s="8"/>
      <c r="H186" s="14"/>
      <c r="I186" s="14"/>
      <c r="J186" s="15" t="str">
        <f>IF(H186="","",H186*SETTINGS!$B$9)</f>
        <v/>
      </c>
      <c r="K186" s="15" t="str">
        <f>IF(I186="","",I186*SETTINGS!$B$10)</f>
        <v/>
      </c>
      <c r="L186" s="15" t="str">
        <f t="shared" si="9"/>
        <v/>
      </c>
      <c r="M186" s="10" t="str">
        <f t="shared" si="10"/>
        <v/>
      </c>
      <c r="N186" s="10" t="str">
        <f t="shared" si="11"/>
        <v/>
      </c>
      <c r="O186" s="8"/>
    </row>
    <row r="187" spans="1:15" x14ac:dyDescent="0.2">
      <c r="A187" s="10" t="str">
        <f t="shared" si="8"/>
        <v/>
      </c>
      <c r="B187" s="8"/>
      <c r="C187" s="8"/>
      <c r="D187" s="8"/>
      <c r="E187" s="8" t="str">
        <f ca="1">IFERROR(_xludf.XLOOKUP(D187,STUDENTS!$A$5:$A$204,STUDENTS!$C$5:$C$204,""),"")</f>
        <v/>
      </c>
      <c r="F187" s="8" t="str">
        <f ca="1">IFERROR(_xludf.XLOOKUP(D187,STUDENTS!$A$5:$A$204,STUDENTS!$L$5:$L$204,""),"")</f>
        <v/>
      </c>
      <c r="G187" s="8"/>
      <c r="H187" s="14"/>
      <c r="I187" s="14"/>
      <c r="J187" s="15" t="str">
        <f>IF(H187="","",H187*SETTINGS!$B$9)</f>
        <v/>
      </c>
      <c r="K187" s="15" t="str">
        <f>IF(I187="","",I187*SETTINGS!$B$10)</f>
        <v/>
      </c>
      <c r="L187" s="15" t="str">
        <f t="shared" si="9"/>
        <v/>
      </c>
      <c r="M187" s="10" t="str">
        <f t="shared" si="10"/>
        <v/>
      </c>
      <c r="N187" s="10" t="str">
        <f t="shared" si="11"/>
        <v/>
      </c>
      <c r="O187" s="8"/>
    </row>
    <row r="188" spans="1:15" x14ac:dyDescent="0.2">
      <c r="A188" s="10" t="str">
        <f t="shared" si="8"/>
        <v/>
      </c>
      <c r="B188" s="8"/>
      <c r="C188" s="8"/>
      <c r="D188" s="8"/>
      <c r="E188" s="8" t="str">
        <f ca="1">IFERROR(_xludf.XLOOKUP(D188,STUDENTS!$A$5:$A$204,STUDENTS!$C$5:$C$204,""),"")</f>
        <v/>
      </c>
      <c r="F188" s="8" t="str">
        <f ca="1">IFERROR(_xludf.XLOOKUP(D188,STUDENTS!$A$5:$A$204,STUDENTS!$L$5:$L$204,""),"")</f>
        <v/>
      </c>
      <c r="G188" s="8"/>
      <c r="H188" s="14"/>
      <c r="I188" s="14"/>
      <c r="J188" s="15" t="str">
        <f>IF(H188="","",H188*SETTINGS!$B$9)</f>
        <v/>
      </c>
      <c r="K188" s="15" t="str">
        <f>IF(I188="","",I188*SETTINGS!$B$10)</f>
        <v/>
      </c>
      <c r="L188" s="15" t="str">
        <f t="shared" si="9"/>
        <v/>
      </c>
      <c r="M188" s="10" t="str">
        <f t="shared" si="10"/>
        <v/>
      </c>
      <c r="N188" s="10" t="str">
        <f t="shared" si="11"/>
        <v/>
      </c>
      <c r="O188" s="8"/>
    </row>
    <row r="189" spans="1:15" x14ac:dyDescent="0.2">
      <c r="A189" s="10" t="str">
        <f t="shared" si="8"/>
        <v/>
      </c>
      <c r="B189" s="8"/>
      <c r="C189" s="8"/>
      <c r="D189" s="8"/>
      <c r="E189" s="8" t="str">
        <f ca="1">IFERROR(_xludf.XLOOKUP(D189,STUDENTS!$A$5:$A$204,STUDENTS!$C$5:$C$204,""),"")</f>
        <v/>
      </c>
      <c r="F189" s="8" t="str">
        <f ca="1">IFERROR(_xludf.XLOOKUP(D189,STUDENTS!$A$5:$A$204,STUDENTS!$L$5:$L$204,""),"")</f>
        <v/>
      </c>
      <c r="G189" s="8"/>
      <c r="H189" s="14"/>
      <c r="I189" s="14"/>
      <c r="J189" s="15" t="str">
        <f>IF(H189="","",H189*SETTINGS!$B$9)</f>
        <v/>
      </c>
      <c r="K189" s="15" t="str">
        <f>IF(I189="","",I189*SETTINGS!$B$10)</f>
        <v/>
      </c>
      <c r="L189" s="15" t="str">
        <f t="shared" si="9"/>
        <v/>
      </c>
      <c r="M189" s="10" t="str">
        <f t="shared" si="10"/>
        <v/>
      </c>
      <c r="N189" s="10" t="str">
        <f t="shared" si="11"/>
        <v/>
      </c>
      <c r="O189" s="8"/>
    </row>
    <row r="190" spans="1:15" x14ac:dyDescent="0.2">
      <c r="A190" s="10" t="str">
        <f t="shared" si="8"/>
        <v/>
      </c>
      <c r="B190" s="8"/>
      <c r="C190" s="8"/>
      <c r="D190" s="8"/>
      <c r="E190" s="8" t="str">
        <f ca="1">IFERROR(_xludf.XLOOKUP(D190,STUDENTS!$A$5:$A$204,STUDENTS!$C$5:$C$204,""),"")</f>
        <v/>
      </c>
      <c r="F190" s="8" t="str">
        <f ca="1">IFERROR(_xludf.XLOOKUP(D190,STUDENTS!$A$5:$A$204,STUDENTS!$L$5:$L$204,""),"")</f>
        <v/>
      </c>
      <c r="G190" s="8"/>
      <c r="H190" s="14"/>
      <c r="I190" s="14"/>
      <c r="J190" s="15" t="str">
        <f>IF(H190="","",H190*SETTINGS!$B$9)</f>
        <v/>
      </c>
      <c r="K190" s="15" t="str">
        <f>IF(I190="","",I190*SETTINGS!$B$10)</f>
        <v/>
      </c>
      <c r="L190" s="15" t="str">
        <f t="shared" si="9"/>
        <v/>
      </c>
      <c r="M190" s="10" t="str">
        <f t="shared" si="10"/>
        <v/>
      </c>
      <c r="N190" s="10" t="str">
        <f t="shared" si="11"/>
        <v/>
      </c>
      <c r="O190" s="8"/>
    </row>
    <row r="191" spans="1:15" x14ac:dyDescent="0.2">
      <c r="A191" s="10" t="str">
        <f t="shared" si="8"/>
        <v/>
      </c>
      <c r="B191" s="8"/>
      <c r="C191" s="8"/>
      <c r="D191" s="8"/>
      <c r="E191" s="8" t="str">
        <f ca="1">IFERROR(_xludf.XLOOKUP(D191,STUDENTS!$A$5:$A$204,STUDENTS!$C$5:$C$204,""),"")</f>
        <v/>
      </c>
      <c r="F191" s="8" t="str">
        <f ca="1">IFERROR(_xludf.XLOOKUP(D191,STUDENTS!$A$5:$A$204,STUDENTS!$L$5:$L$204,""),"")</f>
        <v/>
      </c>
      <c r="G191" s="8"/>
      <c r="H191" s="14"/>
      <c r="I191" s="14"/>
      <c r="J191" s="15" t="str">
        <f>IF(H191="","",H191*SETTINGS!$B$9)</f>
        <v/>
      </c>
      <c r="K191" s="15" t="str">
        <f>IF(I191="","",I191*SETTINGS!$B$10)</f>
        <v/>
      </c>
      <c r="L191" s="15" t="str">
        <f t="shared" si="9"/>
        <v/>
      </c>
      <c r="M191" s="10" t="str">
        <f t="shared" si="10"/>
        <v/>
      </c>
      <c r="N191" s="10" t="str">
        <f t="shared" si="11"/>
        <v/>
      </c>
      <c r="O191" s="8"/>
    </row>
    <row r="192" spans="1:15" x14ac:dyDescent="0.2">
      <c r="A192" s="10" t="str">
        <f t="shared" si="8"/>
        <v/>
      </c>
      <c r="B192" s="8"/>
      <c r="C192" s="8"/>
      <c r="D192" s="8"/>
      <c r="E192" s="8" t="str">
        <f ca="1">IFERROR(_xludf.XLOOKUP(D192,STUDENTS!$A$5:$A$204,STUDENTS!$C$5:$C$204,""),"")</f>
        <v/>
      </c>
      <c r="F192" s="8" t="str">
        <f ca="1">IFERROR(_xludf.XLOOKUP(D192,STUDENTS!$A$5:$A$204,STUDENTS!$L$5:$L$204,""),"")</f>
        <v/>
      </c>
      <c r="G192" s="8"/>
      <c r="H192" s="14"/>
      <c r="I192" s="14"/>
      <c r="J192" s="15" t="str">
        <f>IF(H192="","",H192*SETTINGS!$B$9)</f>
        <v/>
      </c>
      <c r="K192" s="15" t="str">
        <f>IF(I192="","",I192*SETTINGS!$B$10)</f>
        <v/>
      </c>
      <c r="L192" s="15" t="str">
        <f t="shared" si="9"/>
        <v/>
      </c>
      <c r="M192" s="10" t="str">
        <f t="shared" si="10"/>
        <v/>
      </c>
      <c r="N192" s="10" t="str">
        <f t="shared" si="11"/>
        <v/>
      </c>
      <c r="O192" s="8"/>
    </row>
    <row r="193" spans="1:15" x14ac:dyDescent="0.2">
      <c r="A193" s="10" t="str">
        <f t="shared" si="8"/>
        <v/>
      </c>
      <c r="B193" s="8"/>
      <c r="C193" s="8"/>
      <c r="D193" s="8"/>
      <c r="E193" s="8" t="str">
        <f ca="1">IFERROR(_xludf.XLOOKUP(D193,STUDENTS!$A$5:$A$204,STUDENTS!$C$5:$C$204,""),"")</f>
        <v/>
      </c>
      <c r="F193" s="8" t="str">
        <f ca="1">IFERROR(_xludf.XLOOKUP(D193,STUDENTS!$A$5:$A$204,STUDENTS!$L$5:$L$204,""),"")</f>
        <v/>
      </c>
      <c r="G193" s="8"/>
      <c r="H193" s="14"/>
      <c r="I193" s="14"/>
      <c r="J193" s="15" t="str">
        <f>IF(H193="","",H193*SETTINGS!$B$9)</f>
        <v/>
      </c>
      <c r="K193" s="15" t="str">
        <f>IF(I193="","",I193*SETTINGS!$B$10)</f>
        <v/>
      </c>
      <c r="L193" s="15" t="str">
        <f t="shared" si="9"/>
        <v/>
      </c>
      <c r="M193" s="10" t="str">
        <f t="shared" si="10"/>
        <v/>
      </c>
      <c r="N193" s="10" t="str">
        <f t="shared" si="11"/>
        <v/>
      </c>
      <c r="O193" s="8"/>
    </row>
    <row r="194" spans="1:15" x14ac:dyDescent="0.2">
      <c r="A194" s="10" t="str">
        <f t="shared" si="8"/>
        <v/>
      </c>
      <c r="B194" s="8"/>
      <c r="C194" s="8"/>
      <c r="D194" s="8"/>
      <c r="E194" s="8" t="str">
        <f ca="1">IFERROR(_xludf.XLOOKUP(D194,STUDENTS!$A$5:$A$204,STUDENTS!$C$5:$C$204,""),"")</f>
        <v/>
      </c>
      <c r="F194" s="8" t="str">
        <f ca="1">IFERROR(_xludf.XLOOKUP(D194,STUDENTS!$A$5:$A$204,STUDENTS!$L$5:$L$204,""),"")</f>
        <v/>
      </c>
      <c r="G194" s="8"/>
      <c r="H194" s="14"/>
      <c r="I194" s="14"/>
      <c r="J194" s="15" t="str">
        <f>IF(H194="","",H194*SETTINGS!$B$9)</f>
        <v/>
      </c>
      <c r="K194" s="15" t="str">
        <f>IF(I194="","",I194*SETTINGS!$B$10)</f>
        <v/>
      </c>
      <c r="L194" s="15" t="str">
        <f t="shared" si="9"/>
        <v/>
      </c>
      <c r="M194" s="10" t="str">
        <f t="shared" si="10"/>
        <v/>
      </c>
      <c r="N194" s="10" t="str">
        <f t="shared" si="11"/>
        <v/>
      </c>
      <c r="O194" s="8"/>
    </row>
    <row r="195" spans="1:15" x14ac:dyDescent="0.2">
      <c r="A195" s="10" t="str">
        <f t="shared" si="8"/>
        <v/>
      </c>
      <c r="B195" s="8"/>
      <c r="C195" s="8"/>
      <c r="D195" s="8"/>
      <c r="E195" s="8" t="str">
        <f ca="1">IFERROR(_xludf.XLOOKUP(D195,STUDENTS!$A$5:$A$204,STUDENTS!$C$5:$C$204,""),"")</f>
        <v/>
      </c>
      <c r="F195" s="8" t="str">
        <f ca="1">IFERROR(_xludf.XLOOKUP(D195,STUDENTS!$A$5:$A$204,STUDENTS!$L$5:$L$204,""),"")</f>
        <v/>
      </c>
      <c r="G195" s="8"/>
      <c r="H195" s="14"/>
      <c r="I195" s="14"/>
      <c r="J195" s="15" t="str">
        <f>IF(H195="","",H195*SETTINGS!$B$9)</f>
        <v/>
      </c>
      <c r="K195" s="15" t="str">
        <f>IF(I195="","",I195*SETTINGS!$B$10)</f>
        <v/>
      </c>
      <c r="L195" s="15" t="str">
        <f t="shared" si="9"/>
        <v/>
      </c>
      <c r="M195" s="10" t="str">
        <f t="shared" si="10"/>
        <v/>
      </c>
      <c r="N195" s="10" t="str">
        <f t="shared" si="11"/>
        <v/>
      </c>
      <c r="O195" s="8"/>
    </row>
    <row r="196" spans="1:15" x14ac:dyDescent="0.2">
      <c r="A196" s="10" t="str">
        <f t="shared" si="8"/>
        <v/>
      </c>
      <c r="B196" s="8"/>
      <c r="C196" s="8"/>
      <c r="D196" s="8"/>
      <c r="E196" s="8" t="str">
        <f ca="1">IFERROR(_xludf.XLOOKUP(D196,STUDENTS!$A$5:$A$204,STUDENTS!$C$5:$C$204,""),"")</f>
        <v/>
      </c>
      <c r="F196" s="8" t="str">
        <f ca="1">IFERROR(_xludf.XLOOKUP(D196,STUDENTS!$A$5:$A$204,STUDENTS!$L$5:$L$204,""),"")</f>
        <v/>
      </c>
      <c r="G196" s="8"/>
      <c r="H196" s="14"/>
      <c r="I196" s="14"/>
      <c r="J196" s="15" t="str">
        <f>IF(H196="","",H196*SETTINGS!$B$9)</f>
        <v/>
      </c>
      <c r="K196" s="15" t="str">
        <f>IF(I196="","",I196*SETTINGS!$B$10)</f>
        <v/>
      </c>
      <c r="L196" s="15" t="str">
        <f t="shared" si="9"/>
        <v/>
      </c>
      <c r="M196" s="10" t="str">
        <f t="shared" si="10"/>
        <v/>
      </c>
      <c r="N196" s="10" t="str">
        <f t="shared" si="11"/>
        <v/>
      </c>
      <c r="O196" s="8"/>
    </row>
    <row r="197" spans="1:15" x14ac:dyDescent="0.2">
      <c r="A197" s="10" t="str">
        <f t="shared" ref="A197:A260" si="12">IF(D197="","","R-"&amp;TEXT(ROW()-4,"00000"))</f>
        <v/>
      </c>
      <c r="B197" s="8"/>
      <c r="C197" s="8"/>
      <c r="D197" s="8"/>
      <c r="E197" s="8" t="str">
        <f ca="1">IFERROR(_xludf.XLOOKUP(D197,STUDENTS!$A$5:$A$204,STUDENTS!$C$5:$C$204,""),"")</f>
        <v/>
      </c>
      <c r="F197" s="8" t="str">
        <f ca="1">IFERROR(_xludf.XLOOKUP(D197,STUDENTS!$A$5:$A$204,STUDENTS!$L$5:$L$204,""),"")</f>
        <v/>
      </c>
      <c r="G197" s="8"/>
      <c r="H197" s="14"/>
      <c r="I197" s="14"/>
      <c r="J197" s="15" t="str">
        <f>IF(H197="","",H197*SETTINGS!$B$9)</f>
        <v/>
      </c>
      <c r="K197" s="15" t="str">
        <f>IF(I197="","",I197*SETTINGS!$B$10)</f>
        <v/>
      </c>
      <c r="L197" s="15" t="str">
        <f t="shared" ref="L197:L260" si="13">IF(OR(H197="",I197=""),"",J197+K197)</f>
        <v/>
      </c>
      <c r="M197" s="10" t="str">
        <f t="shared" ref="M197:M260" si="14">IF(L197="","",IF(L197&gt;=80,"A",IF(L197&gt;=70,"B",IF(L197&gt;=60,"C",IF(L197&gt;=50,"D","F")))))</f>
        <v/>
      </c>
      <c r="N197" s="10" t="str">
        <f t="shared" ref="N197:N260" si="15">IF(L197="","",1+COUNTIFS($F$5:$F$1004,F197,$C$5:$C$1004,C197,$G$5:$G$1004,G197,$L$5:$L$1004,"&gt;"&amp;L197))</f>
        <v/>
      </c>
      <c r="O197" s="8"/>
    </row>
    <row r="198" spans="1:15" x14ac:dyDescent="0.2">
      <c r="A198" s="10" t="str">
        <f t="shared" si="12"/>
        <v/>
      </c>
      <c r="B198" s="8"/>
      <c r="C198" s="8"/>
      <c r="D198" s="8"/>
      <c r="E198" s="8" t="str">
        <f ca="1">IFERROR(_xludf.XLOOKUP(D198,STUDENTS!$A$5:$A$204,STUDENTS!$C$5:$C$204,""),"")</f>
        <v/>
      </c>
      <c r="F198" s="8" t="str">
        <f ca="1">IFERROR(_xludf.XLOOKUP(D198,STUDENTS!$A$5:$A$204,STUDENTS!$L$5:$L$204,""),"")</f>
        <v/>
      </c>
      <c r="G198" s="8"/>
      <c r="H198" s="14"/>
      <c r="I198" s="14"/>
      <c r="J198" s="15" t="str">
        <f>IF(H198="","",H198*SETTINGS!$B$9)</f>
        <v/>
      </c>
      <c r="K198" s="15" t="str">
        <f>IF(I198="","",I198*SETTINGS!$B$10)</f>
        <v/>
      </c>
      <c r="L198" s="15" t="str">
        <f t="shared" si="13"/>
        <v/>
      </c>
      <c r="M198" s="10" t="str">
        <f t="shared" si="14"/>
        <v/>
      </c>
      <c r="N198" s="10" t="str">
        <f t="shared" si="15"/>
        <v/>
      </c>
      <c r="O198" s="8"/>
    </row>
    <row r="199" spans="1:15" x14ac:dyDescent="0.2">
      <c r="A199" s="10" t="str">
        <f t="shared" si="12"/>
        <v/>
      </c>
      <c r="B199" s="8"/>
      <c r="C199" s="8"/>
      <c r="D199" s="8"/>
      <c r="E199" s="8" t="str">
        <f ca="1">IFERROR(_xludf.XLOOKUP(D199,STUDENTS!$A$5:$A$204,STUDENTS!$C$5:$C$204,""),"")</f>
        <v/>
      </c>
      <c r="F199" s="8" t="str">
        <f ca="1">IFERROR(_xludf.XLOOKUP(D199,STUDENTS!$A$5:$A$204,STUDENTS!$L$5:$L$204,""),"")</f>
        <v/>
      </c>
      <c r="G199" s="8"/>
      <c r="H199" s="14"/>
      <c r="I199" s="14"/>
      <c r="J199" s="15" t="str">
        <f>IF(H199="","",H199*SETTINGS!$B$9)</f>
        <v/>
      </c>
      <c r="K199" s="15" t="str">
        <f>IF(I199="","",I199*SETTINGS!$B$10)</f>
        <v/>
      </c>
      <c r="L199" s="15" t="str">
        <f t="shared" si="13"/>
        <v/>
      </c>
      <c r="M199" s="10" t="str">
        <f t="shared" si="14"/>
        <v/>
      </c>
      <c r="N199" s="10" t="str">
        <f t="shared" si="15"/>
        <v/>
      </c>
      <c r="O199" s="8"/>
    </row>
    <row r="200" spans="1:15" x14ac:dyDescent="0.2">
      <c r="A200" s="10" t="str">
        <f t="shared" si="12"/>
        <v/>
      </c>
      <c r="B200" s="8"/>
      <c r="C200" s="8"/>
      <c r="D200" s="8"/>
      <c r="E200" s="8" t="str">
        <f ca="1">IFERROR(_xludf.XLOOKUP(D200,STUDENTS!$A$5:$A$204,STUDENTS!$C$5:$C$204,""),"")</f>
        <v/>
      </c>
      <c r="F200" s="8" t="str">
        <f ca="1">IFERROR(_xludf.XLOOKUP(D200,STUDENTS!$A$5:$A$204,STUDENTS!$L$5:$L$204,""),"")</f>
        <v/>
      </c>
      <c r="G200" s="8"/>
      <c r="H200" s="14"/>
      <c r="I200" s="14"/>
      <c r="J200" s="15" t="str">
        <f>IF(H200="","",H200*SETTINGS!$B$9)</f>
        <v/>
      </c>
      <c r="K200" s="15" t="str">
        <f>IF(I200="","",I200*SETTINGS!$B$10)</f>
        <v/>
      </c>
      <c r="L200" s="15" t="str">
        <f t="shared" si="13"/>
        <v/>
      </c>
      <c r="M200" s="10" t="str">
        <f t="shared" si="14"/>
        <v/>
      </c>
      <c r="N200" s="10" t="str">
        <f t="shared" si="15"/>
        <v/>
      </c>
      <c r="O200" s="8"/>
    </row>
    <row r="201" spans="1:15" x14ac:dyDescent="0.2">
      <c r="A201" s="10" t="str">
        <f t="shared" si="12"/>
        <v/>
      </c>
      <c r="B201" s="8"/>
      <c r="C201" s="8"/>
      <c r="D201" s="8"/>
      <c r="E201" s="8" t="str">
        <f ca="1">IFERROR(_xludf.XLOOKUP(D201,STUDENTS!$A$5:$A$204,STUDENTS!$C$5:$C$204,""),"")</f>
        <v/>
      </c>
      <c r="F201" s="8" t="str">
        <f ca="1">IFERROR(_xludf.XLOOKUP(D201,STUDENTS!$A$5:$A$204,STUDENTS!$L$5:$L$204,""),"")</f>
        <v/>
      </c>
      <c r="G201" s="8"/>
      <c r="H201" s="14"/>
      <c r="I201" s="14"/>
      <c r="J201" s="15" t="str">
        <f>IF(H201="","",H201*SETTINGS!$B$9)</f>
        <v/>
      </c>
      <c r="K201" s="15" t="str">
        <f>IF(I201="","",I201*SETTINGS!$B$10)</f>
        <v/>
      </c>
      <c r="L201" s="15" t="str">
        <f t="shared" si="13"/>
        <v/>
      </c>
      <c r="M201" s="10" t="str">
        <f t="shared" si="14"/>
        <v/>
      </c>
      <c r="N201" s="10" t="str">
        <f t="shared" si="15"/>
        <v/>
      </c>
      <c r="O201" s="8"/>
    </row>
    <row r="202" spans="1:15" x14ac:dyDescent="0.2">
      <c r="A202" s="10" t="str">
        <f t="shared" si="12"/>
        <v/>
      </c>
      <c r="B202" s="8"/>
      <c r="C202" s="8"/>
      <c r="D202" s="8"/>
      <c r="E202" s="8" t="str">
        <f ca="1">IFERROR(_xludf.XLOOKUP(D202,STUDENTS!$A$5:$A$204,STUDENTS!$C$5:$C$204,""),"")</f>
        <v/>
      </c>
      <c r="F202" s="8" t="str">
        <f ca="1">IFERROR(_xludf.XLOOKUP(D202,STUDENTS!$A$5:$A$204,STUDENTS!$L$5:$L$204,""),"")</f>
        <v/>
      </c>
      <c r="G202" s="8"/>
      <c r="H202" s="14"/>
      <c r="I202" s="14"/>
      <c r="J202" s="15" t="str">
        <f>IF(H202="","",H202*SETTINGS!$B$9)</f>
        <v/>
      </c>
      <c r="K202" s="15" t="str">
        <f>IF(I202="","",I202*SETTINGS!$B$10)</f>
        <v/>
      </c>
      <c r="L202" s="15" t="str">
        <f t="shared" si="13"/>
        <v/>
      </c>
      <c r="M202" s="10" t="str">
        <f t="shared" si="14"/>
        <v/>
      </c>
      <c r="N202" s="10" t="str">
        <f t="shared" si="15"/>
        <v/>
      </c>
      <c r="O202" s="8"/>
    </row>
    <row r="203" spans="1:15" x14ac:dyDescent="0.2">
      <c r="A203" s="10" t="str">
        <f t="shared" si="12"/>
        <v/>
      </c>
      <c r="B203" s="8"/>
      <c r="C203" s="8"/>
      <c r="D203" s="8"/>
      <c r="E203" s="8" t="str">
        <f ca="1">IFERROR(_xludf.XLOOKUP(D203,STUDENTS!$A$5:$A$204,STUDENTS!$C$5:$C$204,""),"")</f>
        <v/>
      </c>
      <c r="F203" s="8" t="str">
        <f ca="1">IFERROR(_xludf.XLOOKUP(D203,STUDENTS!$A$5:$A$204,STUDENTS!$L$5:$L$204,""),"")</f>
        <v/>
      </c>
      <c r="G203" s="8"/>
      <c r="H203" s="14"/>
      <c r="I203" s="14"/>
      <c r="J203" s="15" t="str">
        <f>IF(H203="","",H203*SETTINGS!$B$9)</f>
        <v/>
      </c>
      <c r="K203" s="15" t="str">
        <f>IF(I203="","",I203*SETTINGS!$B$10)</f>
        <v/>
      </c>
      <c r="L203" s="15" t="str">
        <f t="shared" si="13"/>
        <v/>
      </c>
      <c r="M203" s="10" t="str">
        <f t="shared" si="14"/>
        <v/>
      </c>
      <c r="N203" s="10" t="str">
        <f t="shared" si="15"/>
        <v/>
      </c>
      <c r="O203" s="8"/>
    </row>
    <row r="204" spans="1:15" x14ac:dyDescent="0.2">
      <c r="A204" s="10" t="str">
        <f t="shared" si="12"/>
        <v/>
      </c>
      <c r="B204" s="8"/>
      <c r="C204" s="8"/>
      <c r="D204" s="8"/>
      <c r="E204" s="8" t="str">
        <f ca="1">IFERROR(_xludf.XLOOKUP(D204,STUDENTS!$A$5:$A$204,STUDENTS!$C$5:$C$204,""),"")</f>
        <v/>
      </c>
      <c r="F204" s="8" t="str">
        <f ca="1">IFERROR(_xludf.XLOOKUP(D204,STUDENTS!$A$5:$A$204,STUDENTS!$L$5:$L$204,""),"")</f>
        <v/>
      </c>
      <c r="G204" s="8"/>
      <c r="H204" s="14"/>
      <c r="I204" s="14"/>
      <c r="J204" s="15" t="str">
        <f>IF(H204="","",H204*SETTINGS!$B$9)</f>
        <v/>
      </c>
      <c r="K204" s="15" t="str">
        <f>IF(I204="","",I204*SETTINGS!$B$10)</f>
        <v/>
      </c>
      <c r="L204" s="15" t="str">
        <f t="shared" si="13"/>
        <v/>
      </c>
      <c r="M204" s="10" t="str">
        <f t="shared" si="14"/>
        <v/>
      </c>
      <c r="N204" s="10" t="str">
        <f t="shared" si="15"/>
        <v/>
      </c>
      <c r="O204" s="8"/>
    </row>
    <row r="205" spans="1:15" x14ac:dyDescent="0.2">
      <c r="A205" s="10" t="str">
        <f t="shared" si="12"/>
        <v/>
      </c>
      <c r="B205" s="8"/>
      <c r="C205" s="8"/>
      <c r="D205" s="8"/>
      <c r="E205" s="8" t="str">
        <f ca="1">IFERROR(_xludf.XLOOKUP(D205,STUDENTS!$A$5:$A$204,STUDENTS!$C$5:$C$204,""),"")</f>
        <v/>
      </c>
      <c r="F205" s="8" t="str">
        <f ca="1">IFERROR(_xludf.XLOOKUP(D205,STUDENTS!$A$5:$A$204,STUDENTS!$L$5:$L$204,""),"")</f>
        <v/>
      </c>
      <c r="G205" s="8"/>
      <c r="H205" s="14"/>
      <c r="I205" s="14"/>
      <c r="J205" s="15" t="str">
        <f>IF(H205="","",H205*SETTINGS!$B$9)</f>
        <v/>
      </c>
      <c r="K205" s="15" t="str">
        <f>IF(I205="","",I205*SETTINGS!$B$10)</f>
        <v/>
      </c>
      <c r="L205" s="15" t="str">
        <f t="shared" si="13"/>
        <v/>
      </c>
      <c r="M205" s="10" t="str">
        <f t="shared" si="14"/>
        <v/>
      </c>
      <c r="N205" s="10" t="str">
        <f t="shared" si="15"/>
        <v/>
      </c>
      <c r="O205" s="8"/>
    </row>
    <row r="206" spans="1:15" x14ac:dyDescent="0.2">
      <c r="A206" s="10" t="str">
        <f t="shared" si="12"/>
        <v/>
      </c>
      <c r="B206" s="8"/>
      <c r="C206" s="8"/>
      <c r="D206" s="8"/>
      <c r="E206" s="8" t="str">
        <f ca="1">IFERROR(_xludf.XLOOKUP(D206,STUDENTS!$A$5:$A$204,STUDENTS!$C$5:$C$204,""),"")</f>
        <v/>
      </c>
      <c r="F206" s="8" t="str">
        <f ca="1">IFERROR(_xludf.XLOOKUP(D206,STUDENTS!$A$5:$A$204,STUDENTS!$L$5:$L$204,""),"")</f>
        <v/>
      </c>
      <c r="G206" s="8"/>
      <c r="H206" s="14"/>
      <c r="I206" s="14"/>
      <c r="J206" s="15" t="str">
        <f>IF(H206="","",H206*SETTINGS!$B$9)</f>
        <v/>
      </c>
      <c r="K206" s="15" t="str">
        <f>IF(I206="","",I206*SETTINGS!$B$10)</f>
        <v/>
      </c>
      <c r="L206" s="15" t="str">
        <f t="shared" si="13"/>
        <v/>
      </c>
      <c r="M206" s="10" t="str">
        <f t="shared" si="14"/>
        <v/>
      </c>
      <c r="N206" s="10" t="str">
        <f t="shared" si="15"/>
        <v/>
      </c>
      <c r="O206" s="8"/>
    </row>
    <row r="207" spans="1:15" x14ac:dyDescent="0.2">
      <c r="A207" s="10" t="str">
        <f t="shared" si="12"/>
        <v/>
      </c>
      <c r="B207" s="8"/>
      <c r="C207" s="8"/>
      <c r="D207" s="8"/>
      <c r="E207" s="8" t="str">
        <f ca="1">IFERROR(_xludf.XLOOKUP(D207,STUDENTS!$A$5:$A$204,STUDENTS!$C$5:$C$204,""),"")</f>
        <v/>
      </c>
      <c r="F207" s="8" t="str">
        <f ca="1">IFERROR(_xludf.XLOOKUP(D207,STUDENTS!$A$5:$A$204,STUDENTS!$L$5:$L$204,""),"")</f>
        <v/>
      </c>
      <c r="G207" s="8"/>
      <c r="H207" s="14"/>
      <c r="I207" s="14"/>
      <c r="J207" s="15" t="str">
        <f>IF(H207="","",H207*SETTINGS!$B$9)</f>
        <v/>
      </c>
      <c r="K207" s="15" t="str">
        <f>IF(I207="","",I207*SETTINGS!$B$10)</f>
        <v/>
      </c>
      <c r="L207" s="15" t="str">
        <f t="shared" si="13"/>
        <v/>
      </c>
      <c r="M207" s="10" t="str">
        <f t="shared" si="14"/>
        <v/>
      </c>
      <c r="N207" s="10" t="str">
        <f t="shared" si="15"/>
        <v/>
      </c>
      <c r="O207" s="8"/>
    </row>
    <row r="208" spans="1:15" x14ac:dyDescent="0.2">
      <c r="A208" s="10" t="str">
        <f t="shared" si="12"/>
        <v/>
      </c>
      <c r="B208" s="8"/>
      <c r="C208" s="8"/>
      <c r="D208" s="8"/>
      <c r="E208" s="8" t="str">
        <f ca="1">IFERROR(_xludf.XLOOKUP(D208,STUDENTS!$A$5:$A$204,STUDENTS!$C$5:$C$204,""),"")</f>
        <v/>
      </c>
      <c r="F208" s="8" t="str">
        <f ca="1">IFERROR(_xludf.XLOOKUP(D208,STUDENTS!$A$5:$A$204,STUDENTS!$L$5:$L$204,""),"")</f>
        <v/>
      </c>
      <c r="G208" s="8"/>
      <c r="H208" s="14"/>
      <c r="I208" s="14"/>
      <c r="J208" s="15" t="str">
        <f>IF(H208="","",H208*SETTINGS!$B$9)</f>
        <v/>
      </c>
      <c r="K208" s="15" t="str">
        <f>IF(I208="","",I208*SETTINGS!$B$10)</f>
        <v/>
      </c>
      <c r="L208" s="15" t="str">
        <f t="shared" si="13"/>
        <v/>
      </c>
      <c r="M208" s="10" t="str">
        <f t="shared" si="14"/>
        <v/>
      </c>
      <c r="N208" s="10" t="str">
        <f t="shared" si="15"/>
        <v/>
      </c>
      <c r="O208" s="8"/>
    </row>
    <row r="209" spans="1:15" x14ac:dyDescent="0.2">
      <c r="A209" s="10" t="str">
        <f t="shared" si="12"/>
        <v/>
      </c>
      <c r="B209" s="8"/>
      <c r="C209" s="8"/>
      <c r="D209" s="8"/>
      <c r="E209" s="8" t="str">
        <f ca="1">IFERROR(_xludf.XLOOKUP(D209,STUDENTS!$A$5:$A$204,STUDENTS!$C$5:$C$204,""),"")</f>
        <v/>
      </c>
      <c r="F209" s="8" t="str">
        <f ca="1">IFERROR(_xludf.XLOOKUP(D209,STUDENTS!$A$5:$A$204,STUDENTS!$L$5:$L$204,""),"")</f>
        <v/>
      </c>
      <c r="G209" s="8"/>
      <c r="H209" s="14"/>
      <c r="I209" s="14"/>
      <c r="J209" s="15" t="str">
        <f>IF(H209="","",H209*SETTINGS!$B$9)</f>
        <v/>
      </c>
      <c r="K209" s="15" t="str">
        <f>IF(I209="","",I209*SETTINGS!$B$10)</f>
        <v/>
      </c>
      <c r="L209" s="15" t="str">
        <f t="shared" si="13"/>
        <v/>
      </c>
      <c r="M209" s="10" t="str">
        <f t="shared" si="14"/>
        <v/>
      </c>
      <c r="N209" s="10" t="str">
        <f t="shared" si="15"/>
        <v/>
      </c>
      <c r="O209" s="8"/>
    </row>
    <row r="210" spans="1:15" x14ac:dyDescent="0.2">
      <c r="A210" s="10" t="str">
        <f t="shared" si="12"/>
        <v/>
      </c>
      <c r="B210" s="8"/>
      <c r="C210" s="8"/>
      <c r="D210" s="8"/>
      <c r="E210" s="8" t="str">
        <f ca="1">IFERROR(_xludf.XLOOKUP(D210,STUDENTS!$A$5:$A$204,STUDENTS!$C$5:$C$204,""),"")</f>
        <v/>
      </c>
      <c r="F210" s="8" t="str">
        <f ca="1">IFERROR(_xludf.XLOOKUP(D210,STUDENTS!$A$5:$A$204,STUDENTS!$L$5:$L$204,""),"")</f>
        <v/>
      </c>
      <c r="G210" s="8"/>
      <c r="H210" s="14"/>
      <c r="I210" s="14"/>
      <c r="J210" s="15" t="str">
        <f>IF(H210="","",H210*SETTINGS!$B$9)</f>
        <v/>
      </c>
      <c r="K210" s="15" t="str">
        <f>IF(I210="","",I210*SETTINGS!$B$10)</f>
        <v/>
      </c>
      <c r="L210" s="15" t="str">
        <f t="shared" si="13"/>
        <v/>
      </c>
      <c r="M210" s="10" t="str">
        <f t="shared" si="14"/>
        <v/>
      </c>
      <c r="N210" s="10" t="str">
        <f t="shared" si="15"/>
        <v/>
      </c>
      <c r="O210" s="8"/>
    </row>
    <row r="211" spans="1:15" x14ac:dyDescent="0.2">
      <c r="A211" s="10" t="str">
        <f t="shared" si="12"/>
        <v/>
      </c>
      <c r="B211" s="8"/>
      <c r="C211" s="8"/>
      <c r="D211" s="8"/>
      <c r="E211" s="8" t="str">
        <f ca="1">IFERROR(_xludf.XLOOKUP(D211,STUDENTS!$A$5:$A$204,STUDENTS!$C$5:$C$204,""),"")</f>
        <v/>
      </c>
      <c r="F211" s="8" t="str">
        <f ca="1">IFERROR(_xludf.XLOOKUP(D211,STUDENTS!$A$5:$A$204,STUDENTS!$L$5:$L$204,""),"")</f>
        <v/>
      </c>
      <c r="G211" s="8"/>
      <c r="H211" s="14"/>
      <c r="I211" s="14"/>
      <c r="J211" s="15" t="str">
        <f>IF(H211="","",H211*SETTINGS!$B$9)</f>
        <v/>
      </c>
      <c r="K211" s="15" t="str">
        <f>IF(I211="","",I211*SETTINGS!$B$10)</f>
        <v/>
      </c>
      <c r="L211" s="15" t="str">
        <f t="shared" si="13"/>
        <v/>
      </c>
      <c r="M211" s="10" t="str">
        <f t="shared" si="14"/>
        <v/>
      </c>
      <c r="N211" s="10" t="str">
        <f t="shared" si="15"/>
        <v/>
      </c>
      <c r="O211" s="8"/>
    </row>
    <row r="212" spans="1:15" x14ac:dyDescent="0.2">
      <c r="A212" s="10" t="str">
        <f t="shared" si="12"/>
        <v/>
      </c>
      <c r="B212" s="8"/>
      <c r="C212" s="8"/>
      <c r="D212" s="8"/>
      <c r="E212" s="8" t="str">
        <f ca="1">IFERROR(_xludf.XLOOKUP(D212,STUDENTS!$A$5:$A$204,STUDENTS!$C$5:$C$204,""),"")</f>
        <v/>
      </c>
      <c r="F212" s="8" t="str">
        <f ca="1">IFERROR(_xludf.XLOOKUP(D212,STUDENTS!$A$5:$A$204,STUDENTS!$L$5:$L$204,""),"")</f>
        <v/>
      </c>
      <c r="G212" s="8"/>
      <c r="H212" s="14"/>
      <c r="I212" s="14"/>
      <c r="J212" s="15" t="str">
        <f>IF(H212="","",H212*SETTINGS!$B$9)</f>
        <v/>
      </c>
      <c r="K212" s="15" t="str">
        <f>IF(I212="","",I212*SETTINGS!$B$10)</f>
        <v/>
      </c>
      <c r="L212" s="15" t="str">
        <f t="shared" si="13"/>
        <v/>
      </c>
      <c r="M212" s="10" t="str">
        <f t="shared" si="14"/>
        <v/>
      </c>
      <c r="N212" s="10" t="str">
        <f t="shared" si="15"/>
        <v/>
      </c>
      <c r="O212" s="8"/>
    </row>
    <row r="213" spans="1:15" x14ac:dyDescent="0.2">
      <c r="A213" s="10" t="str">
        <f t="shared" si="12"/>
        <v/>
      </c>
      <c r="B213" s="8"/>
      <c r="C213" s="8"/>
      <c r="D213" s="8"/>
      <c r="E213" s="8" t="str">
        <f ca="1">IFERROR(_xludf.XLOOKUP(D213,STUDENTS!$A$5:$A$204,STUDENTS!$C$5:$C$204,""),"")</f>
        <v/>
      </c>
      <c r="F213" s="8" t="str">
        <f ca="1">IFERROR(_xludf.XLOOKUP(D213,STUDENTS!$A$5:$A$204,STUDENTS!$L$5:$L$204,""),"")</f>
        <v/>
      </c>
      <c r="G213" s="8"/>
      <c r="H213" s="14"/>
      <c r="I213" s="14"/>
      <c r="J213" s="15" t="str">
        <f>IF(H213="","",H213*SETTINGS!$B$9)</f>
        <v/>
      </c>
      <c r="K213" s="15" t="str">
        <f>IF(I213="","",I213*SETTINGS!$B$10)</f>
        <v/>
      </c>
      <c r="L213" s="15" t="str">
        <f t="shared" si="13"/>
        <v/>
      </c>
      <c r="M213" s="10" t="str">
        <f t="shared" si="14"/>
        <v/>
      </c>
      <c r="N213" s="10" t="str">
        <f t="shared" si="15"/>
        <v/>
      </c>
      <c r="O213" s="8"/>
    </row>
    <row r="214" spans="1:15" x14ac:dyDescent="0.2">
      <c r="A214" s="10" t="str">
        <f t="shared" si="12"/>
        <v/>
      </c>
      <c r="B214" s="8"/>
      <c r="C214" s="8"/>
      <c r="D214" s="8"/>
      <c r="E214" s="8" t="str">
        <f ca="1">IFERROR(_xludf.XLOOKUP(D214,STUDENTS!$A$5:$A$204,STUDENTS!$C$5:$C$204,""),"")</f>
        <v/>
      </c>
      <c r="F214" s="8" t="str">
        <f ca="1">IFERROR(_xludf.XLOOKUP(D214,STUDENTS!$A$5:$A$204,STUDENTS!$L$5:$L$204,""),"")</f>
        <v/>
      </c>
      <c r="G214" s="8"/>
      <c r="H214" s="14"/>
      <c r="I214" s="14"/>
      <c r="J214" s="15" t="str">
        <f>IF(H214="","",H214*SETTINGS!$B$9)</f>
        <v/>
      </c>
      <c r="K214" s="15" t="str">
        <f>IF(I214="","",I214*SETTINGS!$B$10)</f>
        <v/>
      </c>
      <c r="L214" s="15" t="str">
        <f t="shared" si="13"/>
        <v/>
      </c>
      <c r="M214" s="10" t="str">
        <f t="shared" si="14"/>
        <v/>
      </c>
      <c r="N214" s="10" t="str">
        <f t="shared" si="15"/>
        <v/>
      </c>
      <c r="O214" s="8"/>
    </row>
    <row r="215" spans="1:15" x14ac:dyDescent="0.2">
      <c r="A215" s="10" t="str">
        <f t="shared" si="12"/>
        <v/>
      </c>
      <c r="B215" s="8"/>
      <c r="C215" s="8"/>
      <c r="D215" s="8"/>
      <c r="E215" s="8" t="str">
        <f ca="1">IFERROR(_xludf.XLOOKUP(D215,STUDENTS!$A$5:$A$204,STUDENTS!$C$5:$C$204,""),"")</f>
        <v/>
      </c>
      <c r="F215" s="8" t="str">
        <f ca="1">IFERROR(_xludf.XLOOKUP(D215,STUDENTS!$A$5:$A$204,STUDENTS!$L$5:$L$204,""),"")</f>
        <v/>
      </c>
      <c r="G215" s="8"/>
      <c r="H215" s="14"/>
      <c r="I215" s="14"/>
      <c r="J215" s="15" t="str">
        <f>IF(H215="","",H215*SETTINGS!$B$9)</f>
        <v/>
      </c>
      <c r="K215" s="15" t="str">
        <f>IF(I215="","",I215*SETTINGS!$B$10)</f>
        <v/>
      </c>
      <c r="L215" s="15" t="str">
        <f t="shared" si="13"/>
        <v/>
      </c>
      <c r="M215" s="10" t="str">
        <f t="shared" si="14"/>
        <v/>
      </c>
      <c r="N215" s="10" t="str">
        <f t="shared" si="15"/>
        <v/>
      </c>
      <c r="O215" s="8"/>
    </row>
    <row r="216" spans="1:15" x14ac:dyDescent="0.2">
      <c r="A216" s="10" t="str">
        <f t="shared" si="12"/>
        <v/>
      </c>
      <c r="B216" s="8"/>
      <c r="C216" s="8"/>
      <c r="D216" s="8"/>
      <c r="E216" s="8" t="str">
        <f ca="1">IFERROR(_xludf.XLOOKUP(D216,STUDENTS!$A$5:$A$204,STUDENTS!$C$5:$C$204,""),"")</f>
        <v/>
      </c>
      <c r="F216" s="8" t="str">
        <f ca="1">IFERROR(_xludf.XLOOKUP(D216,STUDENTS!$A$5:$A$204,STUDENTS!$L$5:$L$204,""),"")</f>
        <v/>
      </c>
      <c r="G216" s="8"/>
      <c r="H216" s="14"/>
      <c r="I216" s="14"/>
      <c r="J216" s="15" t="str">
        <f>IF(H216="","",H216*SETTINGS!$B$9)</f>
        <v/>
      </c>
      <c r="K216" s="15" t="str">
        <f>IF(I216="","",I216*SETTINGS!$B$10)</f>
        <v/>
      </c>
      <c r="L216" s="15" t="str">
        <f t="shared" si="13"/>
        <v/>
      </c>
      <c r="M216" s="10" t="str">
        <f t="shared" si="14"/>
        <v/>
      </c>
      <c r="N216" s="10" t="str">
        <f t="shared" si="15"/>
        <v/>
      </c>
      <c r="O216" s="8"/>
    </row>
    <row r="217" spans="1:15" x14ac:dyDescent="0.2">
      <c r="A217" s="10" t="str">
        <f t="shared" si="12"/>
        <v/>
      </c>
      <c r="B217" s="8"/>
      <c r="C217" s="8"/>
      <c r="D217" s="8"/>
      <c r="E217" s="8" t="str">
        <f ca="1">IFERROR(_xludf.XLOOKUP(D217,STUDENTS!$A$5:$A$204,STUDENTS!$C$5:$C$204,""),"")</f>
        <v/>
      </c>
      <c r="F217" s="8" t="str">
        <f ca="1">IFERROR(_xludf.XLOOKUP(D217,STUDENTS!$A$5:$A$204,STUDENTS!$L$5:$L$204,""),"")</f>
        <v/>
      </c>
      <c r="G217" s="8"/>
      <c r="H217" s="14"/>
      <c r="I217" s="14"/>
      <c r="J217" s="15" t="str">
        <f>IF(H217="","",H217*SETTINGS!$B$9)</f>
        <v/>
      </c>
      <c r="K217" s="15" t="str">
        <f>IF(I217="","",I217*SETTINGS!$B$10)</f>
        <v/>
      </c>
      <c r="L217" s="15" t="str">
        <f t="shared" si="13"/>
        <v/>
      </c>
      <c r="M217" s="10" t="str">
        <f t="shared" si="14"/>
        <v/>
      </c>
      <c r="N217" s="10" t="str">
        <f t="shared" si="15"/>
        <v/>
      </c>
      <c r="O217" s="8"/>
    </row>
    <row r="218" spans="1:15" x14ac:dyDescent="0.2">
      <c r="A218" s="10" t="str">
        <f t="shared" si="12"/>
        <v/>
      </c>
      <c r="B218" s="8"/>
      <c r="C218" s="8"/>
      <c r="D218" s="8"/>
      <c r="E218" s="8" t="str">
        <f ca="1">IFERROR(_xludf.XLOOKUP(D218,STUDENTS!$A$5:$A$204,STUDENTS!$C$5:$C$204,""),"")</f>
        <v/>
      </c>
      <c r="F218" s="8" t="str">
        <f ca="1">IFERROR(_xludf.XLOOKUP(D218,STUDENTS!$A$5:$A$204,STUDENTS!$L$5:$L$204,""),"")</f>
        <v/>
      </c>
      <c r="G218" s="8"/>
      <c r="H218" s="14"/>
      <c r="I218" s="14"/>
      <c r="J218" s="15" t="str">
        <f>IF(H218="","",H218*SETTINGS!$B$9)</f>
        <v/>
      </c>
      <c r="K218" s="15" t="str">
        <f>IF(I218="","",I218*SETTINGS!$B$10)</f>
        <v/>
      </c>
      <c r="L218" s="15" t="str">
        <f t="shared" si="13"/>
        <v/>
      </c>
      <c r="M218" s="10" t="str">
        <f t="shared" si="14"/>
        <v/>
      </c>
      <c r="N218" s="10" t="str">
        <f t="shared" si="15"/>
        <v/>
      </c>
      <c r="O218" s="8"/>
    </row>
    <row r="219" spans="1:15" x14ac:dyDescent="0.2">
      <c r="A219" s="10" t="str">
        <f t="shared" si="12"/>
        <v/>
      </c>
      <c r="B219" s="8"/>
      <c r="C219" s="8"/>
      <c r="D219" s="8"/>
      <c r="E219" s="8" t="str">
        <f ca="1">IFERROR(_xludf.XLOOKUP(D219,STUDENTS!$A$5:$A$204,STUDENTS!$C$5:$C$204,""),"")</f>
        <v/>
      </c>
      <c r="F219" s="8" t="str">
        <f ca="1">IFERROR(_xludf.XLOOKUP(D219,STUDENTS!$A$5:$A$204,STUDENTS!$L$5:$L$204,""),"")</f>
        <v/>
      </c>
      <c r="G219" s="8"/>
      <c r="H219" s="14"/>
      <c r="I219" s="14"/>
      <c r="J219" s="15" t="str">
        <f>IF(H219="","",H219*SETTINGS!$B$9)</f>
        <v/>
      </c>
      <c r="K219" s="15" t="str">
        <f>IF(I219="","",I219*SETTINGS!$B$10)</f>
        <v/>
      </c>
      <c r="L219" s="15" t="str">
        <f t="shared" si="13"/>
        <v/>
      </c>
      <c r="M219" s="10" t="str">
        <f t="shared" si="14"/>
        <v/>
      </c>
      <c r="N219" s="10" t="str">
        <f t="shared" si="15"/>
        <v/>
      </c>
      <c r="O219" s="8"/>
    </row>
    <row r="220" spans="1:15" x14ac:dyDescent="0.2">
      <c r="A220" s="10" t="str">
        <f t="shared" si="12"/>
        <v/>
      </c>
      <c r="B220" s="8"/>
      <c r="C220" s="8"/>
      <c r="D220" s="8"/>
      <c r="E220" s="8" t="str">
        <f ca="1">IFERROR(_xludf.XLOOKUP(D220,STUDENTS!$A$5:$A$204,STUDENTS!$C$5:$C$204,""),"")</f>
        <v/>
      </c>
      <c r="F220" s="8" t="str">
        <f ca="1">IFERROR(_xludf.XLOOKUP(D220,STUDENTS!$A$5:$A$204,STUDENTS!$L$5:$L$204,""),"")</f>
        <v/>
      </c>
      <c r="G220" s="8"/>
      <c r="H220" s="14"/>
      <c r="I220" s="14"/>
      <c r="J220" s="15" t="str">
        <f>IF(H220="","",H220*SETTINGS!$B$9)</f>
        <v/>
      </c>
      <c r="K220" s="15" t="str">
        <f>IF(I220="","",I220*SETTINGS!$B$10)</f>
        <v/>
      </c>
      <c r="L220" s="15" t="str">
        <f t="shared" si="13"/>
        <v/>
      </c>
      <c r="M220" s="10" t="str">
        <f t="shared" si="14"/>
        <v/>
      </c>
      <c r="N220" s="10" t="str">
        <f t="shared" si="15"/>
        <v/>
      </c>
      <c r="O220" s="8"/>
    </row>
    <row r="221" spans="1:15" x14ac:dyDescent="0.2">
      <c r="A221" s="10" t="str">
        <f t="shared" si="12"/>
        <v/>
      </c>
      <c r="B221" s="8"/>
      <c r="C221" s="8"/>
      <c r="D221" s="8"/>
      <c r="E221" s="8" t="str">
        <f ca="1">IFERROR(_xludf.XLOOKUP(D221,STUDENTS!$A$5:$A$204,STUDENTS!$C$5:$C$204,""),"")</f>
        <v/>
      </c>
      <c r="F221" s="8" t="str">
        <f ca="1">IFERROR(_xludf.XLOOKUP(D221,STUDENTS!$A$5:$A$204,STUDENTS!$L$5:$L$204,""),"")</f>
        <v/>
      </c>
      <c r="G221" s="8"/>
      <c r="H221" s="14"/>
      <c r="I221" s="14"/>
      <c r="J221" s="15" t="str">
        <f>IF(H221="","",H221*SETTINGS!$B$9)</f>
        <v/>
      </c>
      <c r="K221" s="15" t="str">
        <f>IF(I221="","",I221*SETTINGS!$B$10)</f>
        <v/>
      </c>
      <c r="L221" s="15" t="str">
        <f t="shared" si="13"/>
        <v/>
      </c>
      <c r="M221" s="10" t="str">
        <f t="shared" si="14"/>
        <v/>
      </c>
      <c r="N221" s="10" t="str">
        <f t="shared" si="15"/>
        <v/>
      </c>
      <c r="O221" s="8"/>
    </row>
    <row r="222" spans="1:15" x14ac:dyDescent="0.2">
      <c r="A222" s="10" t="str">
        <f t="shared" si="12"/>
        <v/>
      </c>
      <c r="B222" s="8"/>
      <c r="C222" s="8"/>
      <c r="D222" s="8"/>
      <c r="E222" s="8" t="str">
        <f ca="1">IFERROR(_xludf.XLOOKUP(D222,STUDENTS!$A$5:$A$204,STUDENTS!$C$5:$C$204,""),"")</f>
        <v/>
      </c>
      <c r="F222" s="8" t="str">
        <f ca="1">IFERROR(_xludf.XLOOKUP(D222,STUDENTS!$A$5:$A$204,STUDENTS!$L$5:$L$204,""),"")</f>
        <v/>
      </c>
      <c r="G222" s="8"/>
      <c r="H222" s="14"/>
      <c r="I222" s="14"/>
      <c r="J222" s="15" t="str">
        <f>IF(H222="","",H222*SETTINGS!$B$9)</f>
        <v/>
      </c>
      <c r="K222" s="15" t="str">
        <f>IF(I222="","",I222*SETTINGS!$B$10)</f>
        <v/>
      </c>
      <c r="L222" s="15" t="str">
        <f t="shared" si="13"/>
        <v/>
      </c>
      <c r="M222" s="10" t="str">
        <f t="shared" si="14"/>
        <v/>
      </c>
      <c r="N222" s="10" t="str">
        <f t="shared" si="15"/>
        <v/>
      </c>
      <c r="O222" s="8"/>
    </row>
    <row r="223" spans="1:15" x14ac:dyDescent="0.2">
      <c r="A223" s="10" t="str">
        <f t="shared" si="12"/>
        <v/>
      </c>
      <c r="B223" s="8"/>
      <c r="C223" s="8"/>
      <c r="D223" s="8"/>
      <c r="E223" s="8" t="str">
        <f ca="1">IFERROR(_xludf.XLOOKUP(D223,STUDENTS!$A$5:$A$204,STUDENTS!$C$5:$C$204,""),"")</f>
        <v/>
      </c>
      <c r="F223" s="8" t="str">
        <f ca="1">IFERROR(_xludf.XLOOKUP(D223,STUDENTS!$A$5:$A$204,STUDENTS!$L$5:$L$204,""),"")</f>
        <v/>
      </c>
      <c r="G223" s="8"/>
      <c r="H223" s="14"/>
      <c r="I223" s="14"/>
      <c r="J223" s="15" t="str">
        <f>IF(H223="","",H223*SETTINGS!$B$9)</f>
        <v/>
      </c>
      <c r="K223" s="15" t="str">
        <f>IF(I223="","",I223*SETTINGS!$B$10)</f>
        <v/>
      </c>
      <c r="L223" s="15" t="str">
        <f t="shared" si="13"/>
        <v/>
      </c>
      <c r="M223" s="10" t="str">
        <f t="shared" si="14"/>
        <v/>
      </c>
      <c r="N223" s="10" t="str">
        <f t="shared" si="15"/>
        <v/>
      </c>
      <c r="O223" s="8"/>
    </row>
    <row r="224" spans="1:15" x14ac:dyDescent="0.2">
      <c r="A224" s="10" t="str">
        <f t="shared" si="12"/>
        <v/>
      </c>
      <c r="B224" s="8"/>
      <c r="C224" s="8"/>
      <c r="D224" s="8"/>
      <c r="E224" s="8" t="str">
        <f ca="1">IFERROR(_xludf.XLOOKUP(D224,STUDENTS!$A$5:$A$204,STUDENTS!$C$5:$C$204,""),"")</f>
        <v/>
      </c>
      <c r="F224" s="8" t="str">
        <f ca="1">IFERROR(_xludf.XLOOKUP(D224,STUDENTS!$A$5:$A$204,STUDENTS!$L$5:$L$204,""),"")</f>
        <v/>
      </c>
      <c r="G224" s="8"/>
      <c r="H224" s="14"/>
      <c r="I224" s="14"/>
      <c r="J224" s="15" t="str">
        <f>IF(H224="","",H224*SETTINGS!$B$9)</f>
        <v/>
      </c>
      <c r="K224" s="15" t="str">
        <f>IF(I224="","",I224*SETTINGS!$B$10)</f>
        <v/>
      </c>
      <c r="L224" s="15" t="str">
        <f t="shared" si="13"/>
        <v/>
      </c>
      <c r="M224" s="10" t="str">
        <f t="shared" si="14"/>
        <v/>
      </c>
      <c r="N224" s="10" t="str">
        <f t="shared" si="15"/>
        <v/>
      </c>
      <c r="O224" s="8"/>
    </row>
    <row r="225" spans="1:15" x14ac:dyDescent="0.2">
      <c r="A225" s="10" t="str">
        <f t="shared" si="12"/>
        <v/>
      </c>
      <c r="B225" s="8"/>
      <c r="C225" s="8"/>
      <c r="D225" s="8"/>
      <c r="E225" s="8" t="str">
        <f ca="1">IFERROR(_xludf.XLOOKUP(D225,STUDENTS!$A$5:$A$204,STUDENTS!$C$5:$C$204,""),"")</f>
        <v/>
      </c>
      <c r="F225" s="8" t="str">
        <f ca="1">IFERROR(_xludf.XLOOKUP(D225,STUDENTS!$A$5:$A$204,STUDENTS!$L$5:$L$204,""),"")</f>
        <v/>
      </c>
      <c r="G225" s="8"/>
      <c r="H225" s="14"/>
      <c r="I225" s="14"/>
      <c r="J225" s="15" t="str">
        <f>IF(H225="","",H225*SETTINGS!$B$9)</f>
        <v/>
      </c>
      <c r="K225" s="15" t="str">
        <f>IF(I225="","",I225*SETTINGS!$B$10)</f>
        <v/>
      </c>
      <c r="L225" s="15" t="str">
        <f t="shared" si="13"/>
        <v/>
      </c>
      <c r="M225" s="10" t="str">
        <f t="shared" si="14"/>
        <v/>
      </c>
      <c r="N225" s="10" t="str">
        <f t="shared" si="15"/>
        <v/>
      </c>
      <c r="O225" s="8"/>
    </row>
    <row r="226" spans="1:15" x14ac:dyDescent="0.2">
      <c r="A226" s="10" t="str">
        <f t="shared" si="12"/>
        <v/>
      </c>
      <c r="B226" s="8"/>
      <c r="C226" s="8"/>
      <c r="D226" s="8"/>
      <c r="E226" s="8" t="str">
        <f ca="1">IFERROR(_xludf.XLOOKUP(D226,STUDENTS!$A$5:$A$204,STUDENTS!$C$5:$C$204,""),"")</f>
        <v/>
      </c>
      <c r="F226" s="8" t="str">
        <f ca="1">IFERROR(_xludf.XLOOKUP(D226,STUDENTS!$A$5:$A$204,STUDENTS!$L$5:$L$204,""),"")</f>
        <v/>
      </c>
      <c r="G226" s="8"/>
      <c r="H226" s="14"/>
      <c r="I226" s="14"/>
      <c r="J226" s="15" t="str">
        <f>IF(H226="","",H226*SETTINGS!$B$9)</f>
        <v/>
      </c>
      <c r="K226" s="15" t="str">
        <f>IF(I226="","",I226*SETTINGS!$B$10)</f>
        <v/>
      </c>
      <c r="L226" s="15" t="str">
        <f t="shared" si="13"/>
        <v/>
      </c>
      <c r="M226" s="10" t="str">
        <f t="shared" si="14"/>
        <v/>
      </c>
      <c r="N226" s="10" t="str">
        <f t="shared" si="15"/>
        <v/>
      </c>
      <c r="O226" s="8"/>
    </row>
    <row r="227" spans="1:15" x14ac:dyDescent="0.2">
      <c r="A227" s="10" t="str">
        <f t="shared" si="12"/>
        <v/>
      </c>
      <c r="B227" s="8"/>
      <c r="C227" s="8"/>
      <c r="D227" s="8"/>
      <c r="E227" s="8" t="str">
        <f ca="1">IFERROR(_xludf.XLOOKUP(D227,STUDENTS!$A$5:$A$204,STUDENTS!$C$5:$C$204,""),"")</f>
        <v/>
      </c>
      <c r="F227" s="8" t="str">
        <f ca="1">IFERROR(_xludf.XLOOKUP(D227,STUDENTS!$A$5:$A$204,STUDENTS!$L$5:$L$204,""),"")</f>
        <v/>
      </c>
      <c r="G227" s="8"/>
      <c r="H227" s="14"/>
      <c r="I227" s="14"/>
      <c r="J227" s="15" t="str">
        <f>IF(H227="","",H227*SETTINGS!$B$9)</f>
        <v/>
      </c>
      <c r="K227" s="15" t="str">
        <f>IF(I227="","",I227*SETTINGS!$B$10)</f>
        <v/>
      </c>
      <c r="L227" s="15" t="str">
        <f t="shared" si="13"/>
        <v/>
      </c>
      <c r="M227" s="10" t="str">
        <f t="shared" si="14"/>
        <v/>
      </c>
      <c r="N227" s="10" t="str">
        <f t="shared" si="15"/>
        <v/>
      </c>
      <c r="O227" s="8"/>
    </row>
    <row r="228" spans="1:15" x14ac:dyDescent="0.2">
      <c r="A228" s="10" t="str">
        <f t="shared" si="12"/>
        <v/>
      </c>
      <c r="B228" s="8"/>
      <c r="C228" s="8"/>
      <c r="D228" s="8"/>
      <c r="E228" s="8" t="str">
        <f ca="1">IFERROR(_xludf.XLOOKUP(D228,STUDENTS!$A$5:$A$204,STUDENTS!$C$5:$C$204,""),"")</f>
        <v/>
      </c>
      <c r="F228" s="8" t="str">
        <f ca="1">IFERROR(_xludf.XLOOKUP(D228,STUDENTS!$A$5:$A$204,STUDENTS!$L$5:$L$204,""),"")</f>
        <v/>
      </c>
      <c r="G228" s="8"/>
      <c r="H228" s="14"/>
      <c r="I228" s="14"/>
      <c r="J228" s="15" t="str">
        <f>IF(H228="","",H228*SETTINGS!$B$9)</f>
        <v/>
      </c>
      <c r="K228" s="15" t="str">
        <f>IF(I228="","",I228*SETTINGS!$B$10)</f>
        <v/>
      </c>
      <c r="L228" s="15" t="str">
        <f t="shared" si="13"/>
        <v/>
      </c>
      <c r="M228" s="10" t="str">
        <f t="shared" si="14"/>
        <v/>
      </c>
      <c r="N228" s="10" t="str">
        <f t="shared" si="15"/>
        <v/>
      </c>
      <c r="O228" s="8"/>
    </row>
    <row r="229" spans="1:15" x14ac:dyDescent="0.2">
      <c r="A229" s="10" t="str">
        <f t="shared" si="12"/>
        <v/>
      </c>
      <c r="B229" s="8"/>
      <c r="C229" s="8"/>
      <c r="D229" s="8"/>
      <c r="E229" s="8" t="str">
        <f ca="1">IFERROR(_xludf.XLOOKUP(D229,STUDENTS!$A$5:$A$204,STUDENTS!$C$5:$C$204,""),"")</f>
        <v/>
      </c>
      <c r="F229" s="8" t="str">
        <f ca="1">IFERROR(_xludf.XLOOKUP(D229,STUDENTS!$A$5:$A$204,STUDENTS!$L$5:$L$204,""),"")</f>
        <v/>
      </c>
      <c r="G229" s="8"/>
      <c r="H229" s="14"/>
      <c r="I229" s="14"/>
      <c r="J229" s="15" t="str">
        <f>IF(H229="","",H229*SETTINGS!$B$9)</f>
        <v/>
      </c>
      <c r="K229" s="15" t="str">
        <f>IF(I229="","",I229*SETTINGS!$B$10)</f>
        <v/>
      </c>
      <c r="L229" s="15" t="str">
        <f t="shared" si="13"/>
        <v/>
      </c>
      <c r="M229" s="10" t="str">
        <f t="shared" si="14"/>
        <v/>
      </c>
      <c r="N229" s="10" t="str">
        <f t="shared" si="15"/>
        <v/>
      </c>
      <c r="O229" s="8"/>
    </row>
    <row r="230" spans="1:15" x14ac:dyDescent="0.2">
      <c r="A230" s="10" t="str">
        <f t="shared" si="12"/>
        <v/>
      </c>
      <c r="B230" s="8"/>
      <c r="C230" s="8"/>
      <c r="D230" s="8"/>
      <c r="E230" s="8" t="str">
        <f ca="1">IFERROR(_xludf.XLOOKUP(D230,STUDENTS!$A$5:$A$204,STUDENTS!$C$5:$C$204,""),"")</f>
        <v/>
      </c>
      <c r="F230" s="8" t="str">
        <f ca="1">IFERROR(_xludf.XLOOKUP(D230,STUDENTS!$A$5:$A$204,STUDENTS!$L$5:$L$204,""),"")</f>
        <v/>
      </c>
      <c r="G230" s="8"/>
      <c r="H230" s="14"/>
      <c r="I230" s="14"/>
      <c r="J230" s="15" t="str">
        <f>IF(H230="","",H230*SETTINGS!$B$9)</f>
        <v/>
      </c>
      <c r="K230" s="15" t="str">
        <f>IF(I230="","",I230*SETTINGS!$B$10)</f>
        <v/>
      </c>
      <c r="L230" s="15" t="str">
        <f t="shared" si="13"/>
        <v/>
      </c>
      <c r="M230" s="10" t="str">
        <f t="shared" si="14"/>
        <v/>
      </c>
      <c r="N230" s="10" t="str">
        <f t="shared" si="15"/>
        <v/>
      </c>
      <c r="O230" s="8"/>
    </row>
    <row r="231" spans="1:15" x14ac:dyDescent="0.2">
      <c r="A231" s="10" t="str">
        <f t="shared" si="12"/>
        <v/>
      </c>
      <c r="B231" s="8"/>
      <c r="C231" s="8"/>
      <c r="D231" s="8"/>
      <c r="E231" s="8" t="str">
        <f ca="1">IFERROR(_xludf.XLOOKUP(D231,STUDENTS!$A$5:$A$204,STUDENTS!$C$5:$C$204,""),"")</f>
        <v/>
      </c>
      <c r="F231" s="8" t="str">
        <f ca="1">IFERROR(_xludf.XLOOKUP(D231,STUDENTS!$A$5:$A$204,STUDENTS!$L$5:$L$204,""),"")</f>
        <v/>
      </c>
      <c r="G231" s="8"/>
      <c r="H231" s="14"/>
      <c r="I231" s="14"/>
      <c r="J231" s="15" t="str">
        <f>IF(H231="","",H231*SETTINGS!$B$9)</f>
        <v/>
      </c>
      <c r="K231" s="15" t="str">
        <f>IF(I231="","",I231*SETTINGS!$B$10)</f>
        <v/>
      </c>
      <c r="L231" s="15" t="str">
        <f t="shared" si="13"/>
        <v/>
      </c>
      <c r="M231" s="10" t="str">
        <f t="shared" si="14"/>
        <v/>
      </c>
      <c r="N231" s="10" t="str">
        <f t="shared" si="15"/>
        <v/>
      </c>
      <c r="O231" s="8"/>
    </row>
    <row r="232" spans="1:15" x14ac:dyDescent="0.2">
      <c r="A232" s="10" t="str">
        <f t="shared" si="12"/>
        <v/>
      </c>
      <c r="B232" s="8"/>
      <c r="C232" s="8"/>
      <c r="D232" s="8"/>
      <c r="E232" s="8" t="str">
        <f ca="1">IFERROR(_xludf.XLOOKUP(D232,STUDENTS!$A$5:$A$204,STUDENTS!$C$5:$C$204,""),"")</f>
        <v/>
      </c>
      <c r="F232" s="8" t="str">
        <f ca="1">IFERROR(_xludf.XLOOKUP(D232,STUDENTS!$A$5:$A$204,STUDENTS!$L$5:$L$204,""),"")</f>
        <v/>
      </c>
      <c r="G232" s="8"/>
      <c r="H232" s="14"/>
      <c r="I232" s="14"/>
      <c r="J232" s="15" t="str">
        <f>IF(H232="","",H232*SETTINGS!$B$9)</f>
        <v/>
      </c>
      <c r="K232" s="15" t="str">
        <f>IF(I232="","",I232*SETTINGS!$B$10)</f>
        <v/>
      </c>
      <c r="L232" s="15" t="str">
        <f t="shared" si="13"/>
        <v/>
      </c>
      <c r="M232" s="10" t="str">
        <f t="shared" si="14"/>
        <v/>
      </c>
      <c r="N232" s="10" t="str">
        <f t="shared" si="15"/>
        <v/>
      </c>
      <c r="O232" s="8"/>
    </row>
    <row r="233" spans="1:15" x14ac:dyDescent="0.2">
      <c r="A233" s="10" t="str">
        <f t="shared" si="12"/>
        <v/>
      </c>
      <c r="B233" s="8"/>
      <c r="C233" s="8"/>
      <c r="D233" s="8"/>
      <c r="E233" s="8" t="str">
        <f ca="1">IFERROR(_xludf.XLOOKUP(D233,STUDENTS!$A$5:$A$204,STUDENTS!$C$5:$C$204,""),"")</f>
        <v/>
      </c>
      <c r="F233" s="8" t="str">
        <f ca="1">IFERROR(_xludf.XLOOKUP(D233,STUDENTS!$A$5:$A$204,STUDENTS!$L$5:$L$204,""),"")</f>
        <v/>
      </c>
      <c r="G233" s="8"/>
      <c r="H233" s="14"/>
      <c r="I233" s="14"/>
      <c r="J233" s="15" t="str">
        <f>IF(H233="","",H233*SETTINGS!$B$9)</f>
        <v/>
      </c>
      <c r="K233" s="15" t="str">
        <f>IF(I233="","",I233*SETTINGS!$B$10)</f>
        <v/>
      </c>
      <c r="L233" s="15" t="str">
        <f t="shared" si="13"/>
        <v/>
      </c>
      <c r="M233" s="10" t="str">
        <f t="shared" si="14"/>
        <v/>
      </c>
      <c r="N233" s="10" t="str">
        <f t="shared" si="15"/>
        <v/>
      </c>
      <c r="O233" s="8"/>
    </row>
    <row r="234" spans="1:15" x14ac:dyDescent="0.2">
      <c r="A234" s="10" t="str">
        <f t="shared" si="12"/>
        <v/>
      </c>
      <c r="B234" s="8"/>
      <c r="C234" s="8"/>
      <c r="D234" s="8"/>
      <c r="E234" s="8" t="str">
        <f ca="1">IFERROR(_xludf.XLOOKUP(D234,STUDENTS!$A$5:$A$204,STUDENTS!$C$5:$C$204,""),"")</f>
        <v/>
      </c>
      <c r="F234" s="8" t="str">
        <f ca="1">IFERROR(_xludf.XLOOKUP(D234,STUDENTS!$A$5:$A$204,STUDENTS!$L$5:$L$204,""),"")</f>
        <v/>
      </c>
      <c r="G234" s="8"/>
      <c r="H234" s="14"/>
      <c r="I234" s="14"/>
      <c r="J234" s="15" t="str">
        <f>IF(H234="","",H234*SETTINGS!$B$9)</f>
        <v/>
      </c>
      <c r="K234" s="15" t="str">
        <f>IF(I234="","",I234*SETTINGS!$B$10)</f>
        <v/>
      </c>
      <c r="L234" s="15" t="str">
        <f t="shared" si="13"/>
        <v/>
      </c>
      <c r="M234" s="10" t="str">
        <f t="shared" si="14"/>
        <v/>
      </c>
      <c r="N234" s="10" t="str">
        <f t="shared" si="15"/>
        <v/>
      </c>
      <c r="O234" s="8"/>
    </row>
    <row r="235" spans="1:15" x14ac:dyDescent="0.2">
      <c r="A235" s="10" t="str">
        <f t="shared" si="12"/>
        <v/>
      </c>
      <c r="B235" s="8"/>
      <c r="C235" s="8"/>
      <c r="D235" s="8"/>
      <c r="E235" s="8" t="str">
        <f ca="1">IFERROR(_xludf.XLOOKUP(D235,STUDENTS!$A$5:$A$204,STUDENTS!$C$5:$C$204,""),"")</f>
        <v/>
      </c>
      <c r="F235" s="8" t="str">
        <f ca="1">IFERROR(_xludf.XLOOKUP(D235,STUDENTS!$A$5:$A$204,STUDENTS!$L$5:$L$204,""),"")</f>
        <v/>
      </c>
      <c r="G235" s="8"/>
      <c r="H235" s="14"/>
      <c r="I235" s="14"/>
      <c r="J235" s="15" t="str">
        <f>IF(H235="","",H235*SETTINGS!$B$9)</f>
        <v/>
      </c>
      <c r="K235" s="15" t="str">
        <f>IF(I235="","",I235*SETTINGS!$B$10)</f>
        <v/>
      </c>
      <c r="L235" s="15" t="str">
        <f t="shared" si="13"/>
        <v/>
      </c>
      <c r="M235" s="10" t="str">
        <f t="shared" si="14"/>
        <v/>
      </c>
      <c r="N235" s="10" t="str">
        <f t="shared" si="15"/>
        <v/>
      </c>
      <c r="O235" s="8"/>
    </row>
    <row r="236" spans="1:15" x14ac:dyDescent="0.2">
      <c r="A236" s="10" t="str">
        <f t="shared" si="12"/>
        <v/>
      </c>
      <c r="B236" s="8"/>
      <c r="C236" s="8"/>
      <c r="D236" s="8"/>
      <c r="E236" s="8" t="str">
        <f ca="1">IFERROR(_xludf.XLOOKUP(D236,STUDENTS!$A$5:$A$204,STUDENTS!$C$5:$C$204,""),"")</f>
        <v/>
      </c>
      <c r="F236" s="8" t="str">
        <f ca="1">IFERROR(_xludf.XLOOKUP(D236,STUDENTS!$A$5:$A$204,STUDENTS!$L$5:$L$204,""),"")</f>
        <v/>
      </c>
      <c r="G236" s="8"/>
      <c r="H236" s="14"/>
      <c r="I236" s="14"/>
      <c r="J236" s="15" t="str">
        <f>IF(H236="","",H236*SETTINGS!$B$9)</f>
        <v/>
      </c>
      <c r="K236" s="15" t="str">
        <f>IF(I236="","",I236*SETTINGS!$B$10)</f>
        <v/>
      </c>
      <c r="L236" s="15" t="str">
        <f t="shared" si="13"/>
        <v/>
      </c>
      <c r="M236" s="10" t="str">
        <f t="shared" si="14"/>
        <v/>
      </c>
      <c r="N236" s="10" t="str">
        <f t="shared" si="15"/>
        <v/>
      </c>
      <c r="O236" s="8"/>
    </row>
    <row r="237" spans="1:15" x14ac:dyDescent="0.2">
      <c r="A237" s="10" t="str">
        <f t="shared" si="12"/>
        <v/>
      </c>
      <c r="B237" s="8"/>
      <c r="C237" s="8"/>
      <c r="D237" s="8"/>
      <c r="E237" s="8" t="str">
        <f ca="1">IFERROR(_xludf.XLOOKUP(D237,STUDENTS!$A$5:$A$204,STUDENTS!$C$5:$C$204,""),"")</f>
        <v/>
      </c>
      <c r="F237" s="8" t="str">
        <f ca="1">IFERROR(_xludf.XLOOKUP(D237,STUDENTS!$A$5:$A$204,STUDENTS!$L$5:$L$204,""),"")</f>
        <v/>
      </c>
      <c r="G237" s="8"/>
      <c r="H237" s="14"/>
      <c r="I237" s="14"/>
      <c r="J237" s="15" t="str">
        <f>IF(H237="","",H237*SETTINGS!$B$9)</f>
        <v/>
      </c>
      <c r="K237" s="15" t="str">
        <f>IF(I237="","",I237*SETTINGS!$B$10)</f>
        <v/>
      </c>
      <c r="L237" s="15" t="str">
        <f t="shared" si="13"/>
        <v/>
      </c>
      <c r="M237" s="10" t="str">
        <f t="shared" si="14"/>
        <v/>
      </c>
      <c r="N237" s="10" t="str">
        <f t="shared" si="15"/>
        <v/>
      </c>
      <c r="O237" s="8"/>
    </row>
    <row r="238" spans="1:15" x14ac:dyDescent="0.2">
      <c r="A238" s="10" t="str">
        <f t="shared" si="12"/>
        <v/>
      </c>
      <c r="B238" s="8"/>
      <c r="C238" s="8"/>
      <c r="D238" s="8"/>
      <c r="E238" s="8" t="str">
        <f ca="1">IFERROR(_xludf.XLOOKUP(D238,STUDENTS!$A$5:$A$204,STUDENTS!$C$5:$C$204,""),"")</f>
        <v/>
      </c>
      <c r="F238" s="8" t="str">
        <f ca="1">IFERROR(_xludf.XLOOKUP(D238,STUDENTS!$A$5:$A$204,STUDENTS!$L$5:$L$204,""),"")</f>
        <v/>
      </c>
      <c r="G238" s="8"/>
      <c r="H238" s="14"/>
      <c r="I238" s="14"/>
      <c r="J238" s="15" t="str">
        <f>IF(H238="","",H238*SETTINGS!$B$9)</f>
        <v/>
      </c>
      <c r="K238" s="15" t="str">
        <f>IF(I238="","",I238*SETTINGS!$B$10)</f>
        <v/>
      </c>
      <c r="L238" s="15" t="str">
        <f t="shared" si="13"/>
        <v/>
      </c>
      <c r="M238" s="10" t="str">
        <f t="shared" si="14"/>
        <v/>
      </c>
      <c r="N238" s="10" t="str">
        <f t="shared" si="15"/>
        <v/>
      </c>
      <c r="O238" s="8"/>
    </row>
    <row r="239" spans="1:15" x14ac:dyDescent="0.2">
      <c r="A239" s="10" t="str">
        <f t="shared" si="12"/>
        <v/>
      </c>
      <c r="B239" s="8"/>
      <c r="C239" s="8"/>
      <c r="D239" s="8"/>
      <c r="E239" s="8" t="str">
        <f ca="1">IFERROR(_xludf.XLOOKUP(D239,STUDENTS!$A$5:$A$204,STUDENTS!$C$5:$C$204,""),"")</f>
        <v/>
      </c>
      <c r="F239" s="8" t="str">
        <f ca="1">IFERROR(_xludf.XLOOKUP(D239,STUDENTS!$A$5:$A$204,STUDENTS!$L$5:$L$204,""),"")</f>
        <v/>
      </c>
      <c r="G239" s="8"/>
      <c r="H239" s="14"/>
      <c r="I239" s="14"/>
      <c r="J239" s="15" t="str">
        <f>IF(H239="","",H239*SETTINGS!$B$9)</f>
        <v/>
      </c>
      <c r="K239" s="15" t="str">
        <f>IF(I239="","",I239*SETTINGS!$B$10)</f>
        <v/>
      </c>
      <c r="L239" s="15" t="str">
        <f t="shared" si="13"/>
        <v/>
      </c>
      <c r="M239" s="10" t="str">
        <f t="shared" si="14"/>
        <v/>
      </c>
      <c r="N239" s="10" t="str">
        <f t="shared" si="15"/>
        <v/>
      </c>
      <c r="O239" s="8"/>
    </row>
    <row r="240" spans="1:15" x14ac:dyDescent="0.2">
      <c r="A240" s="10" t="str">
        <f t="shared" si="12"/>
        <v/>
      </c>
      <c r="B240" s="8"/>
      <c r="C240" s="8"/>
      <c r="D240" s="8"/>
      <c r="E240" s="8" t="str">
        <f ca="1">IFERROR(_xludf.XLOOKUP(D240,STUDENTS!$A$5:$A$204,STUDENTS!$C$5:$C$204,""),"")</f>
        <v/>
      </c>
      <c r="F240" s="8" t="str">
        <f ca="1">IFERROR(_xludf.XLOOKUP(D240,STUDENTS!$A$5:$A$204,STUDENTS!$L$5:$L$204,""),"")</f>
        <v/>
      </c>
      <c r="G240" s="8"/>
      <c r="H240" s="14"/>
      <c r="I240" s="14"/>
      <c r="J240" s="15" t="str">
        <f>IF(H240="","",H240*SETTINGS!$B$9)</f>
        <v/>
      </c>
      <c r="K240" s="15" t="str">
        <f>IF(I240="","",I240*SETTINGS!$B$10)</f>
        <v/>
      </c>
      <c r="L240" s="15" t="str">
        <f t="shared" si="13"/>
        <v/>
      </c>
      <c r="M240" s="10" t="str">
        <f t="shared" si="14"/>
        <v/>
      </c>
      <c r="N240" s="10" t="str">
        <f t="shared" si="15"/>
        <v/>
      </c>
      <c r="O240" s="8"/>
    </row>
    <row r="241" spans="1:15" x14ac:dyDescent="0.2">
      <c r="A241" s="10" t="str">
        <f t="shared" si="12"/>
        <v/>
      </c>
      <c r="B241" s="8"/>
      <c r="C241" s="8"/>
      <c r="D241" s="8"/>
      <c r="E241" s="8" t="str">
        <f ca="1">IFERROR(_xludf.XLOOKUP(D241,STUDENTS!$A$5:$A$204,STUDENTS!$C$5:$C$204,""),"")</f>
        <v/>
      </c>
      <c r="F241" s="8" t="str">
        <f ca="1">IFERROR(_xludf.XLOOKUP(D241,STUDENTS!$A$5:$A$204,STUDENTS!$L$5:$L$204,""),"")</f>
        <v/>
      </c>
      <c r="G241" s="8"/>
      <c r="H241" s="14"/>
      <c r="I241" s="14"/>
      <c r="J241" s="15" t="str">
        <f>IF(H241="","",H241*SETTINGS!$B$9)</f>
        <v/>
      </c>
      <c r="K241" s="15" t="str">
        <f>IF(I241="","",I241*SETTINGS!$B$10)</f>
        <v/>
      </c>
      <c r="L241" s="15" t="str">
        <f t="shared" si="13"/>
        <v/>
      </c>
      <c r="M241" s="10" t="str">
        <f t="shared" si="14"/>
        <v/>
      </c>
      <c r="N241" s="10" t="str">
        <f t="shared" si="15"/>
        <v/>
      </c>
      <c r="O241" s="8"/>
    </row>
    <row r="242" spans="1:15" x14ac:dyDescent="0.2">
      <c r="A242" s="10" t="str">
        <f t="shared" si="12"/>
        <v/>
      </c>
      <c r="B242" s="8"/>
      <c r="C242" s="8"/>
      <c r="D242" s="8"/>
      <c r="E242" s="8" t="str">
        <f ca="1">IFERROR(_xludf.XLOOKUP(D242,STUDENTS!$A$5:$A$204,STUDENTS!$C$5:$C$204,""),"")</f>
        <v/>
      </c>
      <c r="F242" s="8" t="str">
        <f ca="1">IFERROR(_xludf.XLOOKUP(D242,STUDENTS!$A$5:$A$204,STUDENTS!$L$5:$L$204,""),"")</f>
        <v/>
      </c>
      <c r="G242" s="8"/>
      <c r="H242" s="14"/>
      <c r="I242" s="14"/>
      <c r="J242" s="15" t="str">
        <f>IF(H242="","",H242*SETTINGS!$B$9)</f>
        <v/>
      </c>
      <c r="K242" s="15" t="str">
        <f>IF(I242="","",I242*SETTINGS!$B$10)</f>
        <v/>
      </c>
      <c r="L242" s="15" t="str">
        <f t="shared" si="13"/>
        <v/>
      </c>
      <c r="M242" s="10" t="str">
        <f t="shared" si="14"/>
        <v/>
      </c>
      <c r="N242" s="10" t="str">
        <f t="shared" si="15"/>
        <v/>
      </c>
      <c r="O242" s="8"/>
    </row>
    <row r="243" spans="1:15" x14ac:dyDescent="0.2">
      <c r="A243" s="10" t="str">
        <f t="shared" si="12"/>
        <v/>
      </c>
      <c r="B243" s="8"/>
      <c r="C243" s="8"/>
      <c r="D243" s="8"/>
      <c r="E243" s="8" t="str">
        <f ca="1">IFERROR(_xludf.XLOOKUP(D243,STUDENTS!$A$5:$A$204,STUDENTS!$C$5:$C$204,""),"")</f>
        <v/>
      </c>
      <c r="F243" s="8" t="str">
        <f ca="1">IFERROR(_xludf.XLOOKUP(D243,STUDENTS!$A$5:$A$204,STUDENTS!$L$5:$L$204,""),"")</f>
        <v/>
      </c>
      <c r="G243" s="8"/>
      <c r="H243" s="14"/>
      <c r="I243" s="14"/>
      <c r="J243" s="15" t="str">
        <f>IF(H243="","",H243*SETTINGS!$B$9)</f>
        <v/>
      </c>
      <c r="K243" s="15" t="str">
        <f>IF(I243="","",I243*SETTINGS!$B$10)</f>
        <v/>
      </c>
      <c r="L243" s="15" t="str">
        <f t="shared" si="13"/>
        <v/>
      </c>
      <c r="M243" s="10" t="str">
        <f t="shared" si="14"/>
        <v/>
      </c>
      <c r="N243" s="10" t="str">
        <f t="shared" si="15"/>
        <v/>
      </c>
      <c r="O243" s="8"/>
    </row>
    <row r="244" spans="1:15" x14ac:dyDescent="0.2">
      <c r="A244" s="10" t="str">
        <f t="shared" si="12"/>
        <v/>
      </c>
      <c r="B244" s="8"/>
      <c r="C244" s="8"/>
      <c r="D244" s="8"/>
      <c r="E244" s="8" t="str">
        <f ca="1">IFERROR(_xludf.XLOOKUP(D244,STUDENTS!$A$5:$A$204,STUDENTS!$C$5:$C$204,""),"")</f>
        <v/>
      </c>
      <c r="F244" s="8" t="str">
        <f ca="1">IFERROR(_xludf.XLOOKUP(D244,STUDENTS!$A$5:$A$204,STUDENTS!$L$5:$L$204,""),"")</f>
        <v/>
      </c>
      <c r="G244" s="8"/>
      <c r="H244" s="14"/>
      <c r="I244" s="14"/>
      <c r="J244" s="15" t="str">
        <f>IF(H244="","",H244*SETTINGS!$B$9)</f>
        <v/>
      </c>
      <c r="K244" s="15" t="str">
        <f>IF(I244="","",I244*SETTINGS!$B$10)</f>
        <v/>
      </c>
      <c r="L244" s="15" t="str">
        <f t="shared" si="13"/>
        <v/>
      </c>
      <c r="M244" s="10" t="str">
        <f t="shared" si="14"/>
        <v/>
      </c>
      <c r="N244" s="10" t="str">
        <f t="shared" si="15"/>
        <v/>
      </c>
      <c r="O244" s="8"/>
    </row>
    <row r="245" spans="1:15" x14ac:dyDescent="0.2">
      <c r="A245" s="10" t="str">
        <f t="shared" si="12"/>
        <v/>
      </c>
      <c r="B245" s="8"/>
      <c r="C245" s="8"/>
      <c r="D245" s="8"/>
      <c r="E245" s="8" t="str">
        <f ca="1">IFERROR(_xludf.XLOOKUP(D245,STUDENTS!$A$5:$A$204,STUDENTS!$C$5:$C$204,""),"")</f>
        <v/>
      </c>
      <c r="F245" s="8" t="str">
        <f ca="1">IFERROR(_xludf.XLOOKUP(D245,STUDENTS!$A$5:$A$204,STUDENTS!$L$5:$L$204,""),"")</f>
        <v/>
      </c>
      <c r="G245" s="8"/>
      <c r="H245" s="14"/>
      <c r="I245" s="14"/>
      <c r="J245" s="15" t="str">
        <f>IF(H245="","",H245*SETTINGS!$B$9)</f>
        <v/>
      </c>
      <c r="K245" s="15" t="str">
        <f>IF(I245="","",I245*SETTINGS!$B$10)</f>
        <v/>
      </c>
      <c r="L245" s="15" t="str">
        <f t="shared" si="13"/>
        <v/>
      </c>
      <c r="M245" s="10" t="str">
        <f t="shared" si="14"/>
        <v/>
      </c>
      <c r="N245" s="10" t="str">
        <f t="shared" si="15"/>
        <v/>
      </c>
      <c r="O245" s="8"/>
    </row>
    <row r="246" spans="1:15" x14ac:dyDescent="0.2">
      <c r="A246" s="10" t="str">
        <f t="shared" si="12"/>
        <v/>
      </c>
      <c r="B246" s="8"/>
      <c r="C246" s="8"/>
      <c r="D246" s="8"/>
      <c r="E246" s="8" t="str">
        <f ca="1">IFERROR(_xludf.XLOOKUP(D246,STUDENTS!$A$5:$A$204,STUDENTS!$C$5:$C$204,""),"")</f>
        <v/>
      </c>
      <c r="F246" s="8" t="str">
        <f ca="1">IFERROR(_xludf.XLOOKUP(D246,STUDENTS!$A$5:$A$204,STUDENTS!$L$5:$L$204,""),"")</f>
        <v/>
      </c>
      <c r="G246" s="8"/>
      <c r="H246" s="14"/>
      <c r="I246" s="14"/>
      <c r="J246" s="15" t="str">
        <f>IF(H246="","",H246*SETTINGS!$B$9)</f>
        <v/>
      </c>
      <c r="K246" s="15" t="str">
        <f>IF(I246="","",I246*SETTINGS!$B$10)</f>
        <v/>
      </c>
      <c r="L246" s="15" t="str">
        <f t="shared" si="13"/>
        <v/>
      </c>
      <c r="M246" s="10" t="str">
        <f t="shared" si="14"/>
        <v/>
      </c>
      <c r="N246" s="10" t="str">
        <f t="shared" si="15"/>
        <v/>
      </c>
      <c r="O246" s="8"/>
    </row>
    <row r="247" spans="1:15" x14ac:dyDescent="0.2">
      <c r="A247" s="10" t="str">
        <f t="shared" si="12"/>
        <v/>
      </c>
      <c r="B247" s="8"/>
      <c r="C247" s="8"/>
      <c r="D247" s="8"/>
      <c r="E247" s="8" t="str">
        <f ca="1">IFERROR(_xludf.XLOOKUP(D247,STUDENTS!$A$5:$A$204,STUDENTS!$C$5:$C$204,""),"")</f>
        <v/>
      </c>
      <c r="F247" s="8" t="str">
        <f ca="1">IFERROR(_xludf.XLOOKUP(D247,STUDENTS!$A$5:$A$204,STUDENTS!$L$5:$L$204,""),"")</f>
        <v/>
      </c>
      <c r="G247" s="8"/>
      <c r="H247" s="14"/>
      <c r="I247" s="14"/>
      <c r="J247" s="15" t="str">
        <f>IF(H247="","",H247*SETTINGS!$B$9)</f>
        <v/>
      </c>
      <c r="K247" s="15" t="str">
        <f>IF(I247="","",I247*SETTINGS!$B$10)</f>
        <v/>
      </c>
      <c r="L247" s="15" t="str">
        <f t="shared" si="13"/>
        <v/>
      </c>
      <c r="M247" s="10" t="str">
        <f t="shared" si="14"/>
        <v/>
      </c>
      <c r="N247" s="10" t="str">
        <f t="shared" si="15"/>
        <v/>
      </c>
      <c r="O247" s="8"/>
    </row>
    <row r="248" spans="1:15" x14ac:dyDescent="0.2">
      <c r="A248" s="10" t="str">
        <f t="shared" si="12"/>
        <v/>
      </c>
      <c r="B248" s="8"/>
      <c r="C248" s="8"/>
      <c r="D248" s="8"/>
      <c r="E248" s="8" t="str">
        <f ca="1">IFERROR(_xludf.XLOOKUP(D248,STUDENTS!$A$5:$A$204,STUDENTS!$C$5:$C$204,""),"")</f>
        <v/>
      </c>
      <c r="F248" s="8" t="str">
        <f ca="1">IFERROR(_xludf.XLOOKUP(D248,STUDENTS!$A$5:$A$204,STUDENTS!$L$5:$L$204,""),"")</f>
        <v/>
      </c>
      <c r="G248" s="8"/>
      <c r="H248" s="14"/>
      <c r="I248" s="14"/>
      <c r="J248" s="15" t="str">
        <f>IF(H248="","",H248*SETTINGS!$B$9)</f>
        <v/>
      </c>
      <c r="K248" s="15" t="str">
        <f>IF(I248="","",I248*SETTINGS!$B$10)</f>
        <v/>
      </c>
      <c r="L248" s="15" t="str">
        <f t="shared" si="13"/>
        <v/>
      </c>
      <c r="M248" s="10" t="str">
        <f t="shared" si="14"/>
        <v/>
      </c>
      <c r="N248" s="10" t="str">
        <f t="shared" si="15"/>
        <v/>
      </c>
      <c r="O248" s="8"/>
    </row>
    <row r="249" spans="1:15" x14ac:dyDescent="0.2">
      <c r="A249" s="10" t="str">
        <f t="shared" si="12"/>
        <v/>
      </c>
      <c r="B249" s="8"/>
      <c r="C249" s="8"/>
      <c r="D249" s="8"/>
      <c r="E249" s="8" t="str">
        <f ca="1">IFERROR(_xludf.XLOOKUP(D249,STUDENTS!$A$5:$A$204,STUDENTS!$C$5:$C$204,""),"")</f>
        <v/>
      </c>
      <c r="F249" s="8" t="str">
        <f ca="1">IFERROR(_xludf.XLOOKUP(D249,STUDENTS!$A$5:$A$204,STUDENTS!$L$5:$L$204,""),"")</f>
        <v/>
      </c>
      <c r="G249" s="8"/>
      <c r="H249" s="14"/>
      <c r="I249" s="14"/>
      <c r="J249" s="15" t="str">
        <f>IF(H249="","",H249*SETTINGS!$B$9)</f>
        <v/>
      </c>
      <c r="K249" s="15" t="str">
        <f>IF(I249="","",I249*SETTINGS!$B$10)</f>
        <v/>
      </c>
      <c r="L249" s="15" t="str">
        <f t="shared" si="13"/>
        <v/>
      </c>
      <c r="M249" s="10" t="str">
        <f t="shared" si="14"/>
        <v/>
      </c>
      <c r="N249" s="10" t="str">
        <f t="shared" si="15"/>
        <v/>
      </c>
      <c r="O249" s="8"/>
    </row>
    <row r="250" spans="1:15" x14ac:dyDescent="0.2">
      <c r="A250" s="10" t="str">
        <f t="shared" si="12"/>
        <v/>
      </c>
      <c r="B250" s="8"/>
      <c r="C250" s="8"/>
      <c r="D250" s="8"/>
      <c r="E250" s="8" t="str">
        <f ca="1">IFERROR(_xludf.XLOOKUP(D250,STUDENTS!$A$5:$A$204,STUDENTS!$C$5:$C$204,""),"")</f>
        <v/>
      </c>
      <c r="F250" s="8" t="str">
        <f ca="1">IFERROR(_xludf.XLOOKUP(D250,STUDENTS!$A$5:$A$204,STUDENTS!$L$5:$L$204,""),"")</f>
        <v/>
      </c>
      <c r="G250" s="8"/>
      <c r="H250" s="14"/>
      <c r="I250" s="14"/>
      <c r="J250" s="15" t="str">
        <f>IF(H250="","",H250*SETTINGS!$B$9)</f>
        <v/>
      </c>
      <c r="K250" s="15" t="str">
        <f>IF(I250="","",I250*SETTINGS!$B$10)</f>
        <v/>
      </c>
      <c r="L250" s="15" t="str">
        <f t="shared" si="13"/>
        <v/>
      </c>
      <c r="M250" s="10" t="str">
        <f t="shared" si="14"/>
        <v/>
      </c>
      <c r="N250" s="10" t="str">
        <f t="shared" si="15"/>
        <v/>
      </c>
      <c r="O250" s="8"/>
    </row>
    <row r="251" spans="1:15" x14ac:dyDescent="0.2">
      <c r="A251" s="10" t="str">
        <f t="shared" si="12"/>
        <v/>
      </c>
      <c r="B251" s="8"/>
      <c r="C251" s="8"/>
      <c r="D251" s="8"/>
      <c r="E251" s="8" t="str">
        <f ca="1">IFERROR(_xludf.XLOOKUP(D251,STUDENTS!$A$5:$A$204,STUDENTS!$C$5:$C$204,""),"")</f>
        <v/>
      </c>
      <c r="F251" s="8" t="str">
        <f ca="1">IFERROR(_xludf.XLOOKUP(D251,STUDENTS!$A$5:$A$204,STUDENTS!$L$5:$L$204,""),"")</f>
        <v/>
      </c>
      <c r="G251" s="8"/>
      <c r="H251" s="14"/>
      <c r="I251" s="14"/>
      <c r="J251" s="15" t="str">
        <f>IF(H251="","",H251*SETTINGS!$B$9)</f>
        <v/>
      </c>
      <c r="K251" s="15" t="str">
        <f>IF(I251="","",I251*SETTINGS!$B$10)</f>
        <v/>
      </c>
      <c r="L251" s="15" t="str">
        <f t="shared" si="13"/>
        <v/>
      </c>
      <c r="M251" s="10" t="str">
        <f t="shared" si="14"/>
        <v/>
      </c>
      <c r="N251" s="10" t="str">
        <f t="shared" si="15"/>
        <v/>
      </c>
      <c r="O251" s="8"/>
    </row>
    <row r="252" spans="1:15" x14ac:dyDescent="0.2">
      <c r="A252" s="10" t="str">
        <f t="shared" si="12"/>
        <v/>
      </c>
      <c r="B252" s="8"/>
      <c r="C252" s="8"/>
      <c r="D252" s="8"/>
      <c r="E252" s="8" t="str">
        <f ca="1">IFERROR(_xludf.XLOOKUP(D252,STUDENTS!$A$5:$A$204,STUDENTS!$C$5:$C$204,""),"")</f>
        <v/>
      </c>
      <c r="F252" s="8" t="str">
        <f ca="1">IFERROR(_xludf.XLOOKUP(D252,STUDENTS!$A$5:$A$204,STUDENTS!$L$5:$L$204,""),"")</f>
        <v/>
      </c>
      <c r="G252" s="8"/>
      <c r="H252" s="14"/>
      <c r="I252" s="14"/>
      <c r="J252" s="15" t="str">
        <f>IF(H252="","",H252*SETTINGS!$B$9)</f>
        <v/>
      </c>
      <c r="K252" s="15" t="str">
        <f>IF(I252="","",I252*SETTINGS!$B$10)</f>
        <v/>
      </c>
      <c r="L252" s="15" t="str">
        <f t="shared" si="13"/>
        <v/>
      </c>
      <c r="M252" s="10" t="str">
        <f t="shared" si="14"/>
        <v/>
      </c>
      <c r="N252" s="10" t="str">
        <f t="shared" si="15"/>
        <v/>
      </c>
      <c r="O252" s="8"/>
    </row>
    <row r="253" spans="1:15" x14ac:dyDescent="0.2">
      <c r="A253" s="10" t="str">
        <f t="shared" si="12"/>
        <v/>
      </c>
      <c r="B253" s="8"/>
      <c r="C253" s="8"/>
      <c r="D253" s="8"/>
      <c r="E253" s="8" t="str">
        <f ca="1">IFERROR(_xludf.XLOOKUP(D253,STUDENTS!$A$5:$A$204,STUDENTS!$C$5:$C$204,""),"")</f>
        <v/>
      </c>
      <c r="F253" s="8" t="str">
        <f ca="1">IFERROR(_xludf.XLOOKUP(D253,STUDENTS!$A$5:$A$204,STUDENTS!$L$5:$L$204,""),"")</f>
        <v/>
      </c>
      <c r="G253" s="8"/>
      <c r="H253" s="14"/>
      <c r="I253" s="14"/>
      <c r="J253" s="15" t="str">
        <f>IF(H253="","",H253*SETTINGS!$B$9)</f>
        <v/>
      </c>
      <c r="K253" s="15" t="str">
        <f>IF(I253="","",I253*SETTINGS!$B$10)</f>
        <v/>
      </c>
      <c r="L253" s="15" t="str">
        <f t="shared" si="13"/>
        <v/>
      </c>
      <c r="M253" s="10" t="str">
        <f t="shared" si="14"/>
        <v/>
      </c>
      <c r="N253" s="10" t="str">
        <f t="shared" si="15"/>
        <v/>
      </c>
      <c r="O253" s="8"/>
    </row>
    <row r="254" spans="1:15" x14ac:dyDescent="0.2">
      <c r="A254" s="10" t="str">
        <f t="shared" si="12"/>
        <v/>
      </c>
      <c r="B254" s="8"/>
      <c r="C254" s="8"/>
      <c r="D254" s="8"/>
      <c r="E254" s="8" t="str">
        <f ca="1">IFERROR(_xludf.XLOOKUP(D254,STUDENTS!$A$5:$A$204,STUDENTS!$C$5:$C$204,""),"")</f>
        <v/>
      </c>
      <c r="F254" s="8" t="str">
        <f ca="1">IFERROR(_xludf.XLOOKUP(D254,STUDENTS!$A$5:$A$204,STUDENTS!$L$5:$L$204,""),"")</f>
        <v/>
      </c>
      <c r="G254" s="8"/>
      <c r="H254" s="14"/>
      <c r="I254" s="14"/>
      <c r="J254" s="15" t="str">
        <f>IF(H254="","",H254*SETTINGS!$B$9)</f>
        <v/>
      </c>
      <c r="K254" s="15" t="str">
        <f>IF(I254="","",I254*SETTINGS!$B$10)</f>
        <v/>
      </c>
      <c r="L254" s="15" t="str">
        <f t="shared" si="13"/>
        <v/>
      </c>
      <c r="M254" s="10" t="str">
        <f t="shared" si="14"/>
        <v/>
      </c>
      <c r="N254" s="10" t="str">
        <f t="shared" si="15"/>
        <v/>
      </c>
      <c r="O254" s="8"/>
    </row>
    <row r="255" spans="1:15" x14ac:dyDescent="0.2">
      <c r="A255" s="10" t="str">
        <f t="shared" si="12"/>
        <v/>
      </c>
      <c r="B255" s="8"/>
      <c r="C255" s="8"/>
      <c r="D255" s="8"/>
      <c r="E255" s="8" t="str">
        <f ca="1">IFERROR(_xludf.XLOOKUP(D255,STUDENTS!$A$5:$A$204,STUDENTS!$C$5:$C$204,""),"")</f>
        <v/>
      </c>
      <c r="F255" s="8" t="str">
        <f ca="1">IFERROR(_xludf.XLOOKUP(D255,STUDENTS!$A$5:$A$204,STUDENTS!$L$5:$L$204,""),"")</f>
        <v/>
      </c>
      <c r="G255" s="8"/>
      <c r="H255" s="14"/>
      <c r="I255" s="14"/>
      <c r="J255" s="15" t="str">
        <f>IF(H255="","",H255*SETTINGS!$B$9)</f>
        <v/>
      </c>
      <c r="K255" s="15" t="str">
        <f>IF(I255="","",I255*SETTINGS!$B$10)</f>
        <v/>
      </c>
      <c r="L255" s="15" t="str">
        <f t="shared" si="13"/>
        <v/>
      </c>
      <c r="M255" s="10" t="str">
        <f t="shared" si="14"/>
        <v/>
      </c>
      <c r="N255" s="10" t="str">
        <f t="shared" si="15"/>
        <v/>
      </c>
      <c r="O255" s="8"/>
    </row>
    <row r="256" spans="1:15" x14ac:dyDescent="0.2">
      <c r="A256" s="10" t="str">
        <f t="shared" si="12"/>
        <v/>
      </c>
      <c r="B256" s="8"/>
      <c r="C256" s="8"/>
      <c r="D256" s="8"/>
      <c r="E256" s="8" t="str">
        <f ca="1">IFERROR(_xludf.XLOOKUP(D256,STUDENTS!$A$5:$A$204,STUDENTS!$C$5:$C$204,""),"")</f>
        <v/>
      </c>
      <c r="F256" s="8" t="str">
        <f ca="1">IFERROR(_xludf.XLOOKUP(D256,STUDENTS!$A$5:$A$204,STUDENTS!$L$5:$L$204,""),"")</f>
        <v/>
      </c>
      <c r="G256" s="8"/>
      <c r="H256" s="14"/>
      <c r="I256" s="14"/>
      <c r="J256" s="15" t="str">
        <f>IF(H256="","",H256*SETTINGS!$B$9)</f>
        <v/>
      </c>
      <c r="K256" s="15" t="str">
        <f>IF(I256="","",I256*SETTINGS!$B$10)</f>
        <v/>
      </c>
      <c r="L256" s="15" t="str">
        <f t="shared" si="13"/>
        <v/>
      </c>
      <c r="M256" s="10" t="str">
        <f t="shared" si="14"/>
        <v/>
      </c>
      <c r="N256" s="10" t="str">
        <f t="shared" si="15"/>
        <v/>
      </c>
      <c r="O256" s="8"/>
    </row>
    <row r="257" spans="1:15" x14ac:dyDescent="0.2">
      <c r="A257" s="10" t="str">
        <f t="shared" si="12"/>
        <v/>
      </c>
      <c r="B257" s="8"/>
      <c r="C257" s="8"/>
      <c r="D257" s="8"/>
      <c r="E257" s="8" t="str">
        <f ca="1">IFERROR(_xludf.XLOOKUP(D257,STUDENTS!$A$5:$A$204,STUDENTS!$C$5:$C$204,""),"")</f>
        <v/>
      </c>
      <c r="F257" s="8" t="str">
        <f ca="1">IFERROR(_xludf.XLOOKUP(D257,STUDENTS!$A$5:$A$204,STUDENTS!$L$5:$L$204,""),"")</f>
        <v/>
      </c>
      <c r="G257" s="8"/>
      <c r="H257" s="14"/>
      <c r="I257" s="14"/>
      <c r="J257" s="15" t="str">
        <f>IF(H257="","",H257*SETTINGS!$B$9)</f>
        <v/>
      </c>
      <c r="K257" s="15" t="str">
        <f>IF(I257="","",I257*SETTINGS!$B$10)</f>
        <v/>
      </c>
      <c r="L257" s="15" t="str">
        <f t="shared" si="13"/>
        <v/>
      </c>
      <c r="M257" s="10" t="str">
        <f t="shared" si="14"/>
        <v/>
      </c>
      <c r="N257" s="10" t="str">
        <f t="shared" si="15"/>
        <v/>
      </c>
      <c r="O257" s="8"/>
    </row>
    <row r="258" spans="1:15" x14ac:dyDescent="0.2">
      <c r="A258" s="10" t="str">
        <f t="shared" si="12"/>
        <v/>
      </c>
      <c r="B258" s="8"/>
      <c r="C258" s="8"/>
      <c r="D258" s="8"/>
      <c r="E258" s="8" t="str">
        <f ca="1">IFERROR(_xludf.XLOOKUP(D258,STUDENTS!$A$5:$A$204,STUDENTS!$C$5:$C$204,""),"")</f>
        <v/>
      </c>
      <c r="F258" s="8" t="str">
        <f ca="1">IFERROR(_xludf.XLOOKUP(D258,STUDENTS!$A$5:$A$204,STUDENTS!$L$5:$L$204,""),"")</f>
        <v/>
      </c>
      <c r="G258" s="8"/>
      <c r="H258" s="14"/>
      <c r="I258" s="14"/>
      <c r="J258" s="15" t="str">
        <f>IF(H258="","",H258*SETTINGS!$B$9)</f>
        <v/>
      </c>
      <c r="K258" s="15" t="str">
        <f>IF(I258="","",I258*SETTINGS!$B$10)</f>
        <v/>
      </c>
      <c r="L258" s="15" t="str">
        <f t="shared" si="13"/>
        <v/>
      </c>
      <c r="M258" s="10" t="str">
        <f t="shared" si="14"/>
        <v/>
      </c>
      <c r="N258" s="10" t="str">
        <f t="shared" si="15"/>
        <v/>
      </c>
      <c r="O258" s="8"/>
    </row>
    <row r="259" spans="1:15" x14ac:dyDescent="0.2">
      <c r="A259" s="10" t="str">
        <f t="shared" si="12"/>
        <v/>
      </c>
      <c r="B259" s="8"/>
      <c r="C259" s="8"/>
      <c r="D259" s="8"/>
      <c r="E259" s="8" t="str">
        <f ca="1">IFERROR(_xludf.XLOOKUP(D259,STUDENTS!$A$5:$A$204,STUDENTS!$C$5:$C$204,""),"")</f>
        <v/>
      </c>
      <c r="F259" s="8" t="str">
        <f ca="1">IFERROR(_xludf.XLOOKUP(D259,STUDENTS!$A$5:$A$204,STUDENTS!$L$5:$L$204,""),"")</f>
        <v/>
      </c>
      <c r="G259" s="8"/>
      <c r="H259" s="14"/>
      <c r="I259" s="14"/>
      <c r="J259" s="15" t="str">
        <f>IF(H259="","",H259*SETTINGS!$B$9)</f>
        <v/>
      </c>
      <c r="K259" s="15" t="str">
        <f>IF(I259="","",I259*SETTINGS!$B$10)</f>
        <v/>
      </c>
      <c r="L259" s="15" t="str">
        <f t="shared" si="13"/>
        <v/>
      </c>
      <c r="M259" s="10" t="str">
        <f t="shared" si="14"/>
        <v/>
      </c>
      <c r="N259" s="10" t="str">
        <f t="shared" si="15"/>
        <v/>
      </c>
      <c r="O259" s="8"/>
    </row>
    <row r="260" spans="1:15" x14ac:dyDescent="0.2">
      <c r="A260" s="10" t="str">
        <f t="shared" si="12"/>
        <v/>
      </c>
      <c r="B260" s="8"/>
      <c r="C260" s="8"/>
      <c r="D260" s="8"/>
      <c r="E260" s="8" t="str">
        <f ca="1">IFERROR(_xludf.XLOOKUP(D260,STUDENTS!$A$5:$A$204,STUDENTS!$C$5:$C$204,""),"")</f>
        <v/>
      </c>
      <c r="F260" s="8" t="str">
        <f ca="1">IFERROR(_xludf.XLOOKUP(D260,STUDENTS!$A$5:$A$204,STUDENTS!$L$5:$L$204,""),"")</f>
        <v/>
      </c>
      <c r="G260" s="8"/>
      <c r="H260" s="14"/>
      <c r="I260" s="14"/>
      <c r="J260" s="15" t="str">
        <f>IF(H260="","",H260*SETTINGS!$B$9)</f>
        <v/>
      </c>
      <c r="K260" s="15" t="str">
        <f>IF(I260="","",I260*SETTINGS!$B$10)</f>
        <v/>
      </c>
      <c r="L260" s="15" t="str">
        <f t="shared" si="13"/>
        <v/>
      </c>
      <c r="M260" s="10" t="str">
        <f t="shared" si="14"/>
        <v/>
      </c>
      <c r="N260" s="10" t="str">
        <f t="shared" si="15"/>
        <v/>
      </c>
      <c r="O260" s="8"/>
    </row>
    <row r="261" spans="1:15" x14ac:dyDescent="0.2">
      <c r="A261" s="10" t="str">
        <f t="shared" ref="A261:A324" si="16">IF(D261="","","R-"&amp;TEXT(ROW()-4,"00000"))</f>
        <v/>
      </c>
      <c r="B261" s="8"/>
      <c r="C261" s="8"/>
      <c r="D261" s="8"/>
      <c r="E261" s="8" t="str">
        <f ca="1">IFERROR(_xludf.XLOOKUP(D261,STUDENTS!$A$5:$A$204,STUDENTS!$C$5:$C$204,""),"")</f>
        <v/>
      </c>
      <c r="F261" s="8" t="str">
        <f ca="1">IFERROR(_xludf.XLOOKUP(D261,STUDENTS!$A$5:$A$204,STUDENTS!$L$5:$L$204,""),"")</f>
        <v/>
      </c>
      <c r="G261" s="8"/>
      <c r="H261" s="14"/>
      <c r="I261" s="14"/>
      <c r="J261" s="15" t="str">
        <f>IF(H261="","",H261*SETTINGS!$B$9)</f>
        <v/>
      </c>
      <c r="K261" s="15" t="str">
        <f>IF(I261="","",I261*SETTINGS!$B$10)</f>
        <v/>
      </c>
      <c r="L261" s="15" t="str">
        <f t="shared" ref="L261:L324" si="17">IF(OR(H261="",I261=""),"",J261+K261)</f>
        <v/>
      </c>
      <c r="M261" s="10" t="str">
        <f t="shared" ref="M261:M324" si="18">IF(L261="","",IF(L261&gt;=80,"A",IF(L261&gt;=70,"B",IF(L261&gt;=60,"C",IF(L261&gt;=50,"D","F")))))</f>
        <v/>
      </c>
      <c r="N261" s="10" t="str">
        <f t="shared" ref="N261:N324" si="19">IF(L261="","",1+COUNTIFS($F$5:$F$1004,F261,$C$5:$C$1004,C261,$G$5:$G$1004,G261,$L$5:$L$1004,"&gt;"&amp;L261))</f>
        <v/>
      </c>
      <c r="O261" s="8"/>
    </row>
    <row r="262" spans="1:15" x14ac:dyDescent="0.2">
      <c r="A262" s="10" t="str">
        <f t="shared" si="16"/>
        <v/>
      </c>
      <c r="B262" s="8"/>
      <c r="C262" s="8"/>
      <c r="D262" s="8"/>
      <c r="E262" s="8" t="str">
        <f ca="1">IFERROR(_xludf.XLOOKUP(D262,STUDENTS!$A$5:$A$204,STUDENTS!$C$5:$C$204,""),"")</f>
        <v/>
      </c>
      <c r="F262" s="8" t="str">
        <f ca="1">IFERROR(_xludf.XLOOKUP(D262,STUDENTS!$A$5:$A$204,STUDENTS!$L$5:$L$204,""),"")</f>
        <v/>
      </c>
      <c r="G262" s="8"/>
      <c r="H262" s="14"/>
      <c r="I262" s="14"/>
      <c r="J262" s="15" t="str">
        <f>IF(H262="","",H262*SETTINGS!$B$9)</f>
        <v/>
      </c>
      <c r="K262" s="15" t="str">
        <f>IF(I262="","",I262*SETTINGS!$B$10)</f>
        <v/>
      </c>
      <c r="L262" s="15" t="str">
        <f t="shared" si="17"/>
        <v/>
      </c>
      <c r="M262" s="10" t="str">
        <f t="shared" si="18"/>
        <v/>
      </c>
      <c r="N262" s="10" t="str">
        <f t="shared" si="19"/>
        <v/>
      </c>
      <c r="O262" s="8"/>
    </row>
    <row r="263" spans="1:15" x14ac:dyDescent="0.2">
      <c r="A263" s="10" t="str">
        <f t="shared" si="16"/>
        <v/>
      </c>
      <c r="B263" s="8"/>
      <c r="C263" s="8"/>
      <c r="D263" s="8"/>
      <c r="E263" s="8" t="str">
        <f ca="1">IFERROR(_xludf.XLOOKUP(D263,STUDENTS!$A$5:$A$204,STUDENTS!$C$5:$C$204,""),"")</f>
        <v/>
      </c>
      <c r="F263" s="8" t="str">
        <f ca="1">IFERROR(_xludf.XLOOKUP(D263,STUDENTS!$A$5:$A$204,STUDENTS!$L$5:$L$204,""),"")</f>
        <v/>
      </c>
      <c r="G263" s="8"/>
      <c r="H263" s="14"/>
      <c r="I263" s="14"/>
      <c r="J263" s="15" t="str">
        <f>IF(H263="","",H263*SETTINGS!$B$9)</f>
        <v/>
      </c>
      <c r="K263" s="15" t="str">
        <f>IF(I263="","",I263*SETTINGS!$B$10)</f>
        <v/>
      </c>
      <c r="L263" s="15" t="str">
        <f t="shared" si="17"/>
        <v/>
      </c>
      <c r="M263" s="10" t="str">
        <f t="shared" si="18"/>
        <v/>
      </c>
      <c r="N263" s="10" t="str">
        <f t="shared" si="19"/>
        <v/>
      </c>
      <c r="O263" s="8"/>
    </row>
    <row r="264" spans="1:15" x14ac:dyDescent="0.2">
      <c r="A264" s="10" t="str">
        <f t="shared" si="16"/>
        <v/>
      </c>
      <c r="B264" s="8"/>
      <c r="C264" s="8"/>
      <c r="D264" s="8"/>
      <c r="E264" s="8" t="str">
        <f ca="1">IFERROR(_xludf.XLOOKUP(D264,STUDENTS!$A$5:$A$204,STUDENTS!$C$5:$C$204,""),"")</f>
        <v/>
      </c>
      <c r="F264" s="8" t="str">
        <f ca="1">IFERROR(_xludf.XLOOKUP(D264,STUDENTS!$A$5:$A$204,STUDENTS!$L$5:$L$204,""),"")</f>
        <v/>
      </c>
      <c r="G264" s="8"/>
      <c r="H264" s="14"/>
      <c r="I264" s="14"/>
      <c r="J264" s="15" t="str">
        <f>IF(H264="","",H264*SETTINGS!$B$9)</f>
        <v/>
      </c>
      <c r="K264" s="15" t="str">
        <f>IF(I264="","",I264*SETTINGS!$B$10)</f>
        <v/>
      </c>
      <c r="L264" s="15" t="str">
        <f t="shared" si="17"/>
        <v/>
      </c>
      <c r="M264" s="10" t="str">
        <f t="shared" si="18"/>
        <v/>
      </c>
      <c r="N264" s="10" t="str">
        <f t="shared" si="19"/>
        <v/>
      </c>
      <c r="O264" s="8"/>
    </row>
    <row r="265" spans="1:15" x14ac:dyDescent="0.2">
      <c r="A265" s="10" t="str">
        <f t="shared" si="16"/>
        <v/>
      </c>
      <c r="B265" s="8"/>
      <c r="C265" s="8"/>
      <c r="D265" s="8"/>
      <c r="E265" s="8" t="str">
        <f ca="1">IFERROR(_xludf.XLOOKUP(D265,STUDENTS!$A$5:$A$204,STUDENTS!$C$5:$C$204,""),"")</f>
        <v/>
      </c>
      <c r="F265" s="8" t="str">
        <f ca="1">IFERROR(_xludf.XLOOKUP(D265,STUDENTS!$A$5:$A$204,STUDENTS!$L$5:$L$204,""),"")</f>
        <v/>
      </c>
      <c r="G265" s="8"/>
      <c r="H265" s="14"/>
      <c r="I265" s="14"/>
      <c r="J265" s="15" t="str">
        <f>IF(H265="","",H265*SETTINGS!$B$9)</f>
        <v/>
      </c>
      <c r="K265" s="15" t="str">
        <f>IF(I265="","",I265*SETTINGS!$B$10)</f>
        <v/>
      </c>
      <c r="L265" s="15" t="str">
        <f t="shared" si="17"/>
        <v/>
      </c>
      <c r="M265" s="10" t="str">
        <f t="shared" si="18"/>
        <v/>
      </c>
      <c r="N265" s="10" t="str">
        <f t="shared" si="19"/>
        <v/>
      </c>
      <c r="O265" s="8"/>
    </row>
    <row r="266" spans="1:15" x14ac:dyDescent="0.2">
      <c r="A266" s="10" t="str">
        <f t="shared" si="16"/>
        <v/>
      </c>
      <c r="B266" s="8"/>
      <c r="C266" s="8"/>
      <c r="D266" s="8"/>
      <c r="E266" s="8" t="str">
        <f ca="1">IFERROR(_xludf.XLOOKUP(D266,STUDENTS!$A$5:$A$204,STUDENTS!$C$5:$C$204,""),"")</f>
        <v/>
      </c>
      <c r="F266" s="8" t="str">
        <f ca="1">IFERROR(_xludf.XLOOKUP(D266,STUDENTS!$A$5:$A$204,STUDENTS!$L$5:$L$204,""),"")</f>
        <v/>
      </c>
      <c r="G266" s="8"/>
      <c r="H266" s="14"/>
      <c r="I266" s="14"/>
      <c r="J266" s="15" t="str">
        <f>IF(H266="","",H266*SETTINGS!$B$9)</f>
        <v/>
      </c>
      <c r="K266" s="15" t="str">
        <f>IF(I266="","",I266*SETTINGS!$B$10)</f>
        <v/>
      </c>
      <c r="L266" s="15" t="str">
        <f t="shared" si="17"/>
        <v/>
      </c>
      <c r="M266" s="10" t="str">
        <f t="shared" si="18"/>
        <v/>
      </c>
      <c r="N266" s="10" t="str">
        <f t="shared" si="19"/>
        <v/>
      </c>
      <c r="O266" s="8"/>
    </row>
    <row r="267" spans="1:15" x14ac:dyDescent="0.2">
      <c r="A267" s="10" t="str">
        <f t="shared" si="16"/>
        <v/>
      </c>
      <c r="B267" s="8"/>
      <c r="C267" s="8"/>
      <c r="D267" s="8"/>
      <c r="E267" s="8" t="str">
        <f ca="1">IFERROR(_xludf.XLOOKUP(D267,STUDENTS!$A$5:$A$204,STUDENTS!$C$5:$C$204,""),"")</f>
        <v/>
      </c>
      <c r="F267" s="8" t="str">
        <f ca="1">IFERROR(_xludf.XLOOKUP(D267,STUDENTS!$A$5:$A$204,STUDENTS!$L$5:$L$204,""),"")</f>
        <v/>
      </c>
      <c r="G267" s="8"/>
      <c r="H267" s="14"/>
      <c r="I267" s="14"/>
      <c r="J267" s="15" t="str">
        <f>IF(H267="","",H267*SETTINGS!$B$9)</f>
        <v/>
      </c>
      <c r="K267" s="15" t="str">
        <f>IF(I267="","",I267*SETTINGS!$B$10)</f>
        <v/>
      </c>
      <c r="L267" s="15" t="str">
        <f t="shared" si="17"/>
        <v/>
      </c>
      <c r="M267" s="10" t="str">
        <f t="shared" si="18"/>
        <v/>
      </c>
      <c r="N267" s="10" t="str">
        <f t="shared" si="19"/>
        <v/>
      </c>
      <c r="O267" s="8"/>
    </row>
    <row r="268" spans="1:15" x14ac:dyDescent="0.2">
      <c r="A268" s="10" t="str">
        <f t="shared" si="16"/>
        <v/>
      </c>
      <c r="B268" s="8"/>
      <c r="C268" s="8"/>
      <c r="D268" s="8"/>
      <c r="E268" s="8" t="str">
        <f ca="1">IFERROR(_xludf.XLOOKUP(D268,STUDENTS!$A$5:$A$204,STUDENTS!$C$5:$C$204,""),"")</f>
        <v/>
      </c>
      <c r="F268" s="8" t="str">
        <f ca="1">IFERROR(_xludf.XLOOKUP(D268,STUDENTS!$A$5:$A$204,STUDENTS!$L$5:$L$204,""),"")</f>
        <v/>
      </c>
      <c r="G268" s="8"/>
      <c r="H268" s="14"/>
      <c r="I268" s="14"/>
      <c r="J268" s="15" t="str">
        <f>IF(H268="","",H268*SETTINGS!$B$9)</f>
        <v/>
      </c>
      <c r="K268" s="15" t="str">
        <f>IF(I268="","",I268*SETTINGS!$B$10)</f>
        <v/>
      </c>
      <c r="L268" s="15" t="str">
        <f t="shared" si="17"/>
        <v/>
      </c>
      <c r="M268" s="10" t="str">
        <f t="shared" si="18"/>
        <v/>
      </c>
      <c r="N268" s="10" t="str">
        <f t="shared" si="19"/>
        <v/>
      </c>
      <c r="O268" s="8"/>
    </row>
    <row r="269" spans="1:15" x14ac:dyDescent="0.2">
      <c r="A269" s="10" t="str">
        <f t="shared" si="16"/>
        <v/>
      </c>
      <c r="B269" s="8"/>
      <c r="C269" s="8"/>
      <c r="D269" s="8"/>
      <c r="E269" s="8" t="str">
        <f ca="1">IFERROR(_xludf.XLOOKUP(D269,STUDENTS!$A$5:$A$204,STUDENTS!$C$5:$C$204,""),"")</f>
        <v/>
      </c>
      <c r="F269" s="8" t="str">
        <f ca="1">IFERROR(_xludf.XLOOKUP(D269,STUDENTS!$A$5:$A$204,STUDENTS!$L$5:$L$204,""),"")</f>
        <v/>
      </c>
      <c r="G269" s="8"/>
      <c r="H269" s="14"/>
      <c r="I269" s="14"/>
      <c r="J269" s="15" t="str">
        <f>IF(H269="","",H269*SETTINGS!$B$9)</f>
        <v/>
      </c>
      <c r="K269" s="15" t="str">
        <f>IF(I269="","",I269*SETTINGS!$B$10)</f>
        <v/>
      </c>
      <c r="L269" s="15" t="str">
        <f t="shared" si="17"/>
        <v/>
      </c>
      <c r="M269" s="10" t="str">
        <f t="shared" si="18"/>
        <v/>
      </c>
      <c r="N269" s="10" t="str">
        <f t="shared" si="19"/>
        <v/>
      </c>
      <c r="O269" s="8"/>
    </row>
    <row r="270" spans="1:15" x14ac:dyDescent="0.2">
      <c r="A270" s="10" t="str">
        <f t="shared" si="16"/>
        <v/>
      </c>
      <c r="B270" s="8"/>
      <c r="C270" s="8"/>
      <c r="D270" s="8"/>
      <c r="E270" s="8" t="str">
        <f ca="1">IFERROR(_xludf.XLOOKUP(D270,STUDENTS!$A$5:$A$204,STUDENTS!$C$5:$C$204,""),"")</f>
        <v/>
      </c>
      <c r="F270" s="8" t="str">
        <f ca="1">IFERROR(_xludf.XLOOKUP(D270,STUDENTS!$A$5:$A$204,STUDENTS!$L$5:$L$204,""),"")</f>
        <v/>
      </c>
      <c r="G270" s="8"/>
      <c r="H270" s="14"/>
      <c r="I270" s="14"/>
      <c r="J270" s="15" t="str">
        <f>IF(H270="","",H270*SETTINGS!$B$9)</f>
        <v/>
      </c>
      <c r="K270" s="15" t="str">
        <f>IF(I270="","",I270*SETTINGS!$B$10)</f>
        <v/>
      </c>
      <c r="L270" s="15" t="str">
        <f t="shared" si="17"/>
        <v/>
      </c>
      <c r="M270" s="10" t="str">
        <f t="shared" si="18"/>
        <v/>
      </c>
      <c r="N270" s="10" t="str">
        <f t="shared" si="19"/>
        <v/>
      </c>
      <c r="O270" s="8"/>
    </row>
    <row r="271" spans="1:15" x14ac:dyDescent="0.2">
      <c r="A271" s="10" t="str">
        <f t="shared" si="16"/>
        <v/>
      </c>
      <c r="B271" s="8"/>
      <c r="C271" s="8"/>
      <c r="D271" s="8"/>
      <c r="E271" s="8" t="str">
        <f ca="1">IFERROR(_xludf.XLOOKUP(D271,STUDENTS!$A$5:$A$204,STUDENTS!$C$5:$C$204,""),"")</f>
        <v/>
      </c>
      <c r="F271" s="8" t="str">
        <f ca="1">IFERROR(_xludf.XLOOKUP(D271,STUDENTS!$A$5:$A$204,STUDENTS!$L$5:$L$204,""),"")</f>
        <v/>
      </c>
      <c r="G271" s="8"/>
      <c r="H271" s="14"/>
      <c r="I271" s="14"/>
      <c r="J271" s="15" t="str">
        <f>IF(H271="","",H271*SETTINGS!$B$9)</f>
        <v/>
      </c>
      <c r="K271" s="15" t="str">
        <f>IF(I271="","",I271*SETTINGS!$B$10)</f>
        <v/>
      </c>
      <c r="L271" s="15" t="str">
        <f t="shared" si="17"/>
        <v/>
      </c>
      <c r="M271" s="10" t="str">
        <f t="shared" si="18"/>
        <v/>
      </c>
      <c r="N271" s="10" t="str">
        <f t="shared" si="19"/>
        <v/>
      </c>
      <c r="O271" s="8"/>
    </row>
    <row r="272" spans="1:15" x14ac:dyDescent="0.2">
      <c r="A272" s="10" t="str">
        <f t="shared" si="16"/>
        <v/>
      </c>
      <c r="B272" s="8"/>
      <c r="C272" s="8"/>
      <c r="D272" s="8"/>
      <c r="E272" s="8" t="str">
        <f ca="1">IFERROR(_xludf.XLOOKUP(D272,STUDENTS!$A$5:$A$204,STUDENTS!$C$5:$C$204,""),"")</f>
        <v/>
      </c>
      <c r="F272" s="8" t="str">
        <f ca="1">IFERROR(_xludf.XLOOKUP(D272,STUDENTS!$A$5:$A$204,STUDENTS!$L$5:$L$204,""),"")</f>
        <v/>
      </c>
      <c r="G272" s="8"/>
      <c r="H272" s="14"/>
      <c r="I272" s="14"/>
      <c r="J272" s="15" t="str">
        <f>IF(H272="","",H272*SETTINGS!$B$9)</f>
        <v/>
      </c>
      <c r="K272" s="15" t="str">
        <f>IF(I272="","",I272*SETTINGS!$B$10)</f>
        <v/>
      </c>
      <c r="L272" s="15" t="str">
        <f t="shared" si="17"/>
        <v/>
      </c>
      <c r="M272" s="10" t="str">
        <f t="shared" si="18"/>
        <v/>
      </c>
      <c r="N272" s="10" t="str">
        <f t="shared" si="19"/>
        <v/>
      </c>
      <c r="O272" s="8"/>
    </row>
    <row r="273" spans="1:15" x14ac:dyDescent="0.2">
      <c r="A273" s="10" t="str">
        <f t="shared" si="16"/>
        <v/>
      </c>
      <c r="B273" s="8"/>
      <c r="C273" s="8"/>
      <c r="D273" s="8"/>
      <c r="E273" s="8" t="str">
        <f ca="1">IFERROR(_xludf.XLOOKUP(D273,STUDENTS!$A$5:$A$204,STUDENTS!$C$5:$C$204,""),"")</f>
        <v/>
      </c>
      <c r="F273" s="8" t="str">
        <f ca="1">IFERROR(_xludf.XLOOKUP(D273,STUDENTS!$A$5:$A$204,STUDENTS!$L$5:$L$204,""),"")</f>
        <v/>
      </c>
      <c r="G273" s="8"/>
      <c r="H273" s="14"/>
      <c r="I273" s="14"/>
      <c r="J273" s="15" t="str">
        <f>IF(H273="","",H273*SETTINGS!$B$9)</f>
        <v/>
      </c>
      <c r="K273" s="15" t="str">
        <f>IF(I273="","",I273*SETTINGS!$B$10)</f>
        <v/>
      </c>
      <c r="L273" s="15" t="str">
        <f t="shared" si="17"/>
        <v/>
      </c>
      <c r="M273" s="10" t="str">
        <f t="shared" si="18"/>
        <v/>
      </c>
      <c r="N273" s="10" t="str">
        <f t="shared" si="19"/>
        <v/>
      </c>
      <c r="O273" s="8"/>
    </row>
    <row r="274" spans="1:15" x14ac:dyDescent="0.2">
      <c r="A274" s="10" t="str">
        <f t="shared" si="16"/>
        <v/>
      </c>
      <c r="B274" s="8"/>
      <c r="C274" s="8"/>
      <c r="D274" s="8"/>
      <c r="E274" s="8" t="str">
        <f ca="1">IFERROR(_xludf.XLOOKUP(D274,STUDENTS!$A$5:$A$204,STUDENTS!$C$5:$C$204,""),"")</f>
        <v/>
      </c>
      <c r="F274" s="8" t="str">
        <f ca="1">IFERROR(_xludf.XLOOKUP(D274,STUDENTS!$A$5:$A$204,STUDENTS!$L$5:$L$204,""),"")</f>
        <v/>
      </c>
      <c r="G274" s="8"/>
      <c r="H274" s="14"/>
      <c r="I274" s="14"/>
      <c r="J274" s="15" t="str">
        <f>IF(H274="","",H274*SETTINGS!$B$9)</f>
        <v/>
      </c>
      <c r="K274" s="15" t="str">
        <f>IF(I274="","",I274*SETTINGS!$B$10)</f>
        <v/>
      </c>
      <c r="L274" s="15" t="str">
        <f t="shared" si="17"/>
        <v/>
      </c>
      <c r="M274" s="10" t="str">
        <f t="shared" si="18"/>
        <v/>
      </c>
      <c r="N274" s="10" t="str">
        <f t="shared" si="19"/>
        <v/>
      </c>
      <c r="O274" s="8"/>
    </row>
    <row r="275" spans="1:15" x14ac:dyDescent="0.2">
      <c r="A275" s="10" t="str">
        <f t="shared" si="16"/>
        <v/>
      </c>
      <c r="B275" s="8"/>
      <c r="C275" s="8"/>
      <c r="D275" s="8"/>
      <c r="E275" s="8" t="str">
        <f ca="1">IFERROR(_xludf.XLOOKUP(D275,STUDENTS!$A$5:$A$204,STUDENTS!$C$5:$C$204,""),"")</f>
        <v/>
      </c>
      <c r="F275" s="8" t="str">
        <f ca="1">IFERROR(_xludf.XLOOKUP(D275,STUDENTS!$A$5:$A$204,STUDENTS!$L$5:$L$204,""),"")</f>
        <v/>
      </c>
      <c r="G275" s="8"/>
      <c r="H275" s="14"/>
      <c r="I275" s="14"/>
      <c r="J275" s="15" t="str">
        <f>IF(H275="","",H275*SETTINGS!$B$9)</f>
        <v/>
      </c>
      <c r="K275" s="15" t="str">
        <f>IF(I275="","",I275*SETTINGS!$B$10)</f>
        <v/>
      </c>
      <c r="L275" s="15" t="str">
        <f t="shared" si="17"/>
        <v/>
      </c>
      <c r="M275" s="10" t="str">
        <f t="shared" si="18"/>
        <v/>
      </c>
      <c r="N275" s="10" t="str">
        <f t="shared" si="19"/>
        <v/>
      </c>
      <c r="O275" s="8"/>
    </row>
    <row r="276" spans="1:15" x14ac:dyDescent="0.2">
      <c r="A276" s="10" t="str">
        <f t="shared" si="16"/>
        <v/>
      </c>
      <c r="B276" s="8"/>
      <c r="C276" s="8"/>
      <c r="D276" s="8"/>
      <c r="E276" s="8" t="str">
        <f ca="1">IFERROR(_xludf.XLOOKUP(D276,STUDENTS!$A$5:$A$204,STUDENTS!$C$5:$C$204,""),"")</f>
        <v/>
      </c>
      <c r="F276" s="8" t="str">
        <f ca="1">IFERROR(_xludf.XLOOKUP(D276,STUDENTS!$A$5:$A$204,STUDENTS!$L$5:$L$204,""),"")</f>
        <v/>
      </c>
      <c r="G276" s="8"/>
      <c r="H276" s="14"/>
      <c r="I276" s="14"/>
      <c r="J276" s="15" t="str">
        <f>IF(H276="","",H276*SETTINGS!$B$9)</f>
        <v/>
      </c>
      <c r="K276" s="15" t="str">
        <f>IF(I276="","",I276*SETTINGS!$B$10)</f>
        <v/>
      </c>
      <c r="L276" s="15" t="str">
        <f t="shared" si="17"/>
        <v/>
      </c>
      <c r="M276" s="10" t="str">
        <f t="shared" si="18"/>
        <v/>
      </c>
      <c r="N276" s="10" t="str">
        <f t="shared" si="19"/>
        <v/>
      </c>
      <c r="O276" s="8"/>
    </row>
    <row r="277" spans="1:15" x14ac:dyDescent="0.2">
      <c r="A277" s="10" t="str">
        <f t="shared" si="16"/>
        <v/>
      </c>
      <c r="B277" s="8"/>
      <c r="C277" s="8"/>
      <c r="D277" s="8"/>
      <c r="E277" s="8" t="str">
        <f ca="1">IFERROR(_xludf.XLOOKUP(D277,STUDENTS!$A$5:$A$204,STUDENTS!$C$5:$C$204,""),"")</f>
        <v/>
      </c>
      <c r="F277" s="8" t="str">
        <f ca="1">IFERROR(_xludf.XLOOKUP(D277,STUDENTS!$A$5:$A$204,STUDENTS!$L$5:$L$204,""),"")</f>
        <v/>
      </c>
      <c r="G277" s="8"/>
      <c r="H277" s="14"/>
      <c r="I277" s="14"/>
      <c r="J277" s="15" t="str">
        <f>IF(H277="","",H277*SETTINGS!$B$9)</f>
        <v/>
      </c>
      <c r="K277" s="15" t="str">
        <f>IF(I277="","",I277*SETTINGS!$B$10)</f>
        <v/>
      </c>
      <c r="L277" s="15" t="str">
        <f t="shared" si="17"/>
        <v/>
      </c>
      <c r="M277" s="10" t="str">
        <f t="shared" si="18"/>
        <v/>
      </c>
      <c r="N277" s="10" t="str">
        <f t="shared" si="19"/>
        <v/>
      </c>
      <c r="O277" s="8"/>
    </row>
    <row r="278" spans="1:15" x14ac:dyDescent="0.2">
      <c r="A278" s="10" t="str">
        <f t="shared" si="16"/>
        <v/>
      </c>
      <c r="B278" s="8"/>
      <c r="C278" s="8"/>
      <c r="D278" s="8"/>
      <c r="E278" s="8" t="str">
        <f ca="1">IFERROR(_xludf.XLOOKUP(D278,STUDENTS!$A$5:$A$204,STUDENTS!$C$5:$C$204,""),"")</f>
        <v/>
      </c>
      <c r="F278" s="8" t="str">
        <f ca="1">IFERROR(_xludf.XLOOKUP(D278,STUDENTS!$A$5:$A$204,STUDENTS!$L$5:$L$204,""),"")</f>
        <v/>
      </c>
      <c r="G278" s="8"/>
      <c r="H278" s="14"/>
      <c r="I278" s="14"/>
      <c r="J278" s="15" t="str">
        <f>IF(H278="","",H278*SETTINGS!$B$9)</f>
        <v/>
      </c>
      <c r="K278" s="15" t="str">
        <f>IF(I278="","",I278*SETTINGS!$B$10)</f>
        <v/>
      </c>
      <c r="L278" s="15" t="str">
        <f t="shared" si="17"/>
        <v/>
      </c>
      <c r="M278" s="10" t="str">
        <f t="shared" si="18"/>
        <v/>
      </c>
      <c r="N278" s="10" t="str">
        <f t="shared" si="19"/>
        <v/>
      </c>
      <c r="O278" s="8"/>
    </row>
    <row r="279" spans="1:15" x14ac:dyDescent="0.2">
      <c r="A279" s="10" t="str">
        <f t="shared" si="16"/>
        <v/>
      </c>
      <c r="B279" s="8"/>
      <c r="C279" s="8"/>
      <c r="D279" s="8"/>
      <c r="E279" s="8" t="str">
        <f ca="1">IFERROR(_xludf.XLOOKUP(D279,STUDENTS!$A$5:$A$204,STUDENTS!$C$5:$C$204,""),"")</f>
        <v/>
      </c>
      <c r="F279" s="8" t="str">
        <f ca="1">IFERROR(_xludf.XLOOKUP(D279,STUDENTS!$A$5:$A$204,STUDENTS!$L$5:$L$204,""),"")</f>
        <v/>
      </c>
      <c r="G279" s="8"/>
      <c r="H279" s="14"/>
      <c r="I279" s="14"/>
      <c r="J279" s="15" t="str">
        <f>IF(H279="","",H279*SETTINGS!$B$9)</f>
        <v/>
      </c>
      <c r="K279" s="15" t="str">
        <f>IF(I279="","",I279*SETTINGS!$B$10)</f>
        <v/>
      </c>
      <c r="L279" s="15" t="str">
        <f t="shared" si="17"/>
        <v/>
      </c>
      <c r="M279" s="10" t="str">
        <f t="shared" si="18"/>
        <v/>
      </c>
      <c r="N279" s="10" t="str">
        <f t="shared" si="19"/>
        <v/>
      </c>
      <c r="O279" s="8"/>
    </row>
    <row r="280" spans="1:15" x14ac:dyDescent="0.2">
      <c r="A280" s="10" t="str">
        <f t="shared" si="16"/>
        <v/>
      </c>
      <c r="B280" s="8"/>
      <c r="C280" s="8"/>
      <c r="D280" s="8"/>
      <c r="E280" s="8" t="str">
        <f ca="1">IFERROR(_xludf.XLOOKUP(D280,STUDENTS!$A$5:$A$204,STUDENTS!$C$5:$C$204,""),"")</f>
        <v/>
      </c>
      <c r="F280" s="8" t="str">
        <f ca="1">IFERROR(_xludf.XLOOKUP(D280,STUDENTS!$A$5:$A$204,STUDENTS!$L$5:$L$204,""),"")</f>
        <v/>
      </c>
      <c r="G280" s="8"/>
      <c r="H280" s="14"/>
      <c r="I280" s="14"/>
      <c r="J280" s="15" t="str">
        <f>IF(H280="","",H280*SETTINGS!$B$9)</f>
        <v/>
      </c>
      <c r="K280" s="15" t="str">
        <f>IF(I280="","",I280*SETTINGS!$B$10)</f>
        <v/>
      </c>
      <c r="L280" s="15" t="str">
        <f t="shared" si="17"/>
        <v/>
      </c>
      <c r="M280" s="10" t="str">
        <f t="shared" si="18"/>
        <v/>
      </c>
      <c r="N280" s="10" t="str">
        <f t="shared" si="19"/>
        <v/>
      </c>
      <c r="O280" s="8"/>
    </row>
    <row r="281" spans="1:15" x14ac:dyDescent="0.2">
      <c r="A281" s="10" t="str">
        <f t="shared" si="16"/>
        <v/>
      </c>
      <c r="B281" s="8"/>
      <c r="C281" s="8"/>
      <c r="D281" s="8"/>
      <c r="E281" s="8" t="str">
        <f ca="1">IFERROR(_xludf.XLOOKUP(D281,STUDENTS!$A$5:$A$204,STUDENTS!$C$5:$C$204,""),"")</f>
        <v/>
      </c>
      <c r="F281" s="8" t="str">
        <f ca="1">IFERROR(_xludf.XLOOKUP(D281,STUDENTS!$A$5:$A$204,STUDENTS!$L$5:$L$204,""),"")</f>
        <v/>
      </c>
      <c r="G281" s="8"/>
      <c r="H281" s="14"/>
      <c r="I281" s="14"/>
      <c r="J281" s="15" t="str">
        <f>IF(H281="","",H281*SETTINGS!$B$9)</f>
        <v/>
      </c>
      <c r="K281" s="15" t="str">
        <f>IF(I281="","",I281*SETTINGS!$B$10)</f>
        <v/>
      </c>
      <c r="L281" s="15" t="str">
        <f t="shared" si="17"/>
        <v/>
      </c>
      <c r="M281" s="10" t="str">
        <f t="shared" si="18"/>
        <v/>
      </c>
      <c r="N281" s="10" t="str">
        <f t="shared" si="19"/>
        <v/>
      </c>
      <c r="O281" s="8"/>
    </row>
    <row r="282" spans="1:15" x14ac:dyDescent="0.2">
      <c r="A282" s="10" t="str">
        <f t="shared" si="16"/>
        <v/>
      </c>
      <c r="B282" s="8"/>
      <c r="C282" s="8"/>
      <c r="D282" s="8"/>
      <c r="E282" s="8" t="str">
        <f ca="1">IFERROR(_xludf.XLOOKUP(D282,STUDENTS!$A$5:$A$204,STUDENTS!$C$5:$C$204,""),"")</f>
        <v/>
      </c>
      <c r="F282" s="8" t="str">
        <f ca="1">IFERROR(_xludf.XLOOKUP(D282,STUDENTS!$A$5:$A$204,STUDENTS!$L$5:$L$204,""),"")</f>
        <v/>
      </c>
      <c r="G282" s="8"/>
      <c r="H282" s="14"/>
      <c r="I282" s="14"/>
      <c r="J282" s="15" t="str">
        <f>IF(H282="","",H282*SETTINGS!$B$9)</f>
        <v/>
      </c>
      <c r="K282" s="15" t="str">
        <f>IF(I282="","",I282*SETTINGS!$B$10)</f>
        <v/>
      </c>
      <c r="L282" s="15" t="str">
        <f t="shared" si="17"/>
        <v/>
      </c>
      <c r="M282" s="10" t="str">
        <f t="shared" si="18"/>
        <v/>
      </c>
      <c r="N282" s="10" t="str">
        <f t="shared" si="19"/>
        <v/>
      </c>
      <c r="O282" s="8"/>
    </row>
    <row r="283" spans="1:15" x14ac:dyDescent="0.2">
      <c r="A283" s="10" t="str">
        <f t="shared" si="16"/>
        <v/>
      </c>
      <c r="B283" s="8"/>
      <c r="C283" s="8"/>
      <c r="D283" s="8"/>
      <c r="E283" s="8" t="str">
        <f ca="1">IFERROR(_xludf.XLOOKUP(D283,STUDENTS!$A$5:$A$204,STUDENTS!$C$5:$C$204,""),"")</f>
        <v/>
      </c>
      <c r="F283" s="8" t="str">
        <f ca="1">IFERROR(_xludf.XLOOKUP(D283,STUDENTS!$A$5:$A$204,STUDENTS!$L$5:$L$204,""),"")</f>
        <v/>
      </c>
      <c r="G283" s="8"/>
      <c r="H283" s="14"/>
      <c r="I283" s="14"/>
      <c r="J283" s="15" t="str">
        <f>IF(H283="","",H283*SETTINGS!$B$9)</f>
        <v/>
      </c>
      <c r="K283" s="15" t="str">
        <f>IF(I283="","",I283*SETTINGS!$B$10)</f>
        <v/>
      </c>
      <c r="L283" s="15" t="str">
        <f t="shared" si="17"/>
        <v/>
      </c>
      <c r="M283" s="10" t="str">
        <f t="shared" si="18"/>
        <v/>
      </c>
      <c r="N283" s="10" t="str">
        <f t="shared" si="19"/>
        <v/>
      </c>
      <c r="O283" s="8"/>
    </row>
    <row r="284" spans="1:15" x14ac:dyDescent="0.2">
      <c r="A284" s="10" t="str">
        <f t="shared" si="16"/>
        <v/>
      </c>
      <c r="B284" s="8"/>
      <c r="C284" s="8"/>
      <c r="D284" s="8"/>
      <c r="E284" s="8" t="str">
        <f ca="1">IFERROR(_xludf.XLOOKUP(D284,STUDENTS!$A$5:$A$204,STUDENTS!$C$5:$C$204,""),"")</f>
        <v/>
      </c>
      <c r="F284" s="8" t="str">
        <f ca="1">IFERROR(_xludf.XLOOKUP(D284,STUDENTS!$A$5:$A$204,STUDENTS!$L$5:$L$204,""),"")</f>
        <v/>
      </c>
      <c r="G284" s="8"/>
      <c r="H284" s="14"/>
      <c r="I284" s="14"/>
      <c r="J284" s="15" t="str">
        <f>IF(H284="","",H284*SETTINGS!$B$9)</f>
        <v/>
      </c>
      <c r="K284" s="15" t="str">
        <f>IF(I284="","",I284*SETTINGS!$B$10)</f>
        <v/>
      </c>
      <c r="L284" s="15" t="str">
        <f t="shared" si="17"/>
        <v/>
      </c>
      <c r="M284" s="10" t="str">
        <f t="shared" si="18"/>
        <v/>
      </c>
      <c r="N284" s="10" t="str">
        <f t="shared" si="19"/>
        <v/>
      </c>
      <c r="O284" s="8"/>
    </row>
    <row r="285" spans="1:15" x14ac:dyDescent="0.2">
      <c r="A285" s="10" t="str">
        <f t="shared" si="16"/>
        <v/>
      </c>
      <c r="B285" s="8"/>
      <c r="C285" s="8"/>
      <c r="D285" s="8"/>
      <c r="E285" s="8" t="str">
        <f ca="1">IFERROR(_xludf.XLOOKUP(D285,STUDENTS!$A$5:$A$204,STUDENTS!$C$5:$C$204,""),"")</f>
        <v/>
      </c>
      <c r="F285" s="8" t="str">
        <f ca="1">IFERROR(_xludf.XLOOKUP(D285,STUDENTS!$A$5:$A$204,STUDENTS!$L$5:$L$204,""),"")</f>
        <v/>
      </c>
      <c r="G285" s="8"/>
      <c r="H285" s="14"/>
      <c r="I285" s="14"/>
      <c r="J285" s="15" t="str">
        <f>IF(H285="","",H285*SETTINGS!$B$9)</f>
        <v/>
      </c>
      <c r="K285" s="15" t="str">
        <f>IF(I285="","",I285*SETTINGS!$B$10)</f>
        <v/>
      </c>
      <c r="L285" s="15" t="str">
        <f t="shared" si="17"/>
        <v/>
      </c>
      <c r="M285" s="10" t="str">
        <f t="shared" si="18"/>
        <v/>
      </c>
      <c r="N285" s="10" t="str">
        <f t="shared" si="19"/>
        <v/>
      </c>
      <c r="O285" s="8"/>
    </row>
    <row r="286" spans="1:15" x14ac:dyDescent="0.2">
      <c r="A286" s="10" t="str">
        <f t="shared" si="16"/>
        <v/>
      </c>
      <c r="B286" s="8"/>
      <c r="C286" s="8"/>
      <c r="D286" s="8"/>
      <c r="E286" s="8" t="str">
        <f ca="1">IFERROR(_xludf.XLOOKUP(D286,STUDENTS!$A$5:$A$204,STUDENTS!$C$5:$C$204,""),"")</f>
        <v/>
      </c>
      <c r="F286" s="8" t="str">
        <f ca="1">IFERROR(_xludf.XLOOKUP(D286,STUDENTS!$A$5:$A$204,STUDENTS!$L$5:$L$204,""),"")</f>
        <v/>
      </c>
      <c r="G286" s="8"/>
      <c r="H286" s="14"/>
      <c r="I286" s="14"/>
      <c r="J286" s="15" t="str">
        <f>IF(H286="","",H286*SETTINGS!$B$9)</f>
        <v/>
      </c>
      <c r="K286" s="15" t="str">
        <f>IF(I286="","",I286*SETTINGS!$B$10)</f>
        <v/>
      </c>
      <c r="L286" s="15" t="str">
        <f t="shared" si="17"/>
        <v/>
      </c>
      <c r="M286" s="10" t="str">
        <f t="shared" si="18"/>
        <v/>
      </c>
      <c r="N286" s="10" t="str">
        <f t="shared" si="19"/>
        <v/>
      </c>
      <c r="O286" s="8"/>
    </row>
    <row r="287" spans="1:15" x14ac:dyDescent="0.2">
      <c r="A287" s="10" t="str">
        <f t="shared" si="16"/>
        <v/>
      </c>
      <c r="B287" s="8"/>
      <c r="C287" s="8"/>
      <c r="D287" s="8"/>
      <c r="E287" s="8" t="str">
        <f ca="1">IFERROR(_xludf.XLOOKUP(D287,STUDENTS!$A$5:$A$204,STUDENTS!$C$5:$C$204,""),"")</f>
        <v/>
      </c>
      <c r="F287" s="8" t="str">
        <f ca="1">IFERROR(_xludf.XLOOKUP(D287,STUDENTS!$A$5:$A$204,STUDENTS!$L$5:$L$204,""),"")</f>
        <v/>
      </c>
      <c r="G287" s="8"/>
      <c r="H287" s="14"/>
      <c r="I287" s="14"/>
      <c r="J287" s="15" t="str">
        <f>IF(H287="","",H287*SETTINGS!$B$9)</f>
        <v/>
      </c>
      <c r="K287" s="15" t="str">
        <f>IF(I287="","",I287*SETTINGS!$B$10)</f>
        <v/>
      </c>
      <c r="L287" s="15" t="str">
        <f t="shared" si="17"/>
        <v/>
      </c>
      <c r="M287" s="10" t="str">
        <f t="shared" si="18"/>
        <v/>
      </c>
      <c r="N287" s="10" t="str">
        <f t="shared" si="19"/>
        <v/>
      </c>
      <c r="O287" s="8"/>
    </row>
    <row r="288" spans="1:15" x14ac:dyDescent="0.2">
      <c r="A288" s="10" t="str">
        <f t="shared" si="16"/>
        <v/>
      </c>
      <c r="B288" s="8"/>
      <c r="C288" s="8"/>
      <c r="D288" s="8"/>
      <c r="E288" s="8" t="str">
        <f ca="1">IFERROR(_xludf.XLOOKUP(D288,STUDENTS!$A$5:$A$204,STUDENTS!$C$5:$C$204,""),"")</f>
        <v/>
      </c>
      <c r="F288" s="8" t="str">
        <f ca="1">IFERROR(_xludf.XLOOKUP(D288,STUDENTS!$A$5:$A$204,STUDENTS!$L$5:$L$204,""),"")</f>
        <v/>
      </c>
      <c r="G288" s="8"/>
      <c r="H288" s="14"/>
      <c r="I288" s="14"/>
      <c r="J288" s="15" t="str">
        <f>IF(H288="","",H288*SETTINGS!$B$9)</f>
        <v/>
      </c>
      <c r="K288" s="15" t="str">
        <f>IF(I288="","",I288*SETTINGS!$B$10)</f>
        <v/>
      </c>
      <c r="L288" s="15" t="str">
        <f t="shared" si="17"/>
        <v/>
      </c>
      <c r="M288" s="10" t="str">
        <f t="shared" si="18"/>
        <v/>
      </c>
      <c r="N288" s="10" t="str">
        <f t="shared" si="19"/>
        <v/>
      </c>
      <c r="O288" s="8"/>
    </row>
    <row r="289" spans="1:15" x14ac:dyDescent="0.2">
      <c r="A289" s="10" t="str">
        <f t="shared" si="16"/>
        <v/>
      </c>
      <c r="B289" s="8"/>
      <c r="C289" s="8"/>
      <c r="D289" s="8"/>
      <c r="E289" s="8" t="str">
        <f ca="1">IFERROR(_xludf.XLOOKUP(D289,STUDENTS!$A$5:$A$204,STUDENTS!$C$5:$C$204,""),"")</f>
        <v/>
      </c>
      <c r="F289" s="8" t="str">
        <f ca="1">IFERROR(_xludf.XLOOKUP(D289,STUDENTS!$A$5:$A$204,STUDENTS!$L$5:$L$204,""),"")</f>
        <v/>
      </c>
      <c r="G289" s="8"/>
      <c r="H289" s="14"/>
      <c r="I289" s="14"/>
      <c r="J289" s="15" t="str">
        <f>IF(H289="","",H289*SETTINGS!$B$9)</f>
        <v/>
      </c>
      <c r="K289" s="15" t="str">
        <f>IF(I289="","",I289*SETTINGS!$B$10)</f>
        <v/>
      </c>
      <c r="L289" s="15" t="str">
        <f t="shared" si="17"/>
        <v/>
      </c>
      <c r="M289" s="10" t="str">
        <f t="shared" si="18"/>
        <v/>
      </c>
      <c r="N289" s="10" t="str">
        <f t="shared" si="19"/>
        <v/>
      </c>
      <c r="O289" s="8"/>
    </row>
    <row r="290" spans="1:15" x14ac:dyDescent="0.2">
      <c r="A290" s="10" t="str">
        <f t="shared" si="16"/>
        <v/>
      </c>
      <c r="B290" s="8"/>
      <c r="C290" s="8"/>
      <c r="D290" s="8"/>
      <c r="E290" s="8" t="str">
        <f ca="1">IFERROR(_xludf.XLOOKUP(D290,STUDENTS!$A$5:$A$204,STUDENTS!$C$5:$C$204,""),"")</f>
        <v/>
      </c>
      <c r="F290" s="8" t="str">
        <f ca="1">IFERROR(_xludf.XLOOKUP(D290,STUDENTS!$A$5:$A$204,STUDENTS!$L$5:$L$204,""),"")</f>
        <v/>
      </c>
      <c r="G290" s="8"/>
      <c r="H290" s="14"/>
      <c r="I290" s="14"/>
      <c r="J290" s="15" t="str">
        <f>IF(H290="","",H290*SETTINGS!$B$9)</f>
        <v/>
      </c>
      <c r="K290" s="15" t="str">
        <f>IF(I290="","",I290*SETTINGS!$B$10)</f>
        <v/>
      </c>
      <c r="L290" s="15" t="str">
        <f t="shared" si="17"/>
        <v/>
      </c>
      <c r="M290" s="10" t="str">
        <f t="shared" si="18"/>
        <v/>
      </c>
      <c r="N290" s="10" t="str">
        <f t="shared" si="19"/>
        <v/>
      </c>
      <c r="O290" s="8"/>
    </row>
    <row r="291" spans="1:15" x14ac:dyDescent="0.2">
      <c r="A291" s="10" t="str">
        <f t="shared" si="16"/>
        <v/>
      </c>
      <c r="B291" s="8"/>
      <c r="C291" s="8"/>
      <c r="D291" s="8"/>
      <c r="E291" s="8" t="str">
        <f ca="1">IFERROR(_xludf.XLOOKUP(D291,STUDENTS!$A$5:$A$204,STUDENTS!$C$5:$C$204,""),"")</f>
        <v/>
      </c>
      <c r="F291" s="8" t="str">
        <f ca="1">IFERROR(_xludf.XLOOKUP(D291,STUDENTS!$A$5:$A$204,STUDENTS!$L$5:$L$204,""),"")</f>
        <v/>
      </c>
      <c r="G291" s="8"/>
      <c r="H291" s="14"/>
      <c r="I291" s="14"/>
      <c r="J291" s="15" t="str">
        <f>IF(H291="","",H291*SETTINGS!$B$9)</f>
        <v/>
      </c>
      <c r="K291" s="15" t="str">
        <f>IF(I291="","",I291*SETTINGS!$B$10)</f>
        <v/>
      </c>
      <c r="L291" s="15" t="str">
        <f t="shared" si="17"/>
        <v/>
      </c>
      <c r="M291" s="10" t="str">
        <f t="shared" si="18"/>
        <v/>
      </c>
      <c r="N291" s="10" t="str">
        <f t="shared" si="19"/>
        <v/>
      </c>
      <c r="O291" s="8"/>
    </row>
    <row r="292" spans="1:15" x14ac:dyDescent="0.2">
      <c r="A292" s="10" t="str">
        <f t="shared" si="16"/>
        <v/>
      </c>
      <c r="B292" s="8"/>
      <c r="C292" s="8"/>
      <c r="D292" s="8"/>
      <c r="E292" s="8" t="str">
        <f ca="1">IFERROR(_xludf.XLOOKUP(D292,STUDENTS!$A$5:$A$204,STUDENTS!$C$5:$C$204,""),"")</f>
        <v/>
      </c>
      <c r="F292" s="8" t="str">
        <f ca="1">IFERROR(_xludf.XLOOKUP(D292,STUDENTS!$A$5:$A$204,STUDENTS!$L$5:$L$204,""),"")</f>
        <v/>
      </c>
      <c r="G292" s="8"/>
      <c r="H292" s="14"/>
      <c r="I292" s="14"/>
      <c r="J292" s="15" t="str">
        <f>IF(H292="","",H292*SETTINGS!$B$9)</f>
        <v/>
      </c>
      <c r="K292" s="15" t="str">
        <f>IF(I292="","",I292*SETTINGS!$B$10)</f>
        <v/>
      </c>
      <c r="L292" s="15" t="str">
        <f t="shared" si="17"/>
        <v/>
      </c>
      <c r="M292" s="10" t="str">
        <f t="shared" si="18"/>
        <v/>
      </c>
      <c r="N292" s="10" t="str">
        <f t="shared" si="19"/>
        <v/>
      </c>
      <c r="O292" s="8"/>
    </row>
    <row r="293" spans="1:15" x14ac:dyDescent="0.2">
      <c r="A293" s="10" t="str">
        <f t="shared" si="16"/>
        <v/>
      </c>
      <c r="B293" s="8"/>
      <c r="C293" s="8"/>
      <c r="D293" s="8"/>
      <c r="E293" s="8" t="str">
        <f ca="1">IFERROR(_xludf.XLOOKUP(D293,STUDENTS!$A$5:$A$204,STUDENTS!$C$5:$C$204,""),"")</f>
        <v/>
      </c>
      <c r="F293" s="8" t="str">
        <f ca="1">IFERROR(_xludf.XLOOKUP(D293,STUDENTS!$A$5:$A$204,STUDENTS!$L$5:$L$204,""),"")</f>
        <v/>
      </c>
      <c r="G293" s="8"/>
      <c r="H293" s="14"/>
      <c r="I293" s="14"/>
      <c r="J293" s="15" t="str">
        <f>IF(H293="","",H293*SETTINGS!$B$9)</f>
        <v/>
      </c>
      <c r="K293" s="15" t="str">
        <f>IF(I293="","",I293*SETTINGS!$B$10)</f>
        <v/>
      </c>
      <c r="L293" s="15" t="str">
        <f t="shared" si="17"/>
        <v/>
      </c>
      <c r="M293" s="10" t="str">
        <f t="shared" si="18"/>
        <v/>
      </c>
      <c r="N293" s="10" t="str">
        <f t="shared" si="19"/>
        <v/>
      </c>
      <c r="O293" s="8"/>
    </row>
    <row r="294" spans="1:15" x14ac:dyDescent="0.2">
      <c r="A294" s="10" t="str">
        <f t="shared" si="16"/>
        <v/>
      </c>
      <c r="B294" s="8"/>
      <c r="C294" s="8"/>
      <c r="D294" s="8"/>
      <c r="E294" s="8" t="str">
        <f ca="1">IFERROR(_xludf.XLOOKUP(D294,STUDENTS!$A$5:$A$204,STUDENTS!$C$5:$C$204,""),"")</f>
        <v/>
      </c>
      <c r="F294" s="8" t="str">
        <f ca="1">IFERROR(_xludf.XLOOKUP(D294,STUDENTS!$A$5:$A$204,STUDENTS!$L$5:$L$204,""),"")</f>
        <v/>
      </c>
      <c r="G294" s="8"/>
      <c r="H294" s="14"/>
      <c r="I294" s="14"/>
      <c r="J294" s="15" t="str">
        <f>IF(H294="","",H294*SETTINGS!$B$9)</f>
        <v/>
      </c>
      <c r="K294" s="15" t="str">
        <f>IF(I294="","",I294*SETTINGS!$B$10)</f>
        <v/>
      </c>
      <c r="L294" s="15" t="str">
        <f t="shared" si="17"/>
        <v/>
      </c>
      <c r="M294" s="10" t="str">
        <f t="shared" si="18"/>
        <v/>
      </c>
      <c r="N294" s="10" t="str">
        <f t="shared" si="19"/>
        <v/>
      </c>
      <c r="O294" s="8"/>
    </row>
    <row r="295" spans="1:15" x14ac:dyDescent="0.2">
      <c r="A295" s="10" t="str">
        <f t="shared" si="16"/>
        <v/>
      </c>
      <c r="B295" s="8"/>
      <c r="C295" s="8"/>
      <c r="D295" s="8"/>
      <c r="E295" s="8" t="str">
        <f ca="1">IFERROR(_xludf.XLOOKUP(D295,STUDENTS!$A$5:$A$204,STUDENTS!$C$5:$C$204,""),"")</f>
        <v/>
      </c>
      <c r="F295" s="8" t="str">
        <f ca="1">IFERROR(_xludf.XLOOKUP(D295,STUDENTS!$A$5:$A$204,STUDENTS!$L$5:$L$204,""),"")</f>
        <v/>
      </c>
      <c r="G295" s="8"/>
      <c r="H295" s="14"/>
      <c r="I295" s="14"/>
      <c r="J295" s="15" t="str">
        <f>IF(H295="","",H295*SETTINGS!$B$9)</f>
        <v/>
      </c>
      <c r="K295" s="15" t="str">
        <f>IF(I295="","",I295*SETTINGS!$B$10)</f>
        <v/>
      </c>
      <c r="L295" s="15" t="str">
        <f t="shared" si="17"/>
        <v/>
      </c>
      <c r="M295" s="10" t="str">
        <f t="shared" si="18"/>
        <v/>
      </c>
      <c r="N295" s="10" t="str">
        <f t="shared" si="19"/>
        <v/>
      </c>
      <c r="O295" s="8"/>
    </row>
    <row r="296" spans="1:15" x14ac:dyDescent="0.2">
      <c r="A296" s="10" t="str">
        <f t="shared" si="16"/>
        <v/>
      </c>
      <c r="B296" s="8"/>
      <c r="C296" s="8"/>
      <c r="D296" s="8"/>
      <c r="E296" s="8" t="str">
        <f ca="1">IFERROR(_xludf.XLOOKUP(D296,STUDENTS!$A$5:$A$204,STUDENTS!$C$5:$C$204,""),"")</f>
        <v/>
      </c>
      <c r="F296" s="8" t="str">
        <f ca="1">IFERROR(_xludf.XLOOKUP(D296,STUDENTS!$A$5:$A$204,STUDENTS!$L$5:$L$204,""),"")</f>
        <v/>
      </c>
      <c r="G296" s="8"/>
      <c r="H296" s="14"/>
      <c r="I296" s="14"/>
      <c r="J296" s="15" t="str">
        <f>IF(H296="","",H296*SETTINGS!$B$9)</f>
        <v/>
      </c>
      <c r="K296" s="15" t="str">
        <f>IF(I296="","",I296*SETTINGS!$B$10)</f>
        <v/>
      </c>
      <c r="L296" s="15" t="str">
        <f t="shared" si="17"/>
        <v/>
      </c>
      <c r="M296" s="10" t="str">
        <f t="shared" si="18"/>
        <v/>
      </c>
      <c r="N296" s="10" t="str">
        <f t="shared" si="19"/>
        <v/>
      </c>
      <c r="O296" s="8"/>
    </row>
    <row r="297" spans="1:15" x14ac:dyDescent="0.2">
      <c r="A297" s="10" t="str">
        <f t="shared" si="16"/>
        <v/>
      </c>
      <c r="B297" s="8"/>
      <c r="C297" s="8"/>
      <c r="D297" s="8"/>
      <c r="E297" s="8" t="str">
        <f ca="1">IFERROR(_xludf.XLOOKUP(D297,STUDENTS!$A$5:$A$204,STUDENTS!$C$5:$C$204,""),"")</f>
        <v/>
      </c>
      <c r="F297" s="8" t="str">
        <f ca="1">IFERROR(_xludf.XLOOKUP(D297,STUDENTS!$A$5:$A$204,STUDENTS!$L$5:$L$204,""),"")</f>
        <v/>
      </c>
      <c r="G297" s="8"/>
      <c r="H297" s="14"/>
      <c r="I297" s="14"/>
      <c r="J297" s="15" t="str">
        <f>IF(H297="","",H297*SETTINGS!$B$9)</f>
        <v/>
      </c>
      <c r="K297" s="15" t="str">
        <f>IF(I297="","",I297*SETTINGS!$B$10)</f>
        <v/>
      </c>
      <c r="L297" s="15" t="str">
        <f t="shared" si="17"/>
        <v/>
      </c>
      <c r="M297" s="10" t="str">
        <f t="shared" si="18"/>
        <v/>
      </c>
      <c r="N297" s="10" t="str">
        <f t="shared" si="19"/>
        <v/>
      </c>
      <c r="O297" s="8"/>
    </row>
    <row r="298" spans="1:15" x14ac:dyDescent="0.2">
      <c r="A298" s="10" t="str">
        <f t="shared" si="16"/>
        <v/>
      </c>
      <c r="B298" s="8"/>
      <c r="C298" s="8"/>
      <c r="D298" s="8"/>
      <c r="E298" s="8" t="str">
        <f ca="1">IFERROR(_xludf.XLOOKUP(D298,STUDENTS!$A$5:$A$204,STUDENTS!$C$5:$C$204,""),"")</f>
        <v/>
      </c>
      <c r="F298" s="8" t="str">
        <f ca="1">IFERROR(_xludf.XLOOKUP(D298,STUDENTS!$A$5:$A$204,STUDENTS!$L$5:$L$204,""),"")</f>
        <v/>
      </c>
      <c r="G298" s="8"/>
      <c r="H298" s="14"/>
      <c r="I298" s="14"/>
      <c r="J298" s="15" t="str">
        <f>IF(H298="","",H298*SETTINGS!$B$9)</f>
        <v/>
      </c>
      <c r="K298" s="15" t="str">
        <f>IF(I298="","",I298*SETTINGS!$B$10)</f>
        <v/>
      </c>
      <c r="L298" s="15" t="str">
        <f t="shared" si="17"/>
        <v/>
      </c>
      <c r="M298" s="10" t="str">
        <f t="shared" si="18"/>
        <v/>
      </c>
      <c r="N298" s="10" t="str">
        <f t="shared" si="19"/>
        <v/>
      </c>
      <c r="O298" s="8"/>
    </row>
    <row r="299" spans="1:15" x14ac:dyDescent="0.2">
      <c r="A299" s="10" t="str">
        <f t="shared" si="16"/>
        <v/>
      </c>
      <c r="B299" s="8"/>
      <c r="C299" s="8"/>
      <c r="D299" s="8"/>
      <c r="E299" s="8" t="str">
        <f ca="1">IFERROR(_xludf.XLOOKUP(D299,STUDENTS!$A$5:$A$204,STUDENTS!$C$5:$C$204,""),"")</f>
        <v/>
      </c>
      <c r="F299" s="8" t="str">
        <f ca="1">IFERROR(_xludf.XLOOKUP(D299,STUDENTS!$A$5:$A$204,STUDENTS!$L$5:$L$204,""),"")</f>
        <v/>
      </c>
      <c r="G299" s="8"/>
      <c r="H299" s="14"/>
      <c r="I299" s="14"/>
      <c r="J299" s="15" t="str">
        <f>IF(H299="","",H299*SETTINGS!$B$9)</f>
        <v/>
      </c>
      <c r="K299" s="15" t="str">
        <f>IF(I299="","",I299*SETTINGS!$B$10)</f>
        <v/>
      </c>
      <c r="L299" s="15" t="str">
        <f t="shared" si="17"/>
        <v/>
      </c>
      <c r="M299" s="10" t="str">
        <f t="shared" si="18"/>
        <v/>
      </c>
      <c r="N299" s="10" t="str">
        <f t="shared" si="19"/>
        <v/>
      </c>
      <c r="O299" s="8"/>
    </row>
    <row r="300" spans="1:15" x14ac:dyDescent="0.2">
      <c r="A300" s="10" t="str">
        <f t="shared" si="16"/>
        <v/>
      </c>
      <c r="B300" s="8"/>
      <c r="C300" s="8"/>
      <c r="D300" s="8"/>
      <c r="E300" s="8" t="str">
        <f ca="1">IFERROR(_xludf.XLOOKUP(D300,STUDENTS!$A$5:$A$204,STUDENTS!$C$5:$C$204,""),"")</f>
        <v/>
      </c>
      <c r="F300" s="8" t="str">
        <f ca="1">IFERROR(_xludf.XLOOKUP(D300,STUDENTS!$A$5:$A$204,STUDENTS!$L$5:$L$204,""),"")</f>
        <v/>
      </c>
      <c r="G300" s="8"/>
      <c r="H300" s="14"/>
      <c r="I300" s="14"/>
      <c r="J300" s="15" t="str">
        <f>IF(H300="","",H300*SETTINGS!$B$9)</f>
        <v/>
      </c>
      <c r="K300" s="15" t="str">
        <f>IF(I300="","",I300*SETTINGS!$B$10)</f>
        <v/>
      </c>
      <c r="L300" s="15" t="str">
        <f t="shared" si="17"/>
        <v/>
      </c>
      <c r="M300" s="10" t="str">
        <f t="shared" si="18"/>
        <v/>
      </c>
      <c r="N300" s="10" t="str">
        <f t="shared" si="19"/>
        <v/>
      </c>
      <c r="O300" s="8"/>
    </row>
    <row r="301" spans="1:15" x14ac:dyDescent="0.2">
      <c r="A301" s="10" t="str">
        <f t="shared" si="16"/>
        <v/>
      </c>
      <c r="B301" s="8"/>
      <c r="C301" s="8"/>
      <c r="D301" s="8"/>
      <c r="E301" s="8" t="str">
        <f ca="1">IFERROR(_xludf.XLOOKUP(D301,STUDENTS!$A$5:$A$204,STUDENTS!$C$5:$C$204,""),"")</f>
        <v/>
      </c>
      <c r="F301" s="8" t="str">
        <f ca="1">IFERROR(_xludf.XLOOKUP(D301,STUDENTS!$A$5:$A$204,STUDENTS!$L$5:$L$204,""),"")</f>
        <v/>
      </c>
      <c r="G301" s="8"/>
      <c r="H301" s="14"/>
      <c r="I301" s="14"/>
      <c r="J301" s="15" t="str">
        <f>IF(H301="","",H301*SETTINGS!$B$9)</f>
        <v/>
      </c>
      <c r="K301" s="15" t="str">
        <f>IF(I301="","",I301*SETTINGS!$B$10)</f>
        <v/>
      </c>
      <c r="L301" s="15" t="str">
        <f t="shared" si="17"/>
        <v/>
      </c>
      <c r="M301" s="10" t="str">
        <f t="shared" si="18"/>
        <v/>
      </c>
      <c r="N301" s="10" t="str">
        <f t="shared" si="19"/>
        <v/>
      </c>
      <c r="O301" s="8"/>
    </row>
    <row r="302" spans="1:15" x14ac:dyDescent="0.2">
      <c r="A302" s="10" t="str">
        <f t="shared" si="16"/>
        <v/>
      </c>
      <c r="B302" s="8"/>
      <c r="C302" s="8"/>
      <c r="D302" s="8"/>
      <c r="E302" s="8" t="str">
        <f ca="1">IFERROR(_xludf.XLOOKUP(D302,STUDENTS!$A$5:$A$204,STUDENTS!$C$5:$C$204,""),"")</f>
        <v/>
      </c>
      <c r="F302" s="8" t="str">
        <f ca="1">IFERROR(_xludf.XLOOKUP(D302,STUDENTS!$A$5:$A$204,STUDENTS!$L$5:$L$204,""),"")</f>
        <v/>
      </c>
      <c r="G302" s="8"/>
      <c r="H302" s="14"/>
      <c r="I302" s="14"/>
      <c r="J302" s="15" t="str">
        <f>IF(H302="","",H302*SETTINGS!$B$9)</f>
        <v/>
      </c>
      <c r="K302" s="15" t="str">
        <f>IF(I302="","",I302*SETTINGS!$B$10)</f>
        <v/>
      </c>
      <c r="L302" s="15" t="str">
        <f t="shared" si="17"/>
        <v/>
      </c>
      <c r="M302" s="10" t="str">
        <f t="shared" si="18"/>
        <v/>
      </c>
      <c r="N302" s="10" t="str">
        <f t="shared" si="19"/>
        <v/>
      </c>
      <c r="O302" s="8"/>
    </row>
    <row r="303" spans="1:15" x14ac:dyDescent="0.2">
      <c r="A303" s="10" t="str">
        <f t="shared" si="16"/>
        <v/>
      </c>
      <c r="B303" s="8"/>
      <c r="C303" s="8"/>
      <c r="D303" s="8"/>
      <c r="E303" s="8" t="str">
        <f ca="1">IFERROR(_xludf.XLOOKUP(D303,STUDENTS!$A$5:$A$204,STUDENTS!$C$5:$C$204,""),"")</f>
        <v/>
      </c>
      <c r="F303" s="8" t="str">
        <f ca="1">IFERROR(_xludf.XLOOKUP(D303,STUDENTS!$A$5:$A$204,STUDENTS!$L$5:$L$204,""),"")</f>
        <v/>
      </c>
      <c r="G303" s="8"/>
      <c r="H303" s="14"/>
      <c r="I303" s="14"/>
      <c r="J303" s="15" t="str">
        <f>IF(H303="","",H303*SETTINGS!$B$9)</f>
        <v/>
      </c>
      <c r="K303" s="15" t="str">
        <f>IF(I303="","",I303*SETTINGS!$B$10)</f>
        <v/>
      </c>
      <c r="L303" s="15" t="str">
        <f t="shared" si="17"/>
        <v/>
      </c>
      <c r="M303" s="10" t="str">
        <f t="shared" si="18"/>
        <v/>
      </c>
      <c r="N303" s="10" t="str">
        <f t="shared" si="19"/>
        <v/>
      </c>
      <c r="O303" s="8"/>
    </row>
    <row r="304" spans="1:15" x14ac:dyDescent="0.2">
      <c r="A304" s="10" t="str">
        <f t="shared" si="16"/>
        <v/>
      </c>
      <c r="B304" s="8"/>
      <c r="C304" s="8"/>
      <c r="D304" s="8"/>
      <c r="E304" s="8" t="str">
        <f ca="1">IFERROR(_xludf.XLOOKUP(D304,STUDENTS!$A$5:$A$204,STUDENTS!$C$5:$C$204,""),"")</f>
        <v/>
      </c>
      <c r="F304" s="8" t="str">
        <f ca="1">IFERROR(_xludf.XLOOKUP(D304,STUDENTS!$A$5:$A$204,STUDENTS!$L$5:$L$204,""),"")</f>
        <v/>
      </c>
      <c r="G304" s="8"/>
      <c r="H304" s="14"/>
      <c r="I304" s="14"/>
      <c r="J304" s="15" t="str">
        <f>IF(H304="","",H304*SETTINGS!$B$9)</f>
        <v/>
      </c>
      <c r="K304" s="15" t="str">
        <f>IF(I304="","",I304*SETTINGS!$B$10)</f>
        <v/>
      </c>
      <c r="L304" s="15" t="str">
        <f t="shared" si="17"/>
        <v/>
      </c>
      <c r="M304" s="10" t="str">
        <f t="shared" si="18"/>
        <v/>
      </c>
      <c r="N304" s="10" t="str">
        <f t="shared" si="19"/>
        <v/>
      </c>
      <c r="O304" s="8"/>
    </row>
    <row r="305" spans="1:15" x14ac:dyDescent="0.2">
      <c r="A305" s="10" t="str">
        <f t="shared" si="16"/>
        <v/>
      </c>
      <c r="B305" s="8"/>
      <c r="C305" s="8"/>
      <c r="D305" s="8"/>
      <c r="E305" s="8" t="str">
        <f ca="1">IFERROR(_xludf.XLOOKUP(D305,STUDENTS!$A$5:$A$204,STUDENTS!$C$5:$C$204,""),"")</f>
        <v/>
      </c>
      <c r="F305" s="8" t="str">
        <f ca="1">IFERROR(_xludf.XLOOKUP(D305,STUDENTS!$A$5:$A$204,STUDENTS!$L$5:$L$204,""),"")</f>
        <v/>
      </c>
      <c r="G305" s="8"/>
      <c r="H305" s="14"/>
      <c r="I305" s="14"/>
      <c r="J305" s="15" t="str">
        <f>IF(H305="","",H305*SETTINGS!$B$9)</f>
        <v/>
      </c>
      <c r="K305" s="15" t="str">
        <f>IF(I305="","",I305*SETTINGS!$B$10)</f>
        <v/>
      </c>
      <c r="L305" s="15" t="str">
        <f t="shared" si="17"/>
        <v/>
      </c>
      <c r="M305" s="10" t="str">
        <f t="shared" si="18"/>
        <v/>
      </c>
      <c r="N305" s="10" t="str">
        <f t="shared" si="19"/>
        <v/>
      </c>
      <c r="O305" s="8"/>
    </row>
    <row r="306" spans="1:15" x14ac:dyDescent="0.2">
      <c r="A306" s="10" t="str">
        <f t="shared" si="16"/>
        <v/>
      </c>
      <c r="B306" s="8"/>
      <c r="C306" s="8"/>
      <c r="D306" s="8"/>
      <c r="E306" s="8" t="str">
        <f ca="1">IFERROR(_xludf.XLOOKUP(D306,STUDENTS!$A$5:$A$204,STUDENTS!$C$5:$C$204,""),"")</f>
        <v/>
      </c>
      <c r="F306" s="8" t="str">
        <f ca="1">IFERROR(_xludf.XLOOKUP(D306,STUDENTS!$A$5:$A$204,STUDENTS!$L$5:$L$204,""),"")</f>
        <v/>
      </c>
      <c r="G306" s="8"/>
      <c r="H306" s="14"/>
      <c r="I306" s="14"/>
      <c r="J306" s="15" t="str">
        <f>IF(H306="","",H306*SETTINGS!$B$9)</f>
        <v/>
      </c>
      <c r="K306" s="15" t="str">
        <f>IF(I306="","",I306*SETTINGS!$B$10)</f>
        <v/>
      </c>
      <c r="L306" s="15" t="str">
        <f t="shared" si="17"/>
        <v/>
      </c>
      <c r="M306" s="10" t="str">
        <f t="shared" si="18"/>
        <v/>
      </c>
      <c r="N306" s="10" t="str">
        <f t="shared" si="19"/>
        <v/>
      </c>
      <c r="O306" s="8"/>
    </row>
    <row r="307" spans="1:15" x14ac:dyDescent="0.2">
      <c r="A307" s="10" t="str">
        <f t="shared" si="16"/>
        <v/>
      </c>
      <c r="B307" s="8"/>
      <c r="C307" s="8"/>
      <c r="D307" s="8"/>
      <c r="E307" s="8" t="str">
        <f ca="1">IFERROR(_xludf.XLOOKUP(D307,STUDENTS!$A$5:$A$204,STUDENTS!$C$5:$C$204,""),"")</f>
        <v/>
      </c>
      <c r="F307" s="8" t="str">
        <f ca="1">IFERROR(_xludf.XLOOKUP(D307,STUDENTS!$A$5:$A$204,STUDENTS!$L$5:$L$204,""),"")</f>
        <v/>
      </c>
      <c r="G307" s="8"/>
      <c r="H307" s="14"/>
      <c r="I307" s="14"/>
      <c r="J307" s="15" t="str">
        <f>IF(H307="","",H307*SETTINGS!$B$9)</f>
        <v/>
      </c>
      <c r="K307" s="15" t="str">
        <f>IF(I307="","",I307*SETTINGS!$B$10)</f>
        <v/>
      </c>
      <c r="L307" s="15" t="str">
        <f t="shared" si="17"/>
        <v/>
      </c>
      <c r="M307" s="10" t="str">
        <f t="shared" si="18"/>
        <v/>
      </c>
      <c r="N307" s="10" t="str">
        <f t="shared" si="19"/>
        <v/>
      </c>
      <c r="O307" s="8"/>
    </row>
    <row r="308" spans="1:15" x14ac:dyDescent="0.2">
      <c r="A308" s="10" t="str">
        <f t="shared" si="16"/>
        <v/>
      </c>
      <c r="B308" s="8"/>
      <c r="C308" s="8"/>
      <c r="D308" s="8"/>
      <c r="E308" s="8" t="str">
        <f ca="1">IFERROR(_xludf.XLOOKUP(D308,STUDENTS!$A$5:$A$204,STUDENTS!$C$5:$C$204,""),"")</f>
        <v/>
      </c>
      <c r="F308" s="8" t="str">
        <f ca="1">IFERROR(_xludf.XLOOKUP(D308,STUDENTS!$A$5:$A$204,STUDENTS!$L$5:$L$204,""),"")</f>
        <v/>
      </c>
      <c r="G308" s="8"/>
      <c r="H308" s="14"/>
      <c r="I308" s="14"/>
      <c r="J308" s="15" t="str">
        <f>IF(H308="","",H308*SETTINGS!$B$9)</f>
        <v/>
      </c>
      <c r="K308" s="15" t="str">
        <f>IF(I308="","",I308*SETTINGS!$B$10)</f>
        <v/>
      </c>
      <c r="L308" s="15" t="str">
        <f t="shared" si="17"/>
        <v/>
      </c>
      <c r="M308" s="10" t="str">
        <f t="shared" si="18"/>
        <v/>
      </c>
      <c r="N308" s="10" t="str">
        <f t="shared" si="19"/>
        <v/>
      </c>
      <c r="O308" s="8"/>
    </row>
    <row r="309" spans="1:15" x14ac:dyDescent="0.2">
      <c r="A309" s="10" t="str">
        <f t="shared" si="16"/>
        <v/>
      </c>
      <c r="B309" s="8"/>
      <c r="C309" s="8"/>
      <c r="D309" s="8"/>
      <c r="E309" s="8" t="str">
        <f ca="1">IFERROR(_xludf.XLOOKUP(D309,STUDENTS!$A$5:$A$204,STUDENTS!$C$5:$C$204,""),"")</f>
        <v/>
      </c>
      <c r="F309" s="8" t="str">
        <f ca="1">IFERROR(_xludf.XLOOKUP(D309,STUDENTS!$A$5:$A$204,STUDENTS!$L$5:$L$204,""),"")</f>
        <v/>
      </c>
      <c r="G309" s="8"/>
      <c r="H309" s="14"/>
      <c r="I309" s="14"/>
      <c r="J309" s="15" t="str">
        <f>IF(H309="","",H309*SETTINGS!$B$9)</f>
        <v/>
      </c>
      <c r="K309" s="15" t="str">
        <f>IF(I309="","",I309*SETTINGS!$B$10)</f>
        <v/>
      </c>
      <c r="L309" s="15" t="str">
        <f t="shared" si="17"/>
        <v/>
      </c>
      <c r="M309" s="10" t="str">
        <f t="shared" si="18"/>
        <v/>
      </c>
      <c r="N309" s="10" t="str">
        <f t="shared" si="19"/>
        <v/>
      </c>
      <c r="O309" s="8"/>
    </row>
    <row r="310" spans="1:15" x14ac:dyDescent="0.2">
      <c r="A310" s="10" t="str">
        <f t="shared" si="16"/>
        <v/>
      </c>
      <c r="B310" s="8"/>
      <c r="C310" s="8"/>
      <c r="D310" s="8"/>
      <c r="E310" s="8" t="str">
        <f ca="1">IFERROR(_xludf.XLOOKUP(D310,STUDENTS!$A$5:$A$204,STUDENTS!$C$5:$C$204,""),"")</f>
        <v/>
      </c>
      <c r="F310" s="8" t="str">
        <f ca="1">IFERROR(_xludf.XLOOKUP(D310,STUDENTS!$A$5:$A$204,STUDENTS!$L$5:$L$204,""),"")</f>
        <v/>
      </c>
      <c r="G310" s="8"/>
      <c r="H310" s="14"/>
      <c r="I310" s="14"/>
      <c r="J310" s="15" t="str">
        <f>IF(H310="","",H310*SETTINGS!$B$9)</f>
        <v/>
      </c>
      <c r="K310" s="15" t="str">
        <f>IF(I310="","",I310*SETTINGS!$B$10)</f>
        <v/>
      </c>
      <c r="L310" s="15" t="str">
        <f t="shared" si="17"/>
        <v/>
      </c>
      <c r="M310" s="10" t="str">
        <f t="shared" si="18"/>
        <v/>
      </c>
      <c r="N310" s="10" t="str">
        <f t="shared" si="19"/>
        <v/>
      </c>
      <c r="O310" s="8"/>
    </row>
    <row r="311" spans="1:15" x14ac:dyDescent="0.2">
      <c r="A311" s="10" t="str">
        <f t="shared" si="16"/>
        <v/>
      </c>
      <c r="B311" s="8"/>
      <c r="C311" s="8"/>
      <c r="D311" s="8"/>
      <c r="E311" s="8" t="str">
        <f ca="1">IFERROR(_xludf.XLOOKUP(D311,STUDENTS!$A$5:$A$204,STUDENTS!$C$5:$C$204,""),"")</f>
        <v/>
      </c>
      <c r="F311" s="8" t="str">
        <f ca="1">IFERROR(_xludf.XLOOKUP(D311,STUDENTS!$A$5:$A$204,STUDENTS!$L$5:$L$204,""),"")</f>
        <v/>
      </c>
      <c r="G311" s="8"/>
      <c r="H311" s="14"/>
      <c r="I311" s="14"/>
      <c r="J311" s="15" t="str">
        <f>IF(H311="","",H311*SETTINGS!$B$9)</f>
        <v/>
      </c>
      <c r="K311" s="15" t="str">
        <f>IF(I311="","",I311*SETTINGS!$B$10)</f>
        <v/>
      </c>
      <c r="L311" s="15" t="str">
        <f t="shared" si="17"/>
        <v/>
      </c>
      <c r="M311" s="10" t="str">
        <f t="shared" si="18"/>
        <v/>
      </c>
      <c r="N311" s="10" t="str">
        <f t="shared" si="19"/>
        <v/>
      </c>
      <c r="O311" s="8"/>
    </row>
    <row r="312" spans="1:15" x14ac:dyDescent="0.2">
      <c r="A312" s="10" t="str">
        <f t="shared" si="16"/>
        <v/>
      </c>
      <c r="B312" s="8"/>
      <c r="C312" s="8"/>
      <c r="D312" s="8"/>
      <c r="E312" s="8" t="str">
        <f ca="1">IFERROR(_xludf.XLOOKUP(D312,STUDENTS!$A$5:$A$204,STUDENTS!$C$5:$C$204,""),"")</f>
        <v/>
      </c>
      <c r="F312" s="8" t="str">
        <f ca="1">IFERROR(_xludf.XLOOKUP(D312,STUDENTS!$A$5:$A$204,STUDENTS!$L$5:$L$204,""),"")</f>
        <v/>
      </c>
      <c r="G312" s="8"/>
      <c r="H312" s="14"/>
      <c r="I312" s="14"/>
      <c r="J312" s="15" t="str">
        <f>IF(H312="","",H312*SETTINGS!$B$9)</f>
        <v/>
      </c>
      <c r="K312" s="15" t="str">
        <f>IF(I312="","",I312*SETTINGS!$B$10)</f>
        <v/>
      </c>
      <c r="L312" s="15" t="str">
        <f t="shared" si="17"/>
        <v/>
      </c>
      <c r="M312" s="10" t="str">
        <f t="shared" si="18"/>
        <v/>
      </c>
      <c r="N312" s="10" t="str">
        <f t="shared" si="19"/>
        <v/>
      </c>
      <c r="O312" s="8"/>
    </row>
    <row r="313" spans="1:15" x14ac:dyDescent="0.2">
      <c r="A313" s="10" t="str">
        <f t="shared" si="16"/>
        <v/>
      </c>
      <c r="B313" s="8"/>
      <c r="C313" s="8"/>
      <c r="D313" s="8"/>
      <c r="E313" s="8" t="str">
        <f ca="1">IFERROR(_xludf.XLOOKUP(D313,STUDENTS!$A$5:$A$204,STUDENTS!$C$5:$C$204,""),"")</f>
        <v/>
      </c>
      <c r="F313" s="8" t="str">
        <f ca="1">IFERROR(_xludf.XLOOKUP(D313,STUDENTS!$A$5:$A$204,STUDENTS!$L$5:$L$204,""),"")</f>
        <v/>
      </c>
      <c r="G313" s="8"/>
      <c r="H313" s="14"/>
      <c r="I313" s="14"/>
      <c r="J313" s="15" t="str">
        <f>IF(H313="","",H313*SETTINGS!$B$9)</f>
        <v/>
      </c>
      <c r="K313" s="15" t="str">
        <f>IF(I313="","",I313*SETTINGS!$B$10)</f>
        <v/>
      </c>
      <c r="L313" s="15" t="str">
        <f t="shared" si="17"/>
        <v/>
      </c>
      <c r="M313" s="10" t="str">
        <f t="shared" si="18"/>
        <v/>
      </c>
      <c r="N313" s="10" t="str">
        <f t="shared" si="19"/>
        <v/>
      </c>
      <c r="O313" s="8"/>
    </row>
    <row r="314" spans="1:15" x14ac:dyDescent="0.2">
      <c r="A314" s="10" t="str">
        <f t="shared" si="16"/>
        <v/>
      </c>
      <c r="B314" s="8"/>
      <c r="C314" s="8"/>
      <c r="D314" s="8"/>
      <c r="E314" s="8" t="str">
        <f ca="1">IFERROR(_xludf.XLOOKUP(D314,STUDENTS!$A$5:$A$204,STUDENTS!$C$5:$C$204,""),"")</f>
        <v/>
      </c>
      <c r="F314" s="8" t="str">
        <f ca="1">IFERROR(_xludf.XLOOKUP(D314,STUDENTS!$A$5:$A$204,STUDENTS!$L$5:$L$204,""),"")</f>
        <v/>
      </c>
      <c r="G314" s="8"/>
      <c r="H314" s="14"/>
      <c r="I314" s="14"/>
      <c r="J314" s="15" t="str">
        <f>IF(H314="","",H314*SETTINGS!$B$9)</f>
        <v/>
      </c>
      <c r="K314" s="15" t="str">
        <f>IF(I314="","",I314*SETTINGS!$B$10)</f>
        <v/>
      </c>
      <c r="L314" s="15" t="str">
        <f t="shared" si="17"/>
        <v/>
      </c>
      <c r="M314" s="10" t="str">
        <f t="shared" si="18"/>
        <v/>
      </c>
      <c r="N314" s="10" t="str">
        <f t="shared" si="19"/>
        <v/>
      </c>
      <c r="O314" s="8"/>
    </row>
    <row r="315" spans="1:15" x14ac:dyDescent="0.2">
      <c r="A315" s="10" t="str">
        <f t="shared" si="16"/>
        <v/>
      </c>
      <c r="B315" s="8"/>
      <c r="C315" s="8"/>
      <c r="D315" s="8"/>
      <c r="E315" s="8" t="str">
        <f ca="1">IFERROR(_xludf.XLOOKUP(D315,STUDENTS!$A$5:$A$204,STUDENTS!$C$5:$C$204,""),"")</f>
        <v/>
      </c>
      <c r="F315" s="8" t="str">
        <f ca="1">IFERROR(_xludf.XLOOKUP(D315,STUDENTS!$A$5:$A$204,STUDENTS!$L$5:$L$204,""),"")</f>
        <v/>
      </c>
      <c r="G315" s="8"/>
      <c r="H315" s="14"/>
      <c r="I315" s="14"/>
      <c r="J315" s="15" t="str">
        <f>IF(H315="","",H315*SETTINGS!$B$9)</f>
        <v/>
      </c>
      <c r="K315" s="15" t="str">
        <f>IF(I315="","",I315*SETTINGS!$B$10)</f>
        <v/>
      </c>
      <c r="L315" s="15" t="str">
        <f t="shared" si="17"/>
        <v/>
      </c>
      <c r="M315" s="10" t="str">
        <f t="shared" si="18"/>
        <v/>
      </c>
      <c r="N315" s="10" t="str">
        <f t="shared" si="19"/>
        <v/>
      </c>
      <c r="O315" s="8"/>
    </row>
    <row r="316" spans="1:15" x14ac:dyDescent="0.2">
      <c r="A316" s="10" t="str">
        <f t="shared" si="16"/>
        <v/>
      </c>
      <c r="B316" s="8"/>
      <c r="C316" s="8"/>
      <c r="D316" s="8"/>
      <c r="E316" s="8" t="str">
        <f ca="1">IFERROR(_xludf.XLOOKUP(D316,STUDENTS!$A$5:$A$204,STUDENTS!$C$5:$C$204,""),"")</f>
        <v/>
      </c>
      <c r="F316" s="8" t="str">
        <f ca="1">IFERROR(_xludf.XLOOKUP(D316,STUDENTS!$A$5:$A$204,STUDENTS!$L$5:$L$204,""),"")</f>
        <v/>
      </c>
      <c r="G316" s="8"/>
      <c r="H316" s="14"/>
      <c r="I316" s="14"/>
      <c r="J316" s="15" t="str">
        <f>IF(H316="","",H316*SETTINGS!$B$9)</f>
        <v/>
      </c>
      <c r="K316" s="15" t="str">
        <f>IF(I316="","",I316*SETTINGS!$B$10)</f>
        <v/>
      </c>
      <c r="L316" s="15" t="str">
        <f t="shared" si="17"/>
        <v/>
      </c>
      <c r="M316" s="10" t="str">
        <f t="shared" si="18"/>
        <v/>
      </c>
      <c r="N316" s="10" t="str">
        <f t="shared" si="19"/>
        <v/>
      </c>
      <c r="O316" s="8"/>
    </row>
    <row r="317" spans="1:15" x14ac:dyDescent="0.2">
      <c r="A317" s="10" t="str">
        <f t="shared" si="16"/>
        <v/>
      </c>
      <c r="B317" s="8"/>
      <c r="C317" s="8"/>
      <c r="D317" s="8"/>
      <c r="E317" s="8" t="str">
        <f ca="1">IFERROR(_xludf.XLOOKUP(D317,STUDENTS!$A$5:$A$204,STUDENTS!$C$5:$C$204,""),"")</f>
        <v/>
      </c>
      <c r="F317" s="8" t="str">
        <f ca="1">IFERROR(_xludf.XLOOKUP(D317,STUDENTS!$A$5:$A$204,STUDENTS!$L$5:$L$204,""),"")</f>
        <v/>
      </c>
      <c r="G317" s="8"/>
      <c r="H317" s="14"/>
      <c r="I317" s="14"/>
      <c r="J317" s="15" t="str">
        <f>IF(H317="","",H317*SETTINGS!$B$9)</f>
        <v/>
      </c>
      <c r="K317" s="15" t="str">
        <f>IF(I317="","",I317*SETTINGS!$B$10)</f>
        <v/>
      </c>
      <c r="L317" s="15" t="str">
        <f t="shared" si="17"/>
        <v/>
      </c>
      <c r="M317" s="10" t="str">
        <f t="shared" si="18"/>
        <v/>
      </c>
      <c r="N317" s="10" t="str">
        <f t="shared" si="19"/>
        <v/>
      </c>
      <c r="O317" s="8"/>
    </row>
    <row r="318" spans="1:15" x14ac:dyDescent="0.2">
      <c r="A318" s="10" t="str">
        <f t="shared" si="16"/>
        <v/>
      </c>
      <c r="B318" s="8"/>
      <c r="C318" s="8"/>
      <c r="D318" s="8"/>
      <c r="E318" s="8" t="str">
        <f ca="1">IFERROR(_xludf.XLOOKUP(D318,STUDENTS!$A$5:$A$204,STUDENTS!$C$5:$C$204,""),"")</f>
        <v/>
      </c>
      <c r="F318" s="8" t="str">
        <f ca="1">IFERROR(_xludf.XLOOKUP(D318,STUDENTS!$A$5:$A$204,STUDENTS!$L$5:$L$204,""),"")</f>
        <v/>
      </c>
      <c r="G318" s="8"/>
      <c r="H318" s="14"/>
      <c r="I318" s="14"/>
      <c r="J318" s="15" t="str">
        <f>IF(H318="","",H318*SETTINGS!$B$9)</f>
        <v/>
      </c>
      <c r="K318" s="15" t="str">
        <f>IF(I318="","",I318*SETTINGS!$B$10)</f>
        <v/>
      </c>
      <c r="L318" s="15" t="str">
        <f t="shared" si="17"/>
        <v/>
      </c>
      <c r="M318" s="10" t="str">
        <f t="shared" si="18"/>
        <v/>
      </c>
      <c r="N318" s="10" t="str">
        <f t="shared" si="19"/>
        <v/>
      </c>
      <c r="O318" s="8"/>
    </row>
    <row r="319" spans="1:15" x14ac:dyDescent="0.2">
      <c r="A319" s="10" t="str">
        <f t="shared" si="16"/>
        <v/>
      </c>
      <c r="B319" s="8"/>
      <c r="C319" s="8"/>
      <c r="D319" s="8"/>
      <c r="E319" s="8" t="str">
        <f ca="1">IFERROR(_xludf.XLOOKUP(D319,STUDENTS!$A$5:$A$204,STUDENTS!$C$5:$C$204,""),"")</f>
        <v/>
      </c>
      <c r="F319" s="8" t="str">
        <f ca="1">IFERROR(_xludf.XLOOKUP(D319,STUDENTS!$A$5:$A$204,STUDENTS!$L$5:$L$204,""),"")</f>
        <v/>
      </c>
      <c r="G319" s="8"/>
      <c r="H319" s="14"/>
      <c r="I319" s="14"/>
      <c r="J319" s="15" t="str">
        <f>IF(H319="","",H319*SETTINGS!$B$9)</f>
        <v/>
      </c>
      <c r="K319" s="15" t="str">
        <f>IF(I319="","",I319*SETTINGS!$B$10)</f>
        <v/>
      </c>
      <c r="L319" s="15" t="str">
        <f t="shared" si="17"/>
        <v/>
      </c>
      <c r="M319" s="10" t="str">
        <f t="shared" si="18"/>
        <v/>
      </c>
      <c r="N319" s="10" t="str">
        <f t="shared" si="19"/>
        <v/>
      </c>
      <c r="O319" s="8"/>
    </row>
    <row r="320" spans="1:15" x14ac:dyDescent="0.2">
      <c r="A320" s="10" t="str">
        <f t="shared" si="16"/>
        <v/>
      </c>
      <c r="B320" s="8"/>
      <c r="C320" s="8"/>
      <c r="D320" s="8"/>
      <c r="E320" s="8" t="str">
        <f ca="1">IFERROR(_xludf.XLOOKUP(D320,STUDENTS!$A$5:$A$204,STUDENTS!$C$5:$C$204,""),"")</f>
        <v/>
      </c>
      <c r="F320" s="8" t="str">
        <f ca="1">IFERROR(_xludf.XLOOKUP(D320,STUDENTS!$A$5:$A$204,STUDENTS!$L$5:$L$204,""),"")</f>
        <v/>
      </c>
      <c r="G320" s="8"/>
      <c r="H320" s="14"/>
      <c r="I320" s="14"/>
      <c r="J320" s="15" t="str">
        <f>IF(H320="","",H320*SETTINGS!$B$9)</f>
        <v/>
      </c>
      <c r="K320" s="15" t="str">
        <f>IF(I320="","",I320*SETTINGS!$B$10)</f>
        <v/>
      </c>
      <c r="L320" s="15" t="str">
        <f t="shared" si="17"/>
        <v/>
      </c>
      <c r="M320" s="10" t="str">
        <f t="shared" si="18"/>
        <v/>
      </c>
      <c r="N320" s="10" t="str">
        <f t="shared" si="19"/>
        <v/>
      </c>
      <c r="O320" s="8"/>
    </row>
    <row r="321" spans="1:15" x14ac:dyDescent="0.2">
      <c r="A321" s="10" t="str">
        <f t="shared" si="16"/>
        <v/>
      </c>
      <c r="B321" s="8"/>
      <c r="C321" s="8"/>
      <c r="D321" s="8"/>
      <c r="E321" s="8" t="str">
        <f ca="1">IFERROR(_xludf.XLOOKUP(D321,STUDENTS!$A$5:$A$204,STUDENTS!$C$5:$C$204,""),"")</f>
        <v/>
      </c>
      <c r="F321" s="8" t="str">
        <f ca="1">IFERROR(_xludf.XLOOKUP(D321,STUDENTS!$A$5:$A$204,STUDENTS!$L$5:$L$204,""),"")</f>
        <v/>
      </c>
      <c r="G321" s="8"/>
      <c r="H321" s="14"/>
      <c r="I321" s="14"/>
      <c r="J321" s="15" t="str">
        <f>IF(H321="","",H321*SETTINGS!$B$9)</f>
        <v/>
      </c>
      <c r="K321" s="15" t="str">
        <f>IF(I321="","",I321*SETTINGS!$B$10)</f>
        <v/>
      </c>
      <c r="L321" s="15" t="str">
        <f t="shared" si="17"/>
        <v/>
      </c>
      <c r="M321" s="10" t="str">
        <f t="shared" si="18"/>
        <v/>
      </c>
      <c r="N321" s="10" t="str">
        <f t="shared" si="19"/>
        <v/>
      </c>
      <c r="O321" s="8"/>
    </row>
    <row r="322" spans="1:15" x14ac:dyDescent="0.2">
      <c r="A322" s="10" t="str">
        <f t="shared" si="16"/>
        <v/>
      </c>
      <c r="B322" s="8"/>
      <c r="C322" s="8"/>
      <c r="D322" s="8"/>
      <c r="E322" s="8" t="str">
        <f ca="1">IFERROR(_xludf.XLOOKUP(D322,STUDENTS!$A$5:$A$204,STUDENTS!$C$5:$C$204,""),"")</f>
        <v/>
      </c>
      <c r="F322" s="8" t="str">
        <f ca="1">IFERROR(_xludf.XLOOKUP(D322,STUDENTS!$A$5:$A$204,STUDENTS!$L$5:$L$204,""),"")</f>
        <v/>
      </c>
      <c r="G322" s="8"/>
      <c r="H322" s="14"/>
      <c r="I322" s="14"/>
      <c r="J322" s="15" t="str">
        <f>IF(H322="","",H322*SETTINGS!$B$9)</f>
        <v/>
      </c>
      <c r="K322" s="15" t="str">
        <f>IF(I322="","",I322*SETTINGS!$B$10)</f>
        <v/>
      </c>
      <c r="L322" s="15" t="str">
        <f t="shared" si="17"/>
        <v/>
      </c>
      <c r="M322" s="10" t="str">
        <f t="shared" si="18"/>
        <v/>
      </c>
      <c r="N322" s="10" t="str">
        <f t="shared" si="19"/>
        <v/>
      </c>
      <c r="O322" s="8"/>
    </row>
    <row r="323" spans="1:15" x14ac:dyDescent="0.2">
      <c r="A323" s="10" t="str">
        <f t="shared" si="16"/>
        <v/>
      </c>
      <c r="B323" s="8"/>
      <c r="C323" s="8"/>
      <c r="D323" s="8"/>
      <c r="E323" s="8" t="str">
        <f ca="1">IFERROR(_xludf.XLOOKUP(D323,STUDENTS!$A$5:$A$204,STUDENTS!$C$5:$C$204,""),"")</f>
        <v/>
      </c>
      <c r="F323" s="8" t="str">
        <f ca="1">IFERROR(_xludf.XLOOKUP(D323,STUDENTS!$A$5:$A$204,STUDENTS!$L$5:$L$204,""),"")</f>
        <v/>
      </c>
      <c r="G323" s="8"/>
      <c r="H323" s="14"/>
      <c r="I323" s="14"/>
      <c r="J323" s="15" t="str">
        <f>IF(H323="","",H323*SETTINGS!$B$9)</f>
        <v/>
      </c>
      <c r="K323" s="15" t="str">
        <f>IF(I323="","",I323*SETTINGS!$B$10)</f>
        <v/>
      </c>
      <c r="L323" s="15" t="str">
        <f t="shared" si="17"/>
        <v/>
      </c>
      <c r="M323" s="10" t="str">
        <f t="shared" si="18"/>
        <v/>
      </c>
      <c r="N323" s="10" t="str">
        <f t="shared" si="19"/>
        <v/>
      </c>
      <c r="O323" s="8"/>
    </row>
    <row r="324" spans="1:15" x14ac:dyDescent="0.2">
      <c r="A324" s="10" t="str">
        <f t="shared" si="16"/>
        <v/>
      </c>
      <c r="B324" s="8"/>
      <c r="C324" s="8"/>
      <c r="D324" s="8"/>
      <c r="E324" s="8" t="str">
        <f ca="1">IFERROR(_xludf.XLOOKUP(D324,STUDENTS!$A$5:$A$204,STUDENTS!$C$5:$C$204,""),"")</f>
        <v/>
      </c>
      <c r="F324" s="8" t="str">
        <f ca="1">IFERROR(_xludf.XLOOKUP(D324,STUDENTS!$A$5:$A$204,STUDENTS!$L$5:$L$204,""),"")</f>
        <v/>
      </c>
      <c r="G324" s="8"/>
      <c r="H324" s="14"/>
      <c r="I324" s="14"/>
      <c r="J324" s="15" t="str">
        <f>IF(H324="","",H324*SETTINGS!$B$9)</f>
        <v/>
      </c>
      <c r="K324" s="15" t="str">
        <f>IF(I324="","",I324*SETTINGS!$B$10)</f>
        <v/>
      </c>
      <c r="L324" s="15" t="str">
        <f t="shared" si="17"/>
        <v/>
      </c>
      <c r="M324" s="10" t="str">
        <f t="shared" si="18"/>
        <v/>
      </c>
      <c r="N324" s="10" t="str">
        <f t="shared" si="19"/>
        <v/>
      </c>
      <c r="O324" s="8"/>
    </row>
    <row r="325" spans="1:15" x14ac:dyDescent="0.2">
      <c r="A325" s="10" t="str">
        <f t="shared" ref="A325:A388" si="20">IF(D325="","","R-"&amp;TEXT(ROW()-4,"00000"))</f>
        <v/>
      </c>
      <c r="B325" s="8"/>
      <c r="C325" s="8"/>
      <c r="D325" s="8"/>
      <c r="E325" s="8" t="str">
        <f ca="1">IFERROR(_xludf.XLOOKUP(D325,STUDENTS!$A$5:$A$204,STUDENTS!$C$5:$C$204,""),"")</f>
        <v/>
      </c>
      <c r="F325" s="8" t="str">
        <f ca="1">IFERROR(_xludf.XLOOKUP(D325,STUDENTS!$A$5:$A$204,STUDENTS!$L$5:$L$204,""),"")</f>
        <v/>
      </c>
      <c r="G325" s="8"/>
      <c r="H325" s="14"/>
      <c r="I325" s="14"/>
      <c r="J325" s="15" t="str">
        <f>IF(H325="","",H325*SETTINGS!$B$9)</f>
        <v/>
      </c>
      <c r="K325" s="15" t="str">
        <f>IF(I325="","",I325*SETTINGS!$B$10)</f>
        <v/>
      </c>
      <c r="L325" s="15" t="str">
        <f t="shared" ref="L325:L388" si="21">IF(OR(H325="",I325=""),"",J325+K325)</f>
        <v/>
      </c>
      <c r="M325" s="10" t="str">
        <f t="shared" ref="M325:M388" si="22">IF(L325="","",IF(L325&gt;=80,"A",IF(L325&gt;=70,"B",IF(L325&gt;=60,"C",IF(L325&gt;=50,"D","F")))))</f>
        <v/>
      </c>
      <c r="N325" s="10" t="str">
        <f t="shared" ref="N325:N388" si="23">IF(L325="","",1+COUNTIFS($F$5:$F$1004,F325,$C$5:$C$1004,C325,$G$5:$G$1004,G325,$L$5:$L$1004,"&gt;"&amp;L325))</f>
        <v/>
      </c>
      <c r="O325" s="8"/>
    </row>
    <row r="326" spans="1:15" x14ac:dyDescent="0.2">
      <c r="A326" s="10" t="str">
        <f t="shared" si="20"/>
        <v/>
      </c>
      <c r="B326" s="8"/>
      <c r="C326" s="8"/>
      <c r="D326" s="8"/>
      <c r="E326" s="8" t="str">
        <f ca="1">IFERROR(_xludf.XLOOKUP(D326,STUDENTS!$A$5:$A$204,STUDENTS!$C$5:$C$204,""),"")</f>
        <v/>
      </c>
      <c r="F326" s="8" t="str">
        <f ca="1">IFERROR(_xludf.XLOOKUP(D326,STUDENTS!$A$5:$A$204,STUDENTS!$L$5:$L$204,""),"")</f>
        <v/>
      </c>
      <c r="G326" s="8"/>
      <c r="H326" s="14"/>
      <c r="I326" s="14"/>
      <c r="J326" s="15" t="str">
        <f>IF(H326="","",H326*SETTINGS!$B$9)</f>
        <v/>
      </c>
      <c r="K326" s="15" t="str">
        <f>IF(I326="","",I326*SETTINGS!$B$10)</f>
        <v/>
      </c>
      <c r="L326" s="15" t="str">
        <f t="shared" si="21"/>
        <v/>
      </c>
      <c r="M326" s="10" t="str">
        <f t="shared" si="22"/>
        <v/>
      </c>
      <c r="N326" s="10" t="str">
        <f t="shared" si="23"/>
        <v/>
      </c>
      <c r="O326" s="8"/>
    </row>
    <row r="327" spans="1:15" x14ac:dyDescent="0.2">
      <c r="A327" s="10" t="str">
        <f t="shared" si="20"/>
        <v/>
      </c>
      <c r="B327" s="8"/>
      <c r="C327" s="8"/>
      <c r="D327" s="8"/>
      <c r="E327" s="8" t="str">
        <f ca="1">IFERROR(_xludf.XLOOKUP(D327,STUDENTS!$A$5:$A$204,STUDENTS!$C$5:$C$204,""),"")</f>
        <v/>
      </c>
      <c r="F327" s="8" t="str">
        <f ca="1">IFERROR(_xludf.XLOOKUP(D327,STUDENTS!$A$5:$A$204,STUDENTS!$L$5:$L$204,""),"")</f>
        <v/>
      </c>
      <c r="G327" s="8"/>
      <c r="H327" s="14"/>
      <c r="I327" s="14"/>
      <c r="J327" s="15" t="str">
        <f>IF(H327="","",H327*SETTINGS!$B$9)</f>
        <v/>
      </c>
      <c r="K327" s="15" t="str">
        <f>IF(I327="","",I327*SETTINGS!$B$10)</f>
        <v/>
      </c>
      <c r="L327" s="15" t="str">
        <f t="shared" si="21"/>
        <v/>
      </c>
      <c r="M327" s="10" t="str">
        <f t="shared" si="22"/>
        <v/>
      </c>
      <c r="N327" s="10" t="str">
        <f t="shared" si="23"/>
        <v/>
      </c>
      <c r="O327" s="8"/>
    </row>
    <row r="328" spans="1:15" x14ac:dyDescent="0.2">
      <c r="A328" s="10" t="str">
        <f t="shared" si="20"/>
        <v/>
      </c>
      <c r="B328" s="8"/>
      <c r="C328" s="8"/>
      <c r="D328" s="8"/>
      <c r="E328" s="8" t="str">
        <f ca="1">IFERROR(_xludf.XLOOKUP(D328,STUDENTS!$A$5:$A$204,STUDENTS!$C$5:$C$204,""),"")</f>
        <v/>
      </c>
      <c r="F328" s="8" t="str">
        <f ca="1">IFERROR(_xludf.XLOOKUP(D328,STUDENTS!$A$5:$A$204,STUDENTS!$L$5:$L$204,""),"")</f>
        <v/>
      </c>
      <c r="G328" s="8"/>
      <c r="H328" s="14"/>
      <c r="I328" s="14"/>
      <c r="J328" s="15" t="str">
        <f>IF(H328="","",H328*SETTINGS!$B$9)</f>
        <v/>
      </c>
      <c r="K328" s="15" t="str">
        <f>IF(I328="","",I328*SETTINGS!$B$10)</f>
        <v/>
      </c>
      <c r="L328" s="15" t="str">
        <f t="shared" si="21"/>
        <v/>
      </c>
      <c r="M328" s="10" t="str">
        <f t="shared" si="22"/>
        <v/>
      </c>
      <c r="N328" s="10" t="str">
        <f t="shared" si="23"/>
        <v/>
      </c>
      <c r="O328" s="8"/>
    </row>
    <row r="329" spans="1:15" x14ac:dyDescent="0.2">
      <c r="A329" s="10" t="str">
        <f t="shared" si="20"/>
        <v/>
      </c>
      <c r="B329" s="8"/>
      <c r="C329" s="8"/>
      <c r="D329" s="8"/>
      <c r="E329" s="8" t="str">
        <f ca="1">IFERROR(_xludf.XLOOKUP(D329,STUDENTS!$A$5:$A$204,STUDENTS!$C$5:$C$204,""),"")</f>
        <v/>
      </c>
      <c r="F329" s="8" t="str">
        <f ca="1">IFERROR(_xludf.XLOOKUP(D329,STUDENTS!$A$5:$A$204,STUDENTS!$L$5:$L$204,""),"")</f>
        <v/>
      </c>
      <c r="G329" s="8"/>
      <c r="H329" s="14"/>
      <c r="I329" s="14"/>
      <c r="J329" s="15" t="str">
        <f>IF(H329="","",H329*SETTINGS!$B$9)</f>
        <v/>
      </c>
      <c r="K329" s="15" t="str">
        <f>IF(I329="","",I329*SETTINGS!$B$10)</f>
        <v/>
      </c>
      <c r="L329" s="15" t="str">
        <f t="shared" si="21"/>
        <v/>
      </c>
      <c r="M329" s="10" t="str">
        <f t="shared" si="22"/>
        <v/>
      </c>
      <c r="N329" s="10" t="str">
        <f t="shared" si="23"/>
        <v/>
      </c>
      <c r="O329" s="8"/>
    </row>
    <row r="330" spans="1:15" x14ac:dyDescent="0.2">
      <c r="A330" s="10" t="str">
        <f t="shared" si="20"/>
        <v/>
      </c>
      <c r="B330" s="8"/>
      <c r="C330" s="8"/>
      <c r="D330" s="8"/>
      <c r="E330" s="8" t="str">
        <f ca="1">IFERROR(_xludf.XLOOKUP(D330,STUDENTS!$A$5:$A$204,STUDENTS!$C$5:$C$204,""),"")</f>
        <v/>
      </c>
      <c r="F330" s="8" t="str">
        <f ca="1">IFERROR(_xludf.XLOOKUP(D330,STUDENTS!$A$5:$A$204,STUDENTS!$L$5:$L$204,""),"")</f>
        <v/>
      </c>
      <c r="G330" s="8"/>
      <c r="H330" s="14"/>
      <c r="I330" s="14"/>
      <c r="J330" s="15" t="str">
        <f>IF(H330="","",H330*SETTINGS!$B$9)</f>
        <v/>
      </c>
      <c r="K330" s="15" t="str">
        <f>IF(I330="","",I330*SETTINGS!$B$10)</f>
        <v/>
      </c>
      <c r="L330" s="15" t="str">
        <f t="shared" si="21"/>
        <v/>
      </c>
      <c r="M330" s="10" t="str">
        <f t="shared" si="22"/>
        <v/>
      </c>
      <c r="N330" s="10" t="str">
        <f t="shared" si="23"/>
        <v/>
      </c>
      <c r="O330" s="8"/>
    </row>
    <row r="331" spans="1:15" x14ac:dyDescent="0.2">
      <c r="A331" s="10" t="str">
        <f t="shared" si="20"/>
        <v/>
      </c>
      <c r="B331" s="8"/>
      <c r="C331" s="8"/>
      <c r="D331" s="8"/>
      <c r="E331" s="8" t="str">
        <f ca="1">IFERROR(_xludf.XLOOKUP(D331,STUDENTS!$A$5:$A$204,STUDENTS!$C$5:$C$204,""),"")</f>
        <v/>
      </c>
      <c r="F331" s="8" t="str">
        <f ca="1">IFERROR(_xludf.XLOOKUP(D331,STUDENTS!$A$5:$A$204,STUDENTS!$L$5:$L$204,""),"")</f>
        <v/>
      </c>
      <c r="G331" s="8"/>
      <c r="H331" s="14"/>
      <c r="I331" s="14"/>
      <c r="J331" s="15" t="str">
        <f>IF(H331="","",H331*SETTINGS!$B$9)</f>
        <v/>
      </c>
      <c r="K331" s="15" t="str">
        <f>IF(I331="","",I331*SETTINGS!$B$10)</f>
        <v/>
      </c>
      <c r="L331" s="15" t="str">
        <f t="shared" si="21"/>
        <v/>
      </c>
      <c r="M331" s="10" t="str">
        <f t="shared" si="22"/>
        <v/>
      </c>
      <c r="N331" s="10" t="str">
        <f t="shared" si="23"/>
        <v/>
      </c>
      <c r="O331" s="8"/>
    </row>
    <row r="332" spans="1:15" x14ac:dyDescent="0.2">
      <c r="A332" s="10" t="str">
        <f t="shared" si="20"/>
        <v/>
      </c>
      <c r="B332" s="8"/>
      <c r="C332" s="8"/>
      <c r="D332" s="8"/>
      <c r="E332" s="8" t="str">
        <f ca="1">IFERROR(_xludf.XLOOKUP(D332,STUDENTS!$A$5:$A$204,STUDENTS!$C$5:$C$204,""),"")</f>
        <v/>
      </c>
      <c r="F332" s="8" t="str">
        <f ca="1">IFERROR(_xludf.XLOOKUP(D332,STUDENTS!$A$5:$A$204,STUDENTS!$L$5:$L$204,""),"")</f>
        <v/>
      </c>
      <c r="G332" s="8"/>
      <c r="H332" s="14"/>
      <c r="I332" s="14"/>
      <c r="J332" s="15" t="str">
        <f>IF(H332="","",H332*SETTINGS!$B$9)</f>
        <v/>
      </c>
      <c r="K332" s="15" t="str">
        <f>IF(I332="","",I332*SETTINGS!$B$10)</f>
        <v/>
      </c>
      <c r="L332" s="15" t="str">
        <f t="shared" si="21"/>
        <v/>
      </c>
      <c r="M332" s="10" t="str">
        <f t="shared" si="22"/>
        <v/>
      </c>
      <c r="N332" s="10" t="str">
        <f t="shared" si="23"/>
        <v/>
      </c>
      <c r="O332" s="8"/>
    </row>
    <row r="333" spans="1:15" x14ac:dyDescent="0.2">
      <c r="A333" s="10" t="str">
        <f t="shared" si="20"/>
        <v/>
      </c>
      <c r="B333" s="8"/>
      <c r="C333" s="8"/>
      <c r="D333" s="8"/>
      <c r="E333" s="8" t="str">
        <f ca="1">IFERROR(_xludf.XLOOKUP(D333,STUDENTS!$A$5:$A$204,STUDENTS!$C$5:$C$204,""),"")</f>
        <v/>
      </c>
      <c r="F333" s="8" t="str">
        <f ca="1">IFERROR(_xludf.XLOOKUP(D333,STUDENTS!$A$5:$A$204,STUDENTS!$L$5:$L$204,""),"")</f>
        <v/>
      </c>
      <c r="G333" s="8"/>
      <c r="H333" s="14"/>
      <c r="I333" s="14"/>
      <c r="J333" s="15" t="str">
        <f>IF(H333="","",H333*SETTINGS!$B$9)</f>
        <v/>
      </c>
      <c r="K333" s="15" t="str">
        <f>IF(I333="","",I333*SETTINGS!$B$10)</f>
        <v/>
      </c>
      <c r="L333" s="15" t="str">
        <f t="shared" si="21"/>
        <v/>
      </c>
      <c r="M333" s="10" t="str">
        <f t="shared" si="22"/>
        <v/>
      </c>
      <c r="N333" s="10" t="str">
        <f t="shared" si="23"/>
        <v/>
      </c>
      <c r="O333" s="8"/>
    </row>
    <row r="334" spans="1:15" x14ac:dyDescent="0.2">
      <c r="A334" s="10" t="str">
        <f t="shared" si="20"/>
        <v/>
      </c>
      <c r="B334" s="8"/>
      <c r="C334" s="8"/>
      <c r="D334" s="8"/>
      <c r="E334" s="8" t="str">
        <f ca="1">IFERROR(_xludf.XLOOKUP(D334,STUDENTS!$A$5:$A$204,STUDENTS!$C$5:$C$204,""),"")</f>
        <v/>
      </c>
      <c r="F334" s="8" t="str">
        <f ca="1">IFERROR(_xludf.XLOOKUP(D334,STUDENTS!$A$5:$A$204,STUDENTS!$L$5:$L$204,""),"")</f>
        <v/>
      </c>
      <c r="G334" s="8"/>
      <c r="H334" s="14"/>
      <c r="I334" s="14"/>
      <c r="J334" s="15" t="str">
        <f>IF(H334="","",H334*SETTINGS!$B$9)</f>
        <v/>
      </c>
      <c r="K334" s="15" t="str">
        <f>IF(I334="","",I334*SETTINGS!$B$10)</f>
        <v/>
      </c>
      <c r="L334" s="15" t="str">
        <f t="shared" si="21"/>
        <v/>
      </c>
      <c r="M334" s="10" t="str">
        <f t="shared" si="22"/>
        <v/>
      </c>
      <c r="N334" s="10" t="str">
        <f t="shared" si="23"/>
        <v/>
      </c>
      <c r="O334" s="8"/>
    </row>
    <row r="335" spans="1:15" x14ac:dyDescent="0.2">
      <c r="A335" s="10" t="str">
        <f t="shared" si="20"/>
        <v/>
      </c>
      <c r="B335" s="8"/>
      <c r="C335" s="8"/>
      <c r="D335" s="8"/>
      <c r="E335" s="8" t="str">
        <f ca="1">IFERROR(_xludf.XLOOKUP(D335,STUDENTS!$A$5:$A$204,STUDENTS!$C$5:$C$204,""),"")</f>
        <v/>
      </c>
      <c r="F335" s="8" t="str">
        <f ca="1">IFERROR(_xludf.XLOOKUP(D335,STUDENTS!$A$5:$A$204,STUDENTS!$L$5:$L$204,""),"")</f>
        <v/>
      </c>
      <c r="G335" s="8"/>
      <c r="H335" s="14"/>
      <c r="I335" s="14"/>
      <c r="J335" s="15" t="str">
        <f>IF(H335="","",H335*SETTINGS!$B$9)</f>
        <v/>
      </c>
      <c r="K335" s="15" t="str">
        <f>IF(I335="","",I335*SETTINGS!$B$10)</f>
        <v/>
      </c>
      <c r="L335" s="15" t="str">
        <f t="shared" si="21"/>
        <v/>
      </c>
      <c r="M335" s="10" t="str">
        <f t="shared" si="22"/>
        <v/>
      </c>
      <c r="N335" s="10" t="str">
        <f t="shared" si="23"/>
        <v/>
      </c>
      <c r="O335" s="8"/>
    </row>
    <row r="336" spans="1:15" x14ac:dyDescent="0.2">
      <c r="A336" s="10" t="str">
        <f t="shared" si="20"/>
        <v/>
      </c>
      <c r="B336" s="8"/>
      <c r="C336" s="8"/>
      <c r="D336" s="8"/>
      <c r="E336" s="8" t="str">
        <f ca="1">IFERROR(_xludf.XLOOKUP(D336,STUDENTS!$A$5:$A$204,STUDENTS!$C$5:$C$204,""),"")</f>
        <v/>
      </c>
      <c r="F336" s="8" t="str">
        <f ca="1">IFERROR(_xludf.XLOOKUP(D336,STUDENTS!$A$5:$A$204,STUDENTS!$L$5:$L$204,""),"")</f>
        <v/>
      </c>
      <c r="G336" s="8"/>
      <c r="H336" s="14"/>
      <c r="I336" s="14"/>
      <c r="J336" s="15" t="str">
        <f>IF(H336="","",H336*SETTINGS!$B$9)</f>
        <v/>
      </c>
      <c r="K336" s="15" t="str">
        <f>IF(I336="","",I336*SETTINGS!$B$10)</f>
        <v/>
      </c>
      <c r="L336" s="15" t="str">
        <f t="shared" si="21"/>
        <v/>
      </c>
      <c r="M336" s="10" t="str">
        <f t="shared" si="22"/>
        <v/>
      </c>
      <c r="N336" s="10" t="str">
        <f t="shared" si="23"/>
        <v/>
      </c>
      <c r="O336" s="8"/>
    </row>
    <row r="337" spans="1:15" x14ac:dyDescent="0.2">
      <c r="A337" s="10" t="str">
        <f t="shared" si="20"/>
        <v/>
      </c>
      <c r="B337" s="8"/>
      <c r="C337" s="8"/>
      <c r="D337" s="8"/>
      <c r="E337" s="8" t="str">
        <f ca="1">IFERROR(_xludf.XLOOKUP(D337,STUDENTS!$A$5:$A$204,STUDENTS!$C$5:$C$204,""),"")</f>
        <v/>
      </c>
      <c r="F337" s="8" t="str">
        <f ca="1">IFERROR(_xludf.XLOOKUP(D337,STUDENTS!$A$5:$A$204,STUDENTS!$L$5:$L$204,""),"")</f>
        <v/>
      </c>
      <c r="G337" s="8"/>
      <c r="H337" s="14"/>
      <c r="I337" s="14"/>
      <c r="J337" s="15" t="str">
        <f>IF(H337="","",H337*SETTINGS!$B$9)</f>
        <v/>
      </c>
      <c r="K337" s="15" t="str">
        <f>IF(I337="","",I337*SETTINGS!$B$10)</f>
        <v/>
      </c>
      <c r="L337" s="15" t="str">
        <f t="shared" si="21"/>
        <v/>
      </c>
      <c r="M337" s="10" t="str">
        <f t="shared" si="22"/>
        <v/>
      </c>
      <c r="N337" s="10" t="str">
        <f t="shared" si="23"/>
        <v/>
      </c>
      <c r="O337" s="8"/>
    </row>
    <row r="338" spans="1:15" x14ac:dyDescent="0.2">
      <c r="A338" s="10" t="str">
        <f t="shared" si="20"/>
        <v/>
      </c>
      <c r="B338" s="8"/>
      <c r="C338" s="8"/>
      <c r="D338" s="8"/>
      <c r="E338" s="8" t="str">
        <f ca="1">IFERROR(_xludf.XLOOKUP(D338,STUDENTS!$A$5:$A$204,STUDENTS!$C$5:$C$204,""),"")</f>
        <v/>
      </c>
      <c r="F338" s="8" t="str">
        <f ca="1">IFERROR(_xludf.XLOOKUP(D338,STUDENTS!$A$5:$A$204,STUDENTS!$L$5:$L$204,""),"")</f>
        <v/>
      </c>
      <c r="G338" s="8"/>
      <c r="H338" s="14"/>
      <c r="I338" s="14"/>
      <c r="J338" s="15" t="str">
        <f>IF(H338="","",H338*SETTINGS!$B$9)</f>
        <v/>
      </c>
      <c r="K338" s="15" t="str">
        <f>IF(I338="","",I338*SETTINGS!$B$10)</f>
        <v/>
      </c>
      <c r="L338" s="15" t="str">
        <f t="shared" si="21"/>
        <v/>
      </c>
      <c r="M338" s="10" t="str">
        <f t="shared" si="22"/>
        <v/>
      </c>
      <c r="N338" s="10" t="str">
        <f t="shared" si="23"/>
        <v/>
      </c>
      <c r="O338" s="8"/>
    </row>
    <row r="339" spans="1:15" x14ac:dyDescent="0.2">
      <c r="A339" s="10" t="str">
        <f t="shared" si="20"/>
        <v/>
      </c>
      <c r="B339" s="8"/>
      <c r="C339" s="8"/>
      <c r="D339" s="8"/>
      <c r="E339" s="8" t="str">
        <f ca="1">IFERROR(_xludf.XLOOKUP(D339,STUDENTS!$A$5:$A$204,STUDENTS!$C$5:$C$204,""),"")</f>
        <v/>
      </c>
      <c r="F339" s="8" t="str">
        <f ca="1">IFERROR(_xludf.XLOOKUP(D339,STUDENTS!$A$5:$A$204,STUDENTS!$L$5:$L$204,""),"")</f>
        <v/>
      </c>
      <c r="G339" s="8"/>
      <c r="H339" s="14"/>
      <c r="I339" s="14"/>
      <c r="J339" s="15" t="str">
        <f>IF(H339="","",H339*SETTINGS!$B$9)</f>
        <v/>
      </c>
      <c r="K339" s="15" t="str">
        <f>IF(I339="","",I339*SETTINGS!$B$10)</f>
        <v/>
      </c>
      <c r="L339" s="15" t="str">
        <f t="shared" si="21"/>
        <v/>
      </c>
      <c r="M339" s="10" t="str">
        <f t="shared" si="22"/>
        <v/>
      </c>
      <c r="N339" s="10" t="str">
        <f t="shared" si="23"/>
        <v/>
      </c>
      <c r="O339" s="8"/>
    </row>
    <row r="340" spans="1:15" x14ac:dyDescent="0.2">
      <c r="A340" s="10" t="str">
        <f t="shared" si="20"/>
        <v/>
      </c>
      <c r="B340" s="8"/>
      <c r="C340" s="8"/>
      <c r="D340" s="8"/>
      <c r="E340" s="8" t="str">
        <f ca="1">IFERROR(_xludf.XLOOKUP(D340,STUDENTS!$A$5:$A$204,STUDENTS!$C$5:$C$204,""),"")</f>
        <v/>
      </c>
      <c r="F340" s="8" t="str">
        <f ca="1">IFERROR(_xludf.XLOOKUP(D340,STUDENTS!$A$5:$A$204,STUDENTS!$L$5:$L$204,""),"")</f>
        <v/>
      </c>
      <c r="G340" s="8"/>
      <c r="H340" s="14"/>
      <c r="I340" s="14"/>
      <c r="J340" s="15" t="str">
        <f>IF(H340="","",H340*SETTINGS!$B$9)</f>
        <v/>
      </c>
      <c r="K340" s="15" t="str">
        <f>IF(I340="","",I340*SETTINGS!$B$10)</f>
        <v/>
      </c>
      <c r="L340" s="15" t="str">
        <f t="shared" si="21"/>
        <v/>
      </c>
      <c r="M340" s="10" t="str">
        <f t="shared" si="22"/>
        <v/>
      </c>
      <c r="N340" s="10" t="str">
        <f t="shared" si="23"/>
        <v/>
      </c>
      <c r="O340" s="8"/>
    </row>
    <row r="341" spans="1:15" x14ac:dyDescent="0.2">
      <c r="A341" s="10" t="str">
        <f t="shared" si="20"/>
        <v/>
      </c>
      <c r="B341" s="8"/>
      <c r="C341" s="8"/>
      <c r="D341" s="8"/>
      <c r="E341" s="8" t="str">
        <f ca="1">IFERROR(_xludf.XLOOKUP(D341,STUDENTS!$A$5:$A$204,STUDENTS!$C$5:$C$204,""),"")</f>
        <v/>
      </c>
      <c r="F341" s="8" t="str">
        <f ca="1">IFERROR(_xludf.XLOOKUP(D341,STUDENTS!$A$5:$A$204,STUDENTS!$L$5:$L$204,""),"")</f>
        <v/>
      </c>
      <c r="G341" s="8"/>
      <c r="H341" s="14"/>
      <c r="I341" s="14"/>
      <c r="J341" s="15" t="str">
        <f>IF(H341="","",H341*SETTINGS!$B$9)</f>
        <v/>
      </c>
      <c r="K341" s="15" t="str">
        <f>IF(I341="","",I341*SETTINGS!$B$10)</f>
        <v/>
      </c>
      <c r="L341" s="15" t="str">
        <f t="shared" si="21"/>
        <v/>
      </c>
      <c r="M341" s="10" t="str">
        <f t="shared" si="22"/>
        <v/>
      </c>
      <c r="N341" s="10" t="str">
        <f t="shared" si="23"/>
        <v/>
      </c>
      <c r="O341" s="8"/>
    </row>
    <row r="342" spans="1:15" x14ac:dyDescent="0.2">
      <c r="A342" s="10" t="str">
        <f t="shared" si="20"/>
        <v/>
      </c>
      <c r="B342" s="8"/>
      <c r="C342" s="8"/>
      <c r="D342" s="8"/>
      <c r="E342" s="8" t="str">
        <f ca="1">IFERROR(_xludf.XLOOKUP(D342,STUDENTS!$A$5:$A$204,STUDENTS!$C$5:$C$204,""),"")</f>
        <v/>
      </c>
      <c r="F342" s="8" t="str">
        <f ca="1">IFERROR(_xludf.XLOOKUP(D342,STUDENTS!$A$5:$A$204,STUDENTS!$L$5:$L$204,""),"")</f>
        <v/>
      </c>
      <c r="G342" s="8"/>
      <c r="H342" s="14"/>
      <c r="I342" s="14"/>
      <c r="J342" s="15" t="str">
        <f>IF(H342="","",H342*SETTINGS!$B$9)</f>
        <v/>
      </c>
      <c r="K342" s="15" t="str">
        <f>IF(I342="","",I342*SETTINGS!$B$10)</f>
        <v/>
      </c>
      <c r="L342" s="15" t="str">
        <f t="shared" si="21"/>
        <v/>
      </c>
      <c r="M342" s="10" t="str">
        <f t="shared" si="22"/>
        <v/>
      </c>
      <c r="N342" s="10" t="str">
        <f t="shared" si="23"/>
        <v/>
      </c>
      <c r="O342" s="8"/>
    </row>
    <row r="343" spans="1:15" x14ac:dyDescent="0.2">
      <c r="A343" s="10" t="str">
        <f t="shared" si="20"/>
        <v/>
      </c>
      <c r="B343" s="8"/>
      <c r="C343" s="8"/>
      <c r="D343" s="8"/>
      <c r="E343" s="8" t="str">
        <f ca="1">IFERROR(_xludf.XLOOKUP(D343,STUDENTS!$A$5:$A$204,STUDENTS!$C$5:$C$204,""),"")</f>
        <v/>
      </c>
      <c r="F343" s="8" t="str">
        <f ca="1">IFERROR(_xludf.XLOOKUP(D343,STUDENTS!$A$5:$A$204,STUDENTS!$L$5:$L$204,""),"")</f>
        <v/>
      </c>
      <c r="G343" s="8"/>
      <c r="H343" s="14"/>
      <c r="I343" s="14"/>
      <c r="J343" s="15" t="str">
        <f>IF(H343="","",H343*SETTINGS!$B$9)</f>
        <v/>
      </c>
      <c r="K343" s="15" t="str">
        <f>IF(I343="","",I343*SETTINGS!$B$10)</f>
        <v/>
      </c>
      <c r="L343" s="15" t="str">
        <f t="shared" si="21"/>
        <v/>
      </c>
      <c r="M343" s="10" t="str">
        <f t="shared" si="22"/>
        <v/>
      </c>
      <c r="N343" s="10" t="str">
        <f t="shared" si="23"/>
        <v/>
      </c>
      <c r="O343" s="8"/>
    </row>
    <row r="344" spans="1:15" x14ac:dyDescent="0.2">
      <c r="A344" s="10" t="str">
        <f t="shared" si="20"/>
        <v/>
      </c>
      <c r="B344" s="8"/>
      <c r="C344" s="8"/>
      <c r="D344" s="8"/>
      <c r="E344" s="8" t="str">
        <f ca="1">IFERROR(_xludf.XLOOKUP(D344,STUDENTS!$A$5:$A$204,STUDENTS!$C$5:$C$204,""),"")</f>
        <v/>
      </c>
      <c r="F344" s="8" t="str">
        <f ca="1">IFERROR(_xludf.XLOOKUP(D344,STUDENTS!$A$5:$A$204,STUDENTS!$L$5:$L$204,""),"")</f>
        <v/>
      </c>
      <c r="G344" s="8"/>
      <c r="H344" s="14"/>
      <c r="I344" s="14"/>
      <c r="J344" s="15" t="str">
        <f>IF(H344="","",H344*SETTINGS!$B$9)</f>
        <v/>
      </c>
      <c r="K344" s="15" t="str">
        <f>IF(I344="","",I344*SETTINGS!$B$10)</f>
        <v/>
      </c>
      <c r="L344" s="15" t="str">
        <f t="shared" si="21"/>
        <v/>
      </c>
      <c r="M344" s="10" t="str">
        <f t="shared" si="22"/>
        <v/>
      </c>
      <c r="N344" s="10" t="str">
        <f t="shared" si="23"/>
        <v/>
      </c>
      <c r="O344" s="8"/>
    </row>
    <row r="345" spans="1:15" x14ac:dyDescent="0.2">
      <c r="A345" s="10" t="str">
        <f t="shared" si="20"/>
        <v/>
      </c>
      <c r="B345" s="8"/>
      <c r="C345" s="8"/>
      <c r="D345" s="8"/>
      <c r="E345" s="8" t="str">
        <f ca="1">IFERROR(_xludf.XLOOKUP(D345,STUDENTS!$A$5:$A$204,STUDENTS!$C$5:$C$204,""),"")</f>
        <v/>
      </c>
      <c r="F345" s="8" t="str">
        <f ca="1">IFERROR(_xludf.XLOOKUP(D345,STUDENTS!$A$5:$A$204,STUDENTS!$L$5:$L$204,""),"")</f>
        <v/>
      </c>
      <c r="G345" s="8"/>
      <c r="H345" s="14"/>
      <c r="I345" s="14"/>
      <c r="J345" s="15" t="str">
        <f>IF(H345="","",H345*SETTINGS!$B$9)</f>
        <v/>
      </c>
      <c r="K345" s="15" t="str">
        <f>IF(I345="","",I345*SETTINGS!$B$10)</f>
        <v/>
      </c>
      <c r="L345" s="15" t="str">
        <f t="shared" si="21"/>
        <v/>
      </c>
      <c r="M345" s="10" t="str">
        <f t="shared" si="22"/>
        <v/>
      </c>
      <c r="N345" s="10" t="str">
        <f t="shared" si="23"/>
        <v/>
      </c>
      <c r="O345" s="8"/>
    </row>
    <row r="346" spans="1:15" x14ac:dyDescent="0.2">
      <c r="A346" s="10" t="str">
        <f t="shared" si="20"/>
        <v/>
      </c>
      <c r="B346" s="8"/>
      <c r="C346" s="8"/>
      <c r="D346" s="8"/>
      <c r="E346" s="8" t="str">
        <f ca="1">IFERROR(_xludf.XLOOKUP(D346,STUDENTS!$A$5:$A$204,STUDENTS!$C$5:$C$204,""),"")</f>
        <v/>
      </c>
      <c r="F346" s="8" t="str">
        <f ca="1">IFERROR(_xludf.XLOOKUP(D346,STUDENTS!$A$5:$A$204,STUDENTS!$L$5:$L$204,""),"")</f>
        <v/>
      </c>
      <c r="G346" s="8"/>
      <c r="H346" s="14"/>
      <c r="I346" s="14"/>
      <c r="J346" s="15" t="str">
        <f>IF(H346="","",H346*SETTINGS!$B$9)</f>
        <v/>
      </c>
      <c r="K346" s="15" t="str">
        <f>IF(I346="","",I346*SETTINGS!$B$10)</f>
        <v/>
      </c>
      <c r="L346" s="15" t="str">
        <f t="shared" si="21"/>
        <v/>
      </c>
      <c r="M346" s="10" t="str">
        <f t="shared" si="22"/>
        <v/>
      </c>
      <c r="N346" s="10" t="str">
        <f t="shared" si="23"/>
        <v/>
      </c>
      <c r="O346" s="8"/>
    </row>
    <row r="347" spans="1:15" x14ac:dyDescent="0.2">
      <c r="A347" s="10" t="str">
        <f t="shared" si="20"/>
        <v/>
      </c>
      <c r="B347" s="8"/>
      <c r="C347" s="8"/>
      <c r="D347" s="8"/>
      <c r="E347" s="8" t="str">
        <f ca="1">IFERROR(_xludf.XLOOKUP(D347,STUDENTS!$A$5:$A$204,STUDENTS!$C$5:$C$204,""),"")</f>
        <v/>
      </c>
      <c r="F347" s="8" t="str">
        <f ca="1">IFERROR(_xludf.XLOOKUP(D347,STUDENTS!$A$5:$A$204,STUDENTS!$L$5:$L$204,""),"")</f>
        <v/>
      </c>
      <c r="G347" s="8"/>
      <c r="H347" s="14"/>
      <c r="I347" s="14"/>
      <c r="J347" s="15" t="str">
        <f>IF(H347="","",H347*SETTINGS!$B$9)</f>
        <v/>
      </c>
      <c r="K347" s="15" t="str">
        <f>IF(I347="","",I347*SETTINGS!$B$10)</f>
        <v/>
      </c>
      <c r="L347" s="15" t="str">
        <f t="shared" si="21"/>
        <v/>
      </c>
      <c r="M347" s="10" t="str">
        <f t="shared" si="22"/>
        <v/>
      </c>
      <c r="N347" s="10" t="str">
        <f t="shared" si="23"/>
        <v/>
      </c>
      <c r="O347" s="8"/>
    </row>
    <row r="348" spans="1:15" x14ac:dyDescent="0.2">
      <c r="A348" s="10" t="str">
        <f t="shared" si="20"/>
        <v/>
      </c>
      <c r="B348" s="8"/>
      <c r="C348" s="8"/>
      <c r="D348" s="8"/>
      <c r="E348" s="8" t="str">
        <f ca="1">IFERROR(_xludf.XLOOKUP(D348,STUDENTS!$A$5:$A$204,STUDENTS!$C$5:$C$204,""),"")</f>
        <v/>
      </c>
      <c r="F348" s="8" t="str">
        <f ca="1">IFERROR(_xludf.XLOOKUP(D348,STUDENTS!$A$5:$A$204,STUDENTS!$L$5:$L$204,""),"")</f>
        <v/>
      </c>
      <c r="G348" s="8"/>
      <c r="H348" s="14"/>
      <c r="I348" s="14"/>
      <c r="J348" s="15" t="str">
        <f>IF(H348="","",H348*SETTINGS!$B$9)</f>
        <v/>
      </c>
      <c r="K348" s="15" t="str">
        <f>IF(I348="","",I348*SETTINGS!$B$10)</f>
        <v/>
      </c>
      <c r="L348" s="15" t="str">
        <f t="shared" si="21"/>
        <v/>
      </c>
      <c r="M348" s="10" t="str">
        <f t="shared" si="22"/>
        <v/>
      </c>
      <c r="N348" s="10" t="str">
        <f t="shared" si="23"/>
        <v/>
      </c>
      <c r="O348" s="8"/>
    </row>
    <row r="349" spans="1:15" x14ac:dyDescent="0.2">
      <c r="A349" s="10" t="str">
        <f t="shared" si="20"/>
        <v/>
      </c>
      <c r="B349" s="8"/>
      <c r="C349" s="8"/>
      <c r="D349" s="8"/>
      <c r="E349" s="8" t="str">
        <f ca="1">IFERROR(_xludf.XLOOKUP(D349,STUDENTS!$A$5:$A$204,STUDENTS!$C$5:$C$204,""),"")</f>
        <v/>
      </c>
      <c r="F349" s="8" t="str">
        <f ca="1">IFERROR(_xludf.XLOOKUP(D349,STUDENTS!$A$5:$A$204,STUDENTS!$L$5:$L$204,""),"")</f>
        <v/>
      </c>
      <c r="G349" s="8"/>
      <c r="H349" s="14"/>
      <c r="I349" s="14"/>
      <c r="J349" s="15" t="str">
        <f>IF(H349="","",H349*SETTINGS!$B$9)</f>
        <v/>
      </c>
      <c r="K349" s="15" t="str">
        <f>IF(I349="","",I349*SETTINGS!$B$10)</f>
        <v/>
      </c>
      <c r="L349" s="15" t="str">
        <f t="shared" si="21"/>
        <v/>
      </c>
      <c r="M349" s="10" t="str">
        <f t="shared" si="22"/>
        <v/>
      </c>
      <c r="N349" s="10" t="str">
        <f t="shared" si="23"/>
        <v/>
      </c>
      <c r="O349" s="8"/>
    </row>
    <row r="350" spans="1:15" x14ac:dyDescent="0.2">
      <c r="A350" s="10" t="str">
        <f t="shared" si="20"/>
        <v/>
      </c>
      <c r="B350" s="8"/>
      <c r="C350" s="8"/>
      <c r="D350" s="8"/>
      <c r="E350" s="8" t="str">
        <f ca="1">IFERROR(_xludf.XLOOKUP(D350,STUDENTS!$A$5:$A$204,STUDENTS!$C$5:$C$204,""),"")</f>
        <v/>
      </c>
      <c r="F350" s="8" t="str">
        <f ca="1">IFERROR(_xludf.XLOOKUP(D350,STUDENTS!$A$5:$A$204,STUDENTS!$L$5:$L$204,""),"")</f>
        <v/>
      </c>
      <c r="G350" s="8"/>
      <c r="H350" s="14"/>
      <c r="I350" s="14"/>
      <c r="J350" s="15" t="str">
        <f>IF(H350="","",H350*SETTINGS!$B$9)</f>
        <v/>
      </c>
      <c r="K350" s="15" t="str">
        <f>IF(I350="","",I350*SETTINGS!$B$10)</f>
        <v/>
      </c>
      <c r="L350" s="15" t="str">
        <f t="shared" si="21"/>
        <v/>
      </c>
      <c r="M350" s="10" t="str">
        <f t="shared" si="22"/>
        <v/>
      </c>
      <c r="N350" s="10" t="str">
        <f t="shared" si="23"/>
        <v/>
      </c>
      <c r="O350" s="8"/>
    </row>
    <row r="351" spans="1:15" x14ac:dyDescent="0.2">
      <c r="A351" s="10" t="str">
        <f t="shared" si="20"/>
        <v/>
      </c>
      <c r="B351" s="8"/>
      <c r="C351" s="8"/>
      <c r="D351" s="8"/>
      <c r="E351" s="8" t="str">
        <f ca="1">IFERROR(_xludf.XLOOKUP(D351,STUDENTS!$A$5:$A$204,STUDENTS!$C$5:$C$204,""),"")</f>
        <v/>
      </c>
      <c r="F351" s="8" t="str">
        <f ca="1">IFERROR(_xludf.XLOOKUP(D351,STUDENTS!$A$5:$A$204,STUDENTS!$L$5:$L$204,""),"")</f>
        <v/>
      </c>
      <c r="G351" s="8"/>
      <c r="H351" s="14"/>
      <c r="I351" s="14"/>
      <c r="J351" s="15" t="str">
        <f>IF(H351="","",H351*SETTINGS!$B$9)</f>
        <v/>
      </c>
      <c r="K351" s="15" t="str">
        <f>IF(I351="","",I351*SETTINGS!$B$10)</f>
        <v/>
      </c>
      <c r="L351" s="15" t="str">
        <f t="shared" si="21"/>
        <v/>
      </c>
      <c r="M351" s="10" t="str">
        <f t="shared" si="22"/>
        <v/>
      </c>
      <c r="N351" s="10" t="str">
        <f t="shared" si="23"/>
        <v/>
      </c>
      <c r="O351" s="8"/>
    </row>
    <row r="352" spans="1:15" x14ac:dyDescent="0.2">
      <c r="A352" s="10" t="str">
        <f t="shared" si="20"/>
        <v/>
      </c>
      <c r="B352" s="8"/>
      <c r="C352" s="8"/>
      <c r="D352" s="8"/>
      <c r="E352" s="8" t="str">
        <f ca="1">IFERROR(_xludf.XLOOKUP(D352,STUDENTS!$A$5:$A$204,STUDENTS!$C$5:$C$204,""),"")</f>
        <v/>
      </c>
      <c r="F352" s="8" t="str">
        <f ca="1">IFERROR(_xludf.XLOOKUP(D352,STUDENTS!$A$5:$A$204,STUDENTS!$L$5:$L$204,""),"")</f>
        <v/>
      </c>
      <c r="G352" s="8"/>
      <c r="H352" s="14"/>
      <c r="I352" s="14"/>
      <c r="J352" s="15" t="str">
        <f>IF(H352="","",H352*SETTINGS!$B$9)</f>
        <v/>
      </c>
      <c r="K352" s="15" t="str">
        <f>IF(I352="","",I352*SETTINGS!$B$10)</f>
        <v/>
      </c>
      <c r="L352" s="15" t="str">
        <f t="shared" si="21"/>
        <v/>
      </c>
      <c r="M352" s="10" t="str">
        <f t="shared" si="22"/>
        <v/>
      </c>
      <c r="N352" s="10" t="str">
        <f t="shared" si="23"/>
        <v/>
      </c>
      <c r="O352" s="8"/>
    </row>
    <row r="353" spans="1:15" x14ac:dyDescent="0.2">
      <c r="A353" s="10" t="str">
        <f t="shared" si="20"/>
        <v/>
      </c>
      <c r="B353" s="8"/>
      <c r="C353" s="8"/>
      <c r="D353" s="8"/>
      <c r="E353" s="8" t="str">
        <f ca="1">IFERROR(_xludf.XLOOKUP(D353,STUDENTS!$A$5:$A$204,STUDENTS!$C$5:$C$204,""),"")</f>
        <v/>
      </c>
      <c r="F353" s="8" t="str">
        <f ca="1">IFERROR(_xludf.XLOOKUP(D353,STUDENTS!$A$5:$A$204,STUDENTS!$L$5:$L$204,""),"")</f>
        <v/>
      </c>
      <c r="G353" s="8"/>
      <c r="H353" s="14"/>
      <c r="I353" s="14"/>
      <c r="J353" s="15" t="str">
        <f>IF(H353="","",H353*SETTINGS!$B$9)</f>
        <v/>
      </c>
      <c r="K353" s="15" t="str">
        <f>IF(I353="","",I353*SETTINGS!$B$10)</f>
        <v/>
      </c>
      <c r="L353" s="15" t="str">
        <f t="shared" si="21"/>
        <v/>
      </c>
      <c r="M353" s="10" t="str">
        <f t="shared" si="22"/>
        <v/>
      </c>
      <c r="N353" s="10" t="str">
        <f t="shared" si="23"/>
        <v/>
      </c>
      <c r="O353" s="8"/>
    </row>
    <row r="354" spans="1:15" x14ac:dyDescent="0.2">
      <c r="A354" s="10" t="str">
        <f t="shared" si="20"/>
        <v/>
      </c>
      <c r="B354" s="8"/>
      <c r="C354" s="8"/>
      <c r="D354" s="8"/>
      <c r="E354" s="8" t="str">
        <f ca="1">IFERROR(_xludf.XLOOKUP(D354,STUDENTS!$A$5:$A$204,STUDENTS!$C$5:$C$204,""),"")</f>
        <v/>
      </c>
      <c r="F354" s="8" t="str">
        <f ca="1">IFERROR(_xludf.XLOOKUP(D354,STUDENTS!$A$5:$A$204,STUDENTS!$L$5:$L$204,""),"")</f>
        <v/>
      </c>
      <c r="G354" s="8"/>
      <c r="H354" s="14"/>
      <c r="I354" s="14"/>
      <c r="J354" s="15" t="str">
        <f>IF(H354="","",H354*SETTINGS!$B$9)</f>
        <v/>
      </c>
      <c r="K354" s="15" t="str">
        <f>IF(I354="","",I354*SETTINGS!$B$10)</f>
        <v/>
      </c>
      <c r="L354" s="15" t="str">
        <f t="shared" si="21"/>
        <v/>
      </c>
      <c r="M354" s="10" t="str">
        <f t="shared" si="22"/>
        <v/>
      </c>
      <c r="N354" s="10" t="str">
        <f t="shared" si="23"/>
        <v/>
      </c>
      <c r="O354" s="8"/>
    </row>
    <row r="355" spans="1:15" x14ac:dyDescent="0.2">
      <c r="A355" s="10" t="str">
        <f t="shared" si="20"/>
        <v/>
      </c>
      <c r="B355" s="8"/>
      <c r="C355" s="8"/>
      <c r="D355" s="8"/>
      <c r="E355" s="8" t="str">
        <f ca="1">IFERROR(_xludf.XLOOKUP(D355,STUDENTS!$A$5:$A$204,STUDENTS!$C$5:$C$204,""),"")</f>
        <v/>
      </c>
      <c r="F355" s="8" t="str">
        <f ca="1">IFERROR(_xludf.XLOOKUP(D355,STUDENTS!$A$5:$A$204,STUDENTS!$L$5:$L$204,""),"")</f>
        <v/>
      </c>
      <c r="G355" s="8"/>
      <c r="H355" s="14"/>
      <c r="I355" s="14"/>
      <c r="J355" s="15" t="str">
        <f>IF(H355="","",H355*SETTINGS!$B$9)</f>
        <v/>
      </c>
      <c r="K355" s="15" t="str">
        <f>IF(I355="","",I355*SETTINGS!$B$10)</f>
        <v/>
      </c>
      <c r="L355" s="15" t="str">
        <f t="shared" si="21"/>
        <v/>
      </c>
      <c r="M355" s="10" t="str">
        <f t="shared" si="22"/>
        <v/>
      </c>
      <c r="N355" s="10" t="str">
        <f t="shared" si="23"/>
        <v/>
      </c>
      <c r="O355" s="8"/>
    </row>
    <row r="356" spans="1:15" x14ac:dyDescent="0.2">
      <c r="A356" s="10" t="str">
        <f t="shared" si="20"/>
        <v/>
      </c>
      <c r="B356" s="8"/>
      <c r="C356" s="8"/>
      <c r="D356" s="8"/>
      <c r="E356" s="8" t="str">
        <f ca="1">IFERROR(_xludf.XLOOKUP(D356,STUDENTS!$A$5:$A$204,STUDENTS!$C$5:$C$204,""),"")</f>
        <v/>
      </c>
      <c r="F356" s="8" t="str">
        <f ca="1">IFERROR(_xludf.XLOOKUP(D356,STUDENTS!$A$5:$A$204,STUDENTS!$L$5:$L$204,""),"")</f>
        <v/>
      </c>
      <c r="G356" s="8"/>
      <c r="H356" s="14"/>
      <c r="I356" s="14"/>
      <c r="J356" s="15" t="str">
        <f>IF(H356="","",H356*SETTINGS!$B$9)</f>
        <v/>
      </c>
      <c r="K356" s="15" t="str">
        <f>IF(I356="","",I356*SETTINGS!$B$10)</f>
        <v/>
      </c>
      <c r="L356" s="15" t="str">
        <f t="shared" si="21"/>
        <v/>
      </c>
      <c r="M356" s="10" t="str">
        <f t="shared" si="22"/>
        <v/>
      </c>
      <c r="N356" s="10" t="str">
        <f t="shared" si="23"/>
        <v/>
      </c>
      <c r="O356" s="8"/>
    </row>
    <row r="357" spans="1:15" x14ac:dyDescent="0.2">
      <c r="A357" s="10" t="str">
        <f t="shared" si="20"/>
        <v/>
      </c>
      <c r="B357" s="8"/>
      <c r="C357" s="8"/>
      <c r="D357" s="8"/>
      <c r="E357" s="8" t="str">
        <f ca="1">IFERROR(_xludf.XLOOKUP(D357,STUDENTS!$A$5:$A$204,STUDENTS!$C$5:$C$204,""),"")</f>
        <v/>
      </c>
      <c r="F357" s="8" t="str">
        <f ca="1">IFERROR(_xludf.XLOOKUP(D357,STUDENTS!$A$5:$A$204,STUDENTS!$L$5:$L$204,""),"")</f>
        <v/>
      </c>
      <c r="G357" s="8"/>
      <c r="H357" s="14"/>
      <c r="I357" s="14"/>
      <c r="J357" s="15" t="str">
        <f>IF(H357="","",H357*SETTINGS!$B$9)</f>
        <v/>
      </c>
      <c r="K357" s="15" t="str">
        <f>IF(I357="","",I357*SETTINGS!$B$10)</f>
        <v/>
      </c>
      <c r="L357" s="15" t="str">
        <f t="shared" si="21"/>
        <v/>
      </c>
      <c r="M357" s="10" t="str">
        <f t="shared" si="22"/>
        <v/>
      </c>
      <c r="N357" s="10" t="str">
        <f t="shared" si="23"/>
        <v/>
      </c>
      <c r="O357" s="8"/>
    </row>
    <row r="358" spans="1:15" x14ac:dyDescent="0.2">
      <c r="A358" s="10" t="str">
        <f t="shared" si="20"/>
        <v/>
      </c>
      <c r="B358" s="8"/>
      <c r="C358" s="8"/>
      <c r="D358" s="8"/>
      <c r="E358" s="8" t="str">
        <f ca="1">IFERROR(_xludf.XLOOKUP(D358,STUDENTS!$A$5:$A$204,STUDENTS!$C$5:$C$204,""),"")</f>
        <v/>
      </c>
      <c r="F358" s="8" t="str">
        <f ca="1">IFERROR(_xludf.XLOOKUP(D358,STUDENTS!$A$5:$A$204,STUDENTS!$L$5:$L$204,""),"")</f>
        <v/>
      </c>
      <c r="G358" s="8"/>
      <c r="H358" s="14"/>
      <c r="I358" s="14"/>
      <c r="J358" s="15" t="str">
        <f>IF(H358="","",H358*SETTINGS!$B$9)</f>
        <v/>
      </c>
      <c r="K358" s="15" t="str">
        <f>IF(I358="","",I358*SETTINGS!$B$10)</f>
        <v/>
      </c>
      <c r="L358" s="15" t="str">
        <f t="shared" si="21"/>
        <v/>
      </c>
      <c r="M358" s="10" t="str">
        <f t="shared" si="22"/>
        <v/>
      </c>
      <c r="N358" s="10" t="str">
        <f t="shared" si="23"/>
        <v/>
      </c>
      <c r="O358" s="8"/>
    </row>
    <row r="359" spans="1:15" x14ac:dyDescent="0.2">
      <c r="A359" s="10" t="str">
        <f t="shared" si="20"/>
        <v/>
      </c>
      <c r="B359" s="8"/>
      <c r="C359" s="8"/>
      <c r="D359" s="8"/>
      <c r="E359" s="8" t="str">
        <f ca="1">IFERROR(_xludf.XLOOKUP(D359,STUDENTS!$A$5:$A$204,STUDENTS!$C$5:$C$204,""),"")</f>
        <v/>
      </c>
      <c r="F359" s="8" t="str">
        <f ca="1">IFERROR(_xludf.XLOOKUP(D359,STUDENTS!$A$5:$A$204,STUDENTS!$L$5:$L$204,""),"")</f>
        <v/>
      </c>
      <c r="G359" s="8"/>
      <c r="H359" s="14"/>
      <c r="I359" s="14"/>
      <c r="J359" s="15" t="str">
        <f>IF(H359="","",H359*SETTINGS!$B$9)</f>
        <v/>
      </c>
      <c r="K359" s="15" t="str">
        <f>IF(I359="","",I359*SETTINGS!$B$10)</f>
        <v/>
      </c>
      <c r="L359" s="15" t="str">
        <f t="shared" si="21"/>
        <v/>
      </c>
      <c r="M359" s="10" t="str">
        <f t="shared" si="22"/>
        <v/>
      </c>
      <c r="N359" s="10" t="str">
        <f t="shared" si="23"/>
        <v/>
      </c>
      <c r="O359" s="8"/>
    </row>
    <row r="360" spans="1:15" x14ac:dyDescent="0.2">
      <c r="A360" s="10" t="str">
        <f t="shared" si="20"/>
        <v/>
      </c>
      <c r="B360" s="8"/>
      <c r="C360" s="8"/>
      <c r="D360" s="8"/>
      <c r="E360" s="8" t="str">
        <f ca="1">IFERROR(_xludf.XLOOKUP(D360,STUDENTS!$A$5:$A$204,STUDENTS!$C$5:$C$204,""),"")</f>
        <v/>
      </c>
      <c r="F360" s="8" t="str">
        <f ca="1">IFERROR(_xludf.XLOOKUP(D360,STUDENTS!$A$5:$A$204,STUDENTS!$L$5:$L$204,""),"")</f>
        <v/>
      </c>
      <c r="G360" s="8"/>
      <c r="H360" s="14"/>
      <c r="I360" s="14"/>
      <c r="J360" s="15" t="str">
        <f>IF(H360="","",H360*SETTINGS!$B$9)</f>
        <v/>
      </c>
      <c r="K360" s="15" t="str">
        <f>IF(I360="","",I360*SETTINGS!$B$10)</f>
        <v/>
      </c>
      <c r="L360" s="15" t="str">
        <f t="shared" si="21"/>
        <v/>
      </c>
      <c r="M360" s="10" t="str">
        <f t="shared" si="22"/>
        <v/>
      </c>
      <c r="N360" s="10" t="str">
        <f t="shared" si="23"/>
        <v/>
      </c>
      <c r="O360" s="8"/>
    </row>
    <row r="361" spans="1:15" x14ac:dyDescent="0.2">
      <c r="A361" s="10" t="str">
        <f t="shared" si="20"/>
        <v/>
      </c>
      <c r="B361" s="8"/>
      <c r="C361" s="8"/>
      <c r="D361" s="8"/>
      <c r="E361" s="8" t="str">
        <f ca="1">IFERROR(_xludf.XLOOKUP(D361,STUDENTS!$A$5:$A$204,STUDENTS!$C$5:$C$204,""),"")</f>
        <v/>
      </c>
      <c r="F361" s="8" t="str">
        <f ca="1">IFERROR(_xludf.XLOOKUP(D361,STUDENTS!$A$5:$A$204,STUDENTS!$L$5:$L$204,""),"")</f>
        <v/>
      </c>
      <c r="G361" s="8"/>
      <c r="H361" s="14"/>
      <c r="I361" s="14"/>
      <c r="J361" s="15" t="str">
        <f>IF(H361="","",H361*SETTINGS!$B$9)</f>
        <v/>
      </c>
      <c r="K361" s="15" t="str">
        <f>IF(I361="","",I361*SETTINGS!$B$10)</f>
        <v/>
      </c>
      <c r="L361" s="15" t="str">
        <f t="shared" si="21"/>
        <v/>
      </c>
      <c r="M361" s="10" t="str">
        <f t="shared" si="22"/>
        <v/>
      </c>
      <c r="N361" s="10" t="str">
        <f t="shared" si="23"/>
        <v/>
      </c>
      <c r="O361" s="8"/>
    </row>
    <row r="362" spans="1:15" x14ac:dyDescent="0.2">
      <c r="A362" s="10" t="str">
        <f t="shared" si="20"/>
        <v/>
      </c>
      <c r="B362" s="8"/>
      <c r="C362" s="8"/>
      <c r="D362" s="8"/>
      <c r="E362" s="8" t="str">
        <f ca="1">IFERROR(_xludf.XLOOKUP(D362,STUDENTS!$A$5:$A$204,STUDENTS!$C$5:$C$204,""),"")</f>
        <v/>
      </c>
      <c r="F362" s="8" t="str">
        <f ca="1">IFERROR(_xludf.XLOOKUP(D362,STUDENTS!$A$5:$A$204,STUDENTS!$L$5:$L$204,""),"")</f>
        <v/>
      </c>
      <c r="G362" s="8"/>
      <c r="H362" s="14"/>
      <c r="I362" s="14"/>
      <c r="J362" s="15" t="str">
        <f>IF(H362="","",H362*SETTINGS!$B$9)</f>
        <v/>
      </c>
      <c r="K362" s="15" t="str">
        <f>IF(I362="","",I362*SETTINGS!$B$10)</f>
        <v/>
      </c>
      <c r="L362" s="15" t="str">
        <f t="shared" si="21"/>
        <v/>
      </c>
      <c r="M362" s="10" t="str">
        <f t="shared" si="22"/>
        <v/>
      </c>
      <c r="N362" s="10" t="str">
        <f t="shared" si="23"/>
        <v/>
      </c>
      <c r="O362" s="8"/>
    </row>
    <row r="363" spans="1:15" x14ac:dyDescent="0.2">
      <c r="A363" s="10" t="str">
        <f t="shared" si="20"/>
        <v/>
      </c>
      <c r="B363" s="8"/>
      <c r="C363" s="8"/>
      <c r="D363" s="8"/>
      <c r="E363" s="8" t="str">
        <f ca="1">IFERROR(_xludf.XLOOKUP(D363,STUDENTS!$A$5:$A$204,STUDENTS!$C$5:$C$204,""),"")</f>
        <v/>
      </c>
      <c r="F363" s="8" t="str">
        <f ca="1">IFERROR(_xludf.XLOOKUP(D363,STUDENTS!$A$5:$A$204,STUDENTS!$L$5:$L$204,""),"")</f>
        <v/>
      </c>
      <c r="G363" s="8"/>
      <c r="H363" s="14"/>
      <c r="I363" s="14"/>
      <c r="J363" s="15" t="str">
        <f>IF(H363="","",H363*SETTINGS!$B$9)</f>
        <v/>
      </c>
      <c r="K363" s="15" t="str">
        <f>IF(I363="","",I363*SETTINGS!$B$10)</f>
        <v/>
      </c>
      <c r="L363" s="15" t="str">
        <f t="shared" si="21"/>
        <v/>
      </c>
      <c r="M363" s="10" t="str">
        <f t="shared" si="22"/>
        <v/>
      </c>
      <c r="N363" s="10" t="str">
        <f t="shared" si="23"/>
        <v/>
      </c>
      <c r="O363" s="8"/>
    </row>
    <row r="364" spans="1:15" x14ac:dyDescent="0.2">
      <c r="A364" s="10" t="str">
        <f t="shared" si="20"/>
        <v/>
      </c>
      <c r="B364" s="8"/>
      <c r="C364" s="8"/>
      <c r="D364" s="8"/>
      <c r="E364" s="8" t="str">
        <f ca="1">IFERROR(_xludf.XLOOKUP(D364,STUDENTS!$A$5:$A$204,STUDENTS!$C$5:$C$204,""),"")</f>
        <v/>
      </c>
      <c r="F364" s="8" t="str">
        <f ca="1">IFERROR(_xludf.XLOOKUP(D364,STUDENTS!$A$5:$A$204,STUDENTS!$L$5:$L$204,""),"")</f>
        <v/>
      </c>
      <c r="G364" s="8"/>
      <c r="H364" s="14"/>
      <c r="I364" s="14"/>
      <c r="J364" s="15" t="str">
        <f>IF(H364="","",H364*SETTINGS!$B$9)</f>
        <v/>
      </c>
      <c r="K364" s="15" t="str">
        <f>IF(I364="","",I364*SETTINGS!$B$10)</f>
        <v/>
      </c>
      <c r="L364" s="15" t="str">
        <f t="shared" si="21"/>
        <v/>
      </c>
      <c r="M364" s="10" t="str">
        <f t="shared" si="22"/>
        <v/>
      </c>
      <c r="N364" s="10" t="str">
        <f t="shared" si="23"/>
        <v/>
      </c>
      <c r="O364" s="8"/>
    </row>
    <row r="365" spans="1:15" x14ac:dyDescent="0.2">
      <c r="A365" s="10" t="str">
        <f t="shared" si="20"/>
        <v/>
      </c>
      <c r="B365" s="8"/>
      <c r="C365" s="8"/>
      <c r="D365" s="8"/>
      <c r="E365" s="8" t="str">
        <f ca="1">IFERROR(_xludf.XLOOKUP(D365,STUDENTS!$A$5:$A$204,STUDENTS!$C$5:$C$204,""),"")</f>
        <v/>
      </c>
      <c r="F365" s="8" t="str">
        <f ca="1">IFERROR(_xludf.XLOOKUP(D365,STUDENTS!$A$5:$A$204,STUDENTS!$L$5:$L$204,""),"")</f>
        <v/>
      </c>
      <c r="G365" s="8"/>
      <c r="H365" s="14"/>
      <c r="I365" s="14"/>
      <c r="J365" s="15" t="str">
        <f>IF(H365="","",H365*SETTINGS!$B$9)</f>
        <v/>
      </c>
      <c r="K365" s="15" t="str">
        <f>IF(I365="","",I365*SETTINGS!$B$10)</f>
        <v/>
      </c>
      <c r="L365" s="15" t="str">
        <f t="shared" si="21"/>
        <v/>
      </c>
      <c r="M365" s="10" t="str">
        <f t="shared" si="22"/>
        <v/>
      </c>
      <c r="N365" s="10" t="str">
        <f t="shared" si="23"/>
        <v/>
      </c>
      <c r="O365" s="8"/>
    </row>
    <row r="366" spans="1:15" x14ac:dyDescent="0.2">
      <c r="A366" s="10" t="str">
        <f t="shared" si="20"/>
        <v/>
      </c>
      <c r="B366" s="8"/>
      <c r="C366" s="8"/>
      <c r="D366" s="8"/>
      <c r="E366" s="8" t="str">
        <f ca="1">IFERROR(_xludf.XLOOKUP(D366,STUDENTS!$A$5:$A$204,STUDENTS!$C$5:$C$204,""),"")</f>
        <v/>
      </c>
      <c r="F366" s="8" t="str">
        <f ca="1">IFERROR(_xludf.XLOOKUP(D366,STUDENTS!$A$5:$A$204,STUDENTS!$L$5:$L$204,""),"")</f>
        <v/>
      </c>
      <c r="G366" s="8"/>
      <c r="H366" s="14"/>
      <c r="I366" s="14"/>
      <c r="J366" s="15" t="str">
        <f>IF(H366="","",H366*SETTINGS!$B$9)</f>
        <v/>
      </c>
      <c r="K366" s="15" t="str">
        <f>IF(I366="","",I366*SETTINGS!$B$10)</f>
        <v/>
      </c>
      <c r="L366" s="15" t="str">
        <f t="shared" si="21"/>
        <v/>
      </c>
      <c r="M366" s="10" t="str">
        <f t="shared" si="22"/>
        <v/>
      </c>
      <c r="N366" s="10" t="str">
        <f t="shared" si="23"/>
        <v/>
      </c>
      <c r="O366" s="8"/>
    </row>
    <row r="367" spans="1:15" x14ac:dyDescent="0.2">
      <c r="A367" s="10" t="str">
        <f t="shared" si="20"/>
        <v/>
      </c>
      <c r="B367" s="8"/>
      <c r="C367" s="8"/>
      <c r="D367" s="8"/>
      <c r="E367" s="8" t="str">
        <f ca="1">IFERROR(_xludf.XLOOKUP(D367,STUDENTS!$A$5:$A$204,STUDENTS!$C$5:$C$204,""),"")</f>
        <v/>
      </c>
      <c r="F367" s="8" t="str">
        <f ca="1">IFERROR(_xludf.XLOOKUP(D367,STUDENTS!$A$5:$A$204,STUDENTS!$L$5:$L$204,""),"")</f>
        <v/>
      </c>
      <c r="G367" s="8"/>
      <c r="H367" s="14"/>
      <c r="I367" s="14"/>
      <c r="J367" s="15" t="str">
        <f>IF(H367="","",H367*SETTINGS!$B$9)</f>
        <v/>
      </c>
      <c r="K367" s="15" t="str">
        <f>IF(I367="","",I367*SETTINGS!$B$10)</f>
        <v/>
      </c>
      <c r="L367" s="15" t="str">
        <f t="shared" si="21"/>
        <v/>
      </c>
      <c r="M367" s="10" t="str">
        <f t="shared" si="22"/>
        <v/>
      </c>
      <c r="N367" s="10" t="str">
        <f t="shared" si="23"/>
        <v/>
      </c>
      <c r="O367" s="8"/>
    </row>
    <row r="368" spans="1:15" x14ac:dyDescent="0.2">
      <c r="A368" s="10" t="str">
        <f t="shared" si="20"/>
        <v/>
      </c>
      <c r="B368" s="8"/>
      <c r="C368" s="8"/>
      <c r="D368" s="8"/>
      <c r="E368" s="8" t="str">
        <f ca="1">IFERROR(_xludf.XLOOKUP(D368,STUDENTS!$A$5:$A$204,STUDENTS!$C$5:$C$204,""),"")</f>
        <v/>
      </c>
      <c r="F368" s="8" t="str">
        <f ca="1">IFERROR(_xludf.XLOOKUP(D368,STUDENTS!$A$5:$A$204,STUDENTS!$L$5:$L$204,""),"")</f>
        <v/>
      </c>
      <c r="G368" s="8"/>
      <c r="H368" s="14"/>
      <c r="I368" s="14"/>
      <c r="J368" s="15" t="str">
        <f>IF(H368="","",H368*SETTINGS!$B$9)</f>
        <v/>
      </c>
      <c r="K368" s="15" t="str">
        <f>IF(I368="","",I368*SETTINGS!$B$10)</f>
        <v/>
      </c>
      <c r="L368" s="15" t="str">
        <f t="shared" si="21"/>
        <v/>
      </c>
      <c r="M368" s="10" t="str">
        <f t="shared" si="22"/>
        <v/>
      </c>
      <c r="N368" s="10" t="str">
        <f t="shared" si="23"/>
        <v/>
      </c>
      <c r="O368" s="8"/>
    </row>
    <row r="369" spans="1:15" x14ac:dyDescent="0.2">
      <c r="A369" s="10" t="str">
        <f t="shared" si="20"/>
        <v/>
      </c>
      <c r="B369" s="8"/>
      <c r="C369" s="8"/>
      <c r="D369" s="8"/>
      <c r="E369" s="8" t="str">
        <f ca="1">IFERROR(_xludf.XLOOKUP(D369,STUDENTS!$A$5:$A$204,STUDENTS!$C$5:$C$204,""),"")</f>
        <v/>
      </c>
      <c r="F369" s="8" t="str">
        <f ca="1">IFERROR(_xludf.XLOOKUP(D369,STUDENTS!$A$5:$A$204,STUDENTS!$L$5:$L$204,""),"")</f>
        <v/>
      </c>
      <c r="G369" s="8"/>
      <c r="H369" s="14"/>
      <c r="I369" s="14"/>
      <c r="J369" s="15" t="str">
        <f>IF(H369="","",H369*SETTINGS!$B$9)</f>
        <v/>
      </c>
      <c r="K369" s="15" t="str">
        <f>IF(I369="","",I369*SETTINGS!$B$10)</f>
        <v/>
      </c>
      <c r="L369" s="15" t="str">
        <f t="shared" si="21"/>
        <v/>
      </c>
      <c r="M369" s="10" t="str">
        <f t="shared" si="22"/>
        <v/>
      </c>
      <c r="N369" s="10" t="str">
        <f t="shared" si="23"/>
        <v/>
      </c>
      <c r="O369" s="8"/>
    </row>
    <row r="370" spans="1:15" x14ac:dyDescent="0.2">
      <c r="A370" s="10" t="str">
        <f t="shared" si="20"/>
        <v/>
      </c>
      <c r="B370" s="8"/>
      <c r="C370" s="8"/>
      <c r="D370" s="8"/>
      <c r="E370" s="8" t="str">
        <f ca="1">IFERROR(_xludf.XLOOKUP(D370,STUDENTS!$A$5:$A$204,STUDENTS!$C$5:$C$204,""),"")</f>
        <v/>
      </c>
      <c r="F370" s="8" t="str">
        <f ca="1">IFERROR(_xludf.XLOOKUP(D370,STUDENTS!$A$5:$A$204,STUDENTS!$L$5:$L$204,""),"")</f>
        <v/>
      </c>
      <c r="G370" s="8"/>
      <c r="H370" s="14"/>
      <c r="I370" s="14"/>
      <c r="J370" s="15" t="str">
        <f>IF(H370="","",H370*SETTINGS!$B$9)</f>
        <v/>
      </c>
      <c r="K370" s="15" t="str">
        <f>IF(I370="","",I370*SETTINGS!$B$10)</f>
        <v/>
      </c>
      <c r="L370" s="15" t="str">
        <f t="shared" si="21"/>
        <v/>
      </c>
      <c r="M370" s="10" t="str">
        <f t="shared" si="22"/>
        <v/>
      </c>
      <c r="N370" s="10" t="str">
        <f t="shared" si="23"/>
        <v/>
      </c>
      <c r="O370" s="8"/>
    </row>
    <row r="371" spans="1:15" x14ac:dyDescent="0.2">
      <c r="A371" s="10" t="str">
        <f t="shared" si="20"/>
        <v/>
      </c>
      <c r="B371" s="8"/>
      <c r="C371" s="8"/>
      <c r="D371" s="8"/>
      <c r="E371" s="8" t="str">
        <f ca="1">IFERROR(_xludf.XLOOKUP(D371,STUDENTS!$A$5:$A$204,STUDENTS!$C$5:$C$204,""),"")</f>
        <v/>
      </c>
      <c r="F371" s="8" t="str">
        <f ca="1">IFERROR(_xludf.XLOOKUP(D371,STUDENTS!$A$5:$A$204,STUDENTS!$L$5:$L$204,""),"")</f>
        <v/>
      </c>
      <c r="G371" s="8"/>
      <c r="H371" s="14"/>
      <c r="I371" s="14"/>
      <c r="J371" s="15" t="str">
        <f>IF(H371="","",H371*SETTINGS!$B$9)</f>
        <v/>
      </c>
      <c r="K371" s="15" t="str">
        <f>IF(I371="","",I371*SETTINGS!$B$10)</f>
        <v/>
      </c>
      <c r="L371" s="15" t="str">
        <f t="shared" si="21"/>
        <v/>
      </c>
      <c r="M371" s="10" t="str">
        <f t="shared" si="22"/>
        <v/>
      </c>
      <c r="N371" s="10" t="str">
        <f t="shared" si="23"/>
        <v/>
      </c>
      <c r="O371" s="8"/>
    </row>
    <row r="372" spans="1:15" x14ac:dyDescent="0.2">
      <c r="A372" s="10" t="str">
        <f t="shared" si="20"/>
        <v/>
      </c>
      <c r="B372" s="8"/>
      <c r="C372" s="8"/>
      <c r="D372" s="8"/>
      <c r="E372" s="8" t="str">
        <f ca="1">IFERROR(_xludf.XLOOKUP(D372,STUDENTS!$A$5:$A$204,STUDENTS!$C$5:$C$204,""),"")</f>
        <v/>
      </c>
      <c r="F372" s="8" t="str">
        <f ca="1">IFERROR(_xludf.XLOOKUP(D372,STUDENTS!$A$5:$A$204,STUDENTS!$L$5:$L$204,""),"")</f>
        <v/>
      </c>
      <c r="G372" s="8"/>
      <c r="H372" s="14"/>
      <c r="I372" s="14"/>
      <c r="J372" s="15" t="str">
        <f>IF(H372="","",H372*SETTINGS!$B$9)</f>
        <v/>
      </c>
      <c r="K372" s="15" t="str">
        <f>IF(I372="","",I372*SETTINGS!$B$10)</f>
        <v/>
      </c>
      <c r="L372" s="15" t="str">
        <f t="shared" si="21"/>
        <v/>
      </c>
      <c r="M372" s="10" t="str">
        <f t="shared" si="22"/>
        <v/>
      </c>
      <c r="N372" s="10" t="str">
        <f t="shared" si="23"/>
        <v/>
      </c>
      <c r="O372" s="8"/>
    </row>
    <row r="373" spans="1:15" x14ac:dyDescent="0.2">
      <c r="A373" s="10" t="str">
        <f t="shared" si="20"/>
        <v/>
      </c>
      <c r="B373" s="8"/>
      <c r="C373" s="8"/>
      <c r="D373" s="8"/>
      <c r="E373" s="8" t="str">
        <f ca="1">IFERROR(_xludf.XLOOKUP(D373,STUDENTS!$A$5:$A$204,STUDENTS!$C$5:$C$204,""),"")</f>
        <v/>
      </c>
      <c r="F373" s="8" t="str">
        <f ca="1">IFERROR(_xludf.XLOOKUP(D373,STUDENTS!$A$5:$A$204,STUDENTS!$L$5:$L$204,""),"")</f>
        <v/>
      </c>
      <c r="G373" s="8"/>
      <c r="H373" s="14"/>
      <c r="I373" s="14"/>
      <c r="J373" s="15" t="str">
        <f>IF(H373="","",H373*SETTINGS!$B$9)</f>
        <v/>
      </c>
      <c r="K373" s="15" t="str">
        <f>IF(I373="","",I373*SETTINGS!$B$10)</f>
        <v/>
      </c>
      <c r="L373" s="15" t="str">
        <f t="shared" si="21"/>
        <v/>
      </c>
      <c r="M373" s="10" t="str">
        <f t="shared" si="22"/>
        <v/>
      </c>
      <c r="N373" s="10" t="str">
        <f t="shared" si="23"/>
        <v/>
      </c>
      <c r="O373" s="8"/>
    </row>
    <row r="374" spans="1:15" x14ac:dyDescent="0.2">
      <c r="A374" s="10" t="str">
        <f t="shared" si="20"/>
        <v/>
      </c>
      <c r="B374" s="8"/>
      <c r="C374" s="8"/>
      <c r="D374" s="8"/>
      <c r="E374" s="8" t="str">
        <f ca="1">IFERROR(_xludf.XLOOKUP(D374,STUDENTS!$A$5:$A$204,STUDENTS!$C$5:$C$204,""),"")</f>
        <v/>
      </c>
      <c r="F374" s="8" t="str">
        <f ca="1">IFERROR(_xludf.XLOOKUP(D374,STUDENTS!$A$5:$A$204,STUDENTS!$L$5:$L$204,""),"")</f>
        <v/>
      </c>
      <c r="G374" s="8"/>
      <c r="H374" s="14"/>
      <c r="I374" s="14"/>
      <c r="J374" s="15" t="str">
        <f>IF(H374="","",H374*SETTINGS!$B$9)</f>
        <v/>
      </c>
      <c r="K374" s="15" t="str">
        <f>IF(I374="","",I374*SETTINGS!$B$10)</f>
        <v/>
      </c>
      <c r="L374" s="15" t="str">
        <f t="shared" si="21"/>
        <v/>
      </c>
      <c r="M374" s="10" t="str">
        <f t="shared" si="22"/>
        <v/>
      </c>
      <c r="N374" s="10" t="str">
        <f t="shared" si="23"/>
        <v/>
      </c>
      <c r="O374" s="8"/>
    </row>
    <row r="375" spans="1:15" x14ac:dyDescent="0.2">
      <c r="A375" s="10" t="str">
        <f t="shared" si="20"/>
        <v/>
      </c>
      <c r="B375" s="8"/>
      <c r="C375" s="8"/>
      <c r="D375" s="8"/>
      <c r="E375" s="8" t="str">
        <f ca="1">IFERROR(_xludf.XLOOKUP(D375,STUDENTS!$A$5:$A$204,STUDENTS!$C$5:$C$204,""),"")</f>
        <v/>
      </c>
      <c r="F375" s="8" t="str">
        <f ca="1">IFERROR(_xludf.XLOOKUP(D375,STUDENTS!$A$5:$A$204,STUDENTS!$L$5:$L$204,""),"")</f>
        <v/>
      </c>
      <c r="G375" s="8"/>
      <c r="H375" s="14"/>
      <c r="I375" s="14"/>
      <c r="J375" s="15" t="str">
        <f>IF(H375="","",H375*SETTINGS!$B$9)</f>
        <v/>
      </c>
      <c r="K375" s="15" t="str">
        <f>IF(I375="","",I375*SETTINGS!$B$10)</f>
        <v/>
      </c>
      <c r="L375" s="15" t="str">
        <f t="shared" si="21"/>
        <v/>
      </c>
      <c r="M375" s="10" t="str">
        <f t="shared" si="22"/>
        <v/>
      </c>
      <c r="N375" s="10" t="str">
        <f t="shared" si="23"/>
        <v/>
      </c>
      <c r="O375" s="8"/>
    </row>
    <row r="376" spans="1:15" x14ac:dyDescent="0.2">
      <c r="A376" s="10" t="str">
        <f t="shared" si="20"/>
        <v/>
      </c>
      <c r="B376" s="8"/>
      <c r="C376" s="8"/>
      <c r="D376" s="8"/>
      <c r="E376" s="8" t="str">
        <f ca="1">IFERROR(_xludf.XLOOKUP(D376,STUDENTS!$A$5:$A$204,STUDENTS!$C$5:$C$204,""),"")</f>
        <v/>
      </c>
      <c r="F376" s="8" t="str">
        <f ca="1">IFERROR(_xludf.XLOOKUP(D376,STUDENTS!$A$5:$A$204,STUDENTS!$L$5:$L$204,""),"")</f>
        <v/>
      </c>
      <c r="G376" s="8"/>
      <c r="H376" s="14"/>
      <c r="I376" s="14"/>
      <c r="J376" s="15" t="str">
        <f>IF(H376="","",H376*SETTINGS!$B$9)</f>
        <v/>
      </c>
      <c r="K376" s="15" t="str">
        <f>IF(I376="","",I376*SETTINGS!$B$10)</f>
        <v/>
      </c>
      <c r="L376" s="15" t="str">
        <f t="shared" si="21"/>
        <v/>
      </c>
      <c r="M376" s="10" t="str">
        <f t="shared" si="22"/>
        <v/>
      </c>
      <c r="N376" s="10" t="str">
        <f t="shared" si="23"/>
        <v/>
      </c>
      <c r="O376" s="8"/>
    </row>
    <row r="377" spans="1:15" x14ac:dyDescent="0.2">
      <c r="A377" s="10" t="str">
        <f t="shared" si="20"/>
        <v/>
      </c>
      <c r="B377" s="8"/>
      <c r="C377" s="8"/>
      <c r="D377" s="8"/>
      <c r="E377" s="8" t="str">
        <f ca="1">IFERROR(_xludf.XLOOKUP(D377,STUDENTS!$A$5:$A$204,STUDENTS!$C$5:$C$204,""),"")</f>
        <v/>
      </c>
      <c r="F377" s="8" t="str">
        <f ca="1">IFERROR(_xludf.XLOOKUP(D377,STUDENTS!$A$5:$A$204,STUDENTS!$L$5:$L$204,""),"")</f>
        <v/>
      </c>
      <c r="G377" s="8"/>
      <c r="H377" s="14"/>
      <c r="I377" s="14"/>
      <c r="J377" s="15" t="str">
        <f>IF(H377="","",H377*SETTINGS!$B$9)</f>
        <v/>
      </c>
      <c r="K377" s="15" t="str">
        <f>IF(I377="","",I377*SETTINGS!$B$10)</f>
        <v/>
      </c>
      <c r="L377" s="15" t="str">
        <f t="shared" si="21"/>
        <v/>
      </c>
      <c r="M377" s="10" t="str">
        <f t="shared" si="22"/>
        <v/>
      </c>
      <c r="N377" s="10" t="str">
        <f t="shared" si="23"/>
        <v/>
      </c>
      <c r="O377" s="8"/>
    </row>
    <row r="378" spans="1:15" x14ac:dyDescent="0.2">
      <c r="A378" s="10" t="str">
        <f t="shared" si="20"/>
        <v/>
      </c>
      <c r="B378" s="8"/>
      <c r="C378" s="8"/>
      <c r="D378" s="8"/>
      <c r="E378" s="8" t="str">
        <f ca="1">IFERROR(_xludf.XLOOKUP(D378,STUDENTS!$A$5:$A$204,STUDENTS!$C$5:$C$204,""),"")</f>
        <v/>
      </c>
      <c r="F378" s="8" t="str">
        <f ca="1">IFERROR(_xludf.XLOOKUP(D378,STUDENTS!$A$5:$A$204,STUDENTS!$L$5:$L$204,""),"")</f>
        <v/>
      </c>
      <c r="G378" s="8"/>
      <c r="H378" s="14"/>
      <c r="I378" s="14"/>
      <c r="J378" s="15" t="str">
        <f>IF(H378="","",H378*SETTINGS!$B$9)</f>
        <v/>
      </c>
      <c r="K378" s="15" t="str">
        <f>IF(I378="","",I378*SETTINGS!$B$10)</f>
        <v/>
      </c>
      <c r="L378" s="15" t="str">
        <f t="shared" si="21"/>
        <v/>
      </c>
      <c r="M378" s="10" t="str">
        <f t="shared" si="22"/>
        <v/>
      </c>
      <c r="N378" s="10" t="str">
        <f t="shared" si="23"/>
        <v/>
      </c>
      <c r="O378" s="8"/>
    </row>
    <row r="379" spans="1:15" x14ac:dyDescent="0.2">
      <c r="A379" s="10" t="str">
        <f t="shared" si="20"/>
        <v/>
      </c>
      <c r="B379" s="8"/>
      <c r="C379" s="8"/>
      <c r="D379" s="8"/>
      <c r="E379" s="8" t="str">
        <f ca="1">IFERROR(_xludf.XLOOKUP(D379,STUDENTS!$A$5:$A$204,STUDENTS!$C$5:$C$204,""),"")</f>
        <v/>
      </c>
      <c r="F379" s="8" t="str">
        <f ca="1">IFERROR(_xludf.XLOOKUP(D379,STUDENTS!$A$5:$A$204,STUDENTS!$L$5:$L$204,""),"")</f>
        <v/>
      </c>
      <c r="G379" s="8"/>
      <c r="H379" s="14"/>
      <c r="I379" s="14"/>
      <c r="J379" s="15" t="str">
        <f>IF(H379="","",H379*SETTINGS!$B$9)</f>
        <v/>
      </c>
      <c r="K379" s="15" t="str">
        <f>IF(I379="","",I379*SETTINGS!$B$10)</f>
        <v/>
      </c>
      <c r="L379" s="15" t="str">
        <f t="shared" si="21"/>
        <v/>
      </c>
      <c r="M379" s="10" t="str">
        <f t="shared" si="22"/>
        <v/>
      </c>
      <c r="N379" s="10" t="str">
        <f t="shared" si="23"/>
        <v/>
      </c>
      <c r="O379" s="8"/>
    </row>
    <row r="380" spans="1:15" x14ac:dyDescent="0.2">
      <c r="A380" s="10" t="str">
        <f t="shared" si="20"/>
        <v/>
      </c>
      <c r="B380" s="8"/>
      <c r="C380" s="8"/>
      <c r="D380" s="8"/>
      <c r="E380" s="8" t="str">
        <f ca="1">IFERROR(_xludf.XLOOKUP(D380,STUDENTS!$A$5:$A$204,STUDENTS!$C$5:$C$204,""),"")</f>
        <v/>
      </c>
      <c r="F380" s="8" t="str">
        <f ca="1">IFERROR(_xludf.XLOOKUP(D380,STUDENTS!$A$5:$A$204,STUDENTS!$L$5:$L$204,""),"")</f>
        <v/>
      </c>
      <c r="G380" s="8"/>
      <c r="H380" s="14"/>
      <c r="I380" s="14"/>
      <c r="J380" s="15" t="str">
        <f>IF(H380="","",H380*SETTINGS!$B$9)</f>
        <v/>
      </c>
      <c r="K380" s="15" t="str">
        <f>IF(I380="","",I380*SETTINGS!$B$10)</f>
        <v/>
      </c>
      <c r="L380" s="15" t="str">
        <f t="shared" si="21"/>
        <v/>
      </c>
      <c r="M380" s="10" t="str">
        <f t="shared" si="22"/>
        <v/>
      </c>
      <c r="N380" s="10" t="str">
        <f t="shared" si="23"/>
        <v/>
      </c>
      <c r="O380" s="8"/>
    </row>
    <row r="381" spans="1:15" x14ac:dyDescent="0.2">
      <c r="A381" s="10" t="str">
        <f t="shared" si="20"/>
        <v/>
      </c>
      <c r="B381" s="8"/>
      <c r="C381" s="8"/>
      <c r="D381" s="8"/>
      <c r="E381" s="8" t="str">
        <f ca="1">IFERROR(_xludf.XLOOKUP(D381,STUDENTS!$A$5:$A$204,STUDENTS!$C$5:$C$204,""),"")</f>
        <v/>
      </c>
      <c r="F381" s="8" t="str">
        <f ca="1">IFERROR(_xludf.XLOOKUP(D381,STUDENTS!$A$5:$A$204,STUDENTS!$L$5:$L$204,""),"")</f>
        <v/>
      </c>
      <c r="G381" s="8"/>
      <c r="H381" s="14"/>
      <c r="I381" s="14"/>
      <c r="J381" s="15" t="str">
        <f>IF(H381="","",H381*SETTINGS!$B$9)</f>
        <v/>
      </c>
      <c r="K381" s="15" t="str">
        <f>IF(I381="","",I381*SETTINGS!$B$10)</f>
        <v/>
      </c>
      <c r="L381" s="15" t="str">
        <f t="shared" si="21"/>
        <v/>
      </c>
      <c r="M381" s="10" t="str">
        <f t="shared" si="22"/>
        <v/>
      </c>
      <c r="N381" s="10" t="str">
        <f t="shared" si="23"/>
        <v/>
      </c>
      <c r="O381" s="8"/>
    </row>
    <row r="382" spans="1:15" x14ac:dyDescent="0.2">
      <c r="A382" s="10" t="str">
        <f t="shared" si="20"/>
        <v/>
      </c>
      <c r="B382" s="8"/>
      <c r="C382" s="8"/>
      <c r="D382" s="8"/>
      <c r="E382" s="8" t="str">
        <f ca="1">IFERROR(_xludf.XLOOKUP(D382,STUDENTS!$A$5:$A$204,STUDENTS!$C$5:$C$204,""),"")</f>
        <v/>
      </c>
      <c r="F382" s="8" t="str">
        <f ca="1">IFERROR(_xludf.XLOOKUP(D382,STUDENTS!$A$5:$A$204,STUDENTS!$L$5:$L$204,""),"")</f>
        <v/>
      </c>
      <c r="G382" s="8"/>
      <c r="H382" s="14"/>
      <c r="I382" s="14"/>
      <c r="J382" s="15" t="str">
        <f>IF(H382="","",H382*SETTINGS!$B$9)</f>
        <v/>
      </c>
      <c r="K382" s="15" t="str">
        <f>IF(I382="","",I382*SETTINGS!$B$10)</f>
        <v/>
      </c>
      <c r="L382" s="15" t="str">
        <f t="shared" si="21"/>
        <v/>
      </c>
      <c r="M382" s="10" t="str">
        <f t="shared" si="22"/>
        <v/>
      </c>
      <c r="N382" s="10" t="str">
        <f t="shared" si="23"/>
        <v/>
      </c>
      <c r="O382" s="8"/>
    </row>
    <row r="383" spans="1:15" x14ac:dyDescent="0.2">
      <c r="A383" s="10" t="str">
        <f t="shared" si="20"/>
        <v/>
      </c>
      <c r="B383" s="8"/>
      <c r="C383" s="8"/>
      <c r="D383" s="8"/>
      <c r="E383" s="8" t="str">
        <f ca="1">IFERROR(_xludf.XLOOKUP(D383,STUDENTS!$A$5:$A$204,STUDENTS!$C$5:$C$204,""),"")</f>
        <v/>
      </c>
      <c r="F383" s="8" t="str">
        <f ca="1">IFERROR(_xludf.XLOOKUP(D383,STUDENTS!$A$5:$A$204,STUDENTS!$L$5:$L$204,""),"")</f>
        <v/>
      </c>
      <c r="G383" s="8"/>
      <c r="H383" s="14"/>
      <c r="I383" s="14"/>
      <c r="J383" s="15" t="str">
        <f>IF(H383="","",H383*SETTINGS!$B$9)</f>
        <v/>
      </c>
      <c r="K383" s="15" t="str">
        <f>IF(I383="","",I383*SETTINGS!$B$10)</f>
        <v/>
      </c>
      <c r="L383" s="15" t="str">
        <f t="shared" si="21"/>
        <v/>
      </c>
      <c r="M383" s="10" t="str">
        <f t="shared" si="22"/>
        <v/>
      </c>
      <c r="N383" s="10" t="str">
        <f t="shared" si="23"/>
        <v/>
      </c>
      <c r="O383" s="8"/>
    </row>
    <row r="384" spans="1:15" x14ac:dyDescent="0.2">
      <c r="A384" s="10" t="str">
        <f t="shared" si="20"/>
        <v/>
      </c>
      <c r="B384" s="8"/>
      <c r="C384" s="8"/>
      <c r="D384" s="8"/>
      <c r="E384" s="8" t="str">
        <f ca="1">IFERROR(_xludf.XLOOKUP(D384,STUDENTS!$A$5:$A$204,STUDENTS!$C$5:$C$204,""),"")</f>
        <v/>
      </c>
      <c r="F384" s="8" t="str">
        <f ca="1">IFERROR(_xludf.XLOOKUP(D384,STUDENTS!$A$5:$A$204,STUDENTS!$L$5:$L$204,""),"")</f>
        <v/>
      </c>
      <c r="G384" s="8"/>
      <c r="H384" s="14"/>
      <c r="I384" s="14"/>
      <c r="J384" s="15" t="str">
        <f>IF(H384="","",H384*SETTINGS!$B$9)</f>
        <v/>
      </c>
      <c r="K384" s="15" t="str">
        <f>IF(I384="","",I384*SETTINGS!$B$10)</f>
        <v/>
      </c>
      <c r="L384" s="15" t="str">
        <f t="shared" si="21"/>
        <v/>
      </c>
      <c r="M384" s="10" t="str">
        <f t="shared" si="22"/>
        <v/>
      </c>
      <c r="N384" s="10" t="str">
        <f t="shared" si="23"/>
        <v/>
      </c>
      <c r="O384" s="8"/>
    </row>
    <row r="385" spans="1:15" x14ac:dyDescent="0.2">
      <c r="A385" s="10" t="str">
        <f t="shared" si="20"/>
        <v/>
      </c>
      <c r="B385" s="8"/>
      <c r="C385" s="8"/>
      <c r="D385" s="8"/>
      <c r="E385" s="8" t="str">
        <f ca="1">IFERROR(_xludf.XLOOKUP(D385,STUDENTS!$A$5:$A$204,STUDENTS!$C$5:$C$204,""),"")</f>
        <v/>
      </c>
      <c r="F385" s="8" t="str">
        <f ca="1">IFERROR(_xludf.XLOOKUP(D385,STUDENTS!$A$5:$A$204,STUDENTS!$L$5:$L$204,""),"")</f>
        <v/>
      </c>
      <c r="G385" s="8"/>
      <c r="H385" s="14"/>
      <c r="I385" s="14"/>
      <c r="J385" s="15" t="str">
        <f>IF(H385="","",H385*SETTINGS!$B$9)</f>
        <v/>
      </c>
      <c r="K385" s="15" t="str">
        <f>IF(I385="","",I385*SETTINGS!$B$10)</f>
        <v/>
      </c>
      <c r="L385" s="15" t="str">
        <f t="shared" si="21"/>
        <v/>
      </c>
      <c r="M385" s="10" t="str">
        <f t="shared" si="22"/>
        <v/>
      </c>
      <c r="N385" s="10" t="str">
        <f t="shared" si="23"/>
        <v/>
      </c>
      <c r="O385" s="8"/>
    </row>
    <row r="386" spans="1:15" x14ac:dyDescent="0.2">
      <c r="A386" s="10" t="str">
        <f t="shared" si="20"/>
        <v/>
      </c>
      <c r="B386" s="8"/>
      <c r="C386" s="8"/>
      <c r="D386" s="8"/>
      <c r="E386" s="8" t="str">
        <f ca="1">IFERROR(_xludf.XLOOKUP(D386,STUDENTS!$A$5:$A$204,STUDENTS!$C$5:$C$204,""),"")</f>
        <v/>
      </c>
      <c r="F386" s="8" t="str">
        <f ca="1">IFERROR(_xludf.XLOOKUP(D386,STUDENTS!$A$5:$A$204,STUDENTS!$L$5:$L$204,""),"")</f>
        <v/>
      </c>
      <c r="G386" s="8"/>
      <c r="H386" s="14"/>
      <c r="I386" s="14"/>
      <c r="J386" s="15" t="str">
        <f>IF(H386="","",H386*SETTINGS!$B$9)</f>
        <v/>
      </c>
      <c r="K386" s="15" t="str">
        <f>IF(I386="","",I386*SETTINGS!$B$10)</f>
        <v/>
      </c>
      <c r="L386" s="15" t="str">
        <f t="shared" si="21"/>
        <v/>
      </c>
      <c r="M386" s="10" t="str">
        <f t="shared" si="22"/>
        <v/>
      </c>
      <c r="N386" s="10" t="str">
        <f t="shared" si="23"/>
        <v/>
      </c>
      <c r="O386" s="8"/>
    </row>
    <row r="387" spans="1:15" x14ac:dyDescent="0.2">
      <c r="A387" s="10" t="str">
        <f t="shared" si="20"/>
        <v/>
      </c>
      <c r="B387" s="8"/>
      <c r="C387" s="8"/>
      <c r="D387" s="8"/>
      <c r="E387" s="8" t="str">
        <f ca="1">IFERROR(_xludf.XLOOKUP(D387,STUDENTS!$A$5:$A$204,STUDENTS!$C$5:$C$204,""),"")</f>
        <v/>
      </c>
      <c r="F387" s="8" t="str">
        <f ca="1">IFERROR(_xludf.XLOOKUP(D387,STUDENTS!$A$5:$A$204,STUDENTS!$L$5:$L$204,""),"")</f>
        <v/>
      </c>
      <c r="G387" s="8"/>
      <c r="H387" s="14"/>
      <c r="I387" s="14"/>
      <c r="J387" s="15" t="str">
        <f>IF(H387="","",H387*SETTINGS!$B$9)</f>
        <v/>
      </c>
      <c r="K387" s="15" t="str">
        <f>IF(I387="","",I387*SETTINGS!$B$10)</f>
        <v/>
      </c>
      <c r="L387" s="15" t="str">
        <f t="shared" si="21"/>
        <v/>
      </c>
      <c r="M387" s="10" t="str">
        <f t="shared" si="22"/>
        <v/>
      </c>
      <c r="N387" s="10" t="str">
        <f t="shared" si="23"/>
        <v/>
      </c>
      <c r="O387" s="8"/>
    </row>
    <row r="388" spans="1:15" x14ac:dyDescent="0.2">
      <c r="A388" s="10" t="str">
        <f t="shared" si="20"/>
        <v/>
      </c>
      <c r="B388" s="8"/>
      <c r="C388" s="8"/>
      <c r="D388" s="8"/>
      <c r="E388" s="8" t="str">
        <f ca="1">IFERROR(_xludf.XLOOKUP(D388,STUDENTS!$A$5:$A$204,STUDENTS!$C$5:$C$204,""),"")</f>
        <v/>
      </c>
      <c r="F388" s="8" t="str">
        <f ca="1">IFERROR(_xludf.XLOOKUP(D388,STUDENTS!$A$5:$A$204,STUDENTS!$L$5:$L$204,""),"")</f>
        <v/>
      </c>
      <c r="G388" s="8"/>
      <c r="H388" s="14"/>
      <c r="I388" s="14"/>
      <c r="J388" s="15" t="str">
        <f>IF(H388="","",H388*SETTINGS!$B$9)</f>
        <v/>
      </c>
      <c r="K388" s="15" t="str">
        <f>IF(I388="","",I388*SETTINGS!$B$10)</f>
        <v/>
      </c>
      <c r="L388" s="15" t="str">
        <f t="shared" si="21"/>
        <v/>
      </c>
      <c r="M388" s="10" t="str">
        <f t="shared" si="22"/>
        <v/>
      </c>
      <c r="N388" s="10" t="str">
        <f t="shared" si="23"/>
        <v/>
      </c>
      <c r="O388" s="8"/>
    </row>
    <row r="389" spans="1:15" x14ac:dyDescent="0.2">
      <c r="A389" s="10" t="str">
        <f t="shared" ref="A389:A452" si="24">IF(D389="","","R-"&amp;TEXT(ROW()-4,"00000"))</f>
        <v/>
      </c>
      <c r="B389" s="8"/>
      <c r="C389" s="8"/>
      <c r="D389" s="8"/>
      <c r="E389" s="8" t="str">
        <f ca="1">IFERROR(_xludf.XLOOKUP(D389,STUDENTS!$A$5:$A$204,STUDENTS!$C$5:$C$204,""),"")</f>
        <v/>
      </c>
      <c r="F389" s="8" t="str">
        <f ca="1">IFERROR(_xludf.XLOOKUP(D389,STUDENTS!$A$5:$A$204,STUDENTS!$L$5:$L$204,""),"")</f>
        <v/>
      </c>
      <c r="G389" s="8"/>
      <c r="H389" s="14"/>
      <c r="I389" s="14"/>
      <c r="J389" s="15" t="str">
        <f>IF(H389="","",H389*SETTINGS!$B$9)</f>
        <v/>
      </c>
      <c r="K389" s="15" t="str">
        <f>IF(I389="","",I389*SETTINGS!$B$10)</f>
        <v/>
      </c>
      <c r="L389" s="15" t="str">
        <f t="shared" ref="L389:L452" si="25">IF(OR(H389="",I389=""),"",J389+K389)</f>
        <v/>
      </c>
      <c r="M389" s="10" t="str">
        <f t="shared" ref="M389:M452" si="26">IF(L389="","",IF(L389&gt;=80,"A",IF(L389&gt;=70,"B",IF(L389&gt;=60,"C",IF(L389&gt;=50,"D","F")))))</f>
        <v/>
      </c>
      <c r="N389" s="10" t="str">
        <f t="shared" ref="N389:N452" si="27">IF(L389="","",1+COUNTIFS($F$5:$F$1004,F389,$C$5:$C$1004,C389,$G$5:$G$1004,G389,$L$5:$L$1004,"&gt;"&amp;L389))</f>
        <v/>
      </c>
      <c r="O389" s="8"/>
    </row>
    <row r="390" spans="1:15" x14ac:dyDescent="0.2">
      <c r="A390" s="10" t="str">
        <f t="shared" si="24"/>
        <v/>
      </c>
      <c r="B390" s="8"/>
      <c r="C390" s="8"/>
      <c r="D390" s="8"/>
      <c r="E390" s="8" t="str">
        <f ca="1">IFERROR(_xludf.XLOOKUP(D390,STUDENTS!$A$5:$A$204,STUDENTS!$C$5:$C$204,""),"")</f>
        <v/>
      </c>
      <c r="F390" s="8" t="str">
        <f ca="1">IFERROR(_xludf.XLOOKUP(D390,STUDENTS!$A$5:$A$204,STUDENTS!$L$5:$L$204,""),"")</f>
        <v/>
      </c>
      <c r="G390" s="8"/>
      <c r="H390" s="14"/>
      <c r="I390" s="14"/>
      <c r="J390" s="15" t="str">
        <f>IF(H390="","",H390*SETTINGS!$B$9)</f>
        <v/>
      </c>
      <c r="K390" s="15" t="str">
        <f>IF(I390="","",I390*SETTINGS!$B$10)</f>
        <v/>
      </c>
      <c r="L390" s="15" t="str">
        <f t="shared" si="25"/>
        <v/>
      </c>
      <c r="M390" s="10" t="str">
        <f t="shared" si="26"/>
        <v/>
      </c>
      <c r="N390" s="10" t="str">
        <f t="shared" si="27"/>
        <v/>
      </c>
      <c r="O390" s="8"/>
    </row>
    <row r="391" spans="1:15" x14ac:dyDescent="0.2">
      <c r="A391" s="10" t="str">
        <f t="shared" si="24"/>
        <v/>
      </c>
      <c r="B391" s="8"/>
      <c r="C391" s="8"/>
      <c r="D391" s="8"/>
      <c r="E391" s="8" t="str">
        <f ca="1">IFERROR(_xludf.XLOOKUP(D391,STUDENTS!$A$5:$A$204,STUDENTS!$C$5:$C$204,""),"")</f>
        <v/>
      </c>
      <c r="F391" s="8" t="str">
        <f ca="1">IFERROR(_xludf.XLOOKUP(D391,STUDENTS!$A$5:$A$204,STUDENTS!$L$5:$L$204,""),"")</f>
        <v/>
      </c>
      <c r="G391" s="8"/>
      <c r="H391" s="14"/>
      <c r="I391" s="14"/>
      <c r="J391" s="15" t="str">
        <f>IF(H391="","",H391*SETTINGS!$B$9)</f>
        <v/>
      </c>
      <c r="K391" s="15" t="str">
        <f>IF(I391="","",I391*SETTINGS!$B$10)</f>
        <v/>
      </c>
      <c r="L391" s="15" t="str">
        <f t="shared" si="25"/>
        <v/>
      </c>
      <c r="M391" s="10" t="str">
        <f t="shared" si="26"/>
        <v/>
      </c>
      <c r="N391" s="10" t="str">
        <f t="shared" si="27"/>
        <v/>
      </c>
      <c r="O391" s="8"/>
    </row>
    <row r="392" spans="1:15" x14ac:dyDescent="0.2">
      <c r="A392" s="10" t="str">
        <f t="shared" si="24"/>
        <v/>
      </c>
      <c r="B392" s="8"/>
      <c r="C392" s="8"/>
      <c r="D392" s="8"/>
      <c r="E392" s="8" t="str">
        <f ca="1">IFERROR(_xludf.XLOOKUP(D392,STUDENTS!$A$5:$A$204,STUDENTS!$C$5:$C$204,""),"")</f>
        <v/>
      </c>
      <c r="F392" s="8" t="str">
        <f ca="1">IFERROR(_xludf.XLOOKUP(D392,STUDENTS!$A$5:$A$204,STUDENTS!$L$5:$L$204,""),"")</f>
        <v/>
      </c>
      <c r="G392" s="8"/>
      <c r="H392" s="14"/>
      <c r="I392" s="14"/>
      <c r="J392" s="15" t="str">
        <f>IF(H392="","",H392*SETTINGS!$B$9)</f>
        <v/>
      </c>
      <c r="K392" s="15" t="str">
        <f>IF(I392="","",I392*SETTINGS!$B$10)</f>
        <v/>
      </c>
      <c r="L392" s="15" t="str">
        <f t="shared" si="25"/>
        <v/>
      </c>
      <c r="M392" s="10" t="str">
        <f t="shared" si="26"/>
        <v/>
      </c>
      <c r="N392" s="10" t="str">
        <f t="shared" si="27"/>
        <v/>
      </c>
      <c r="O392" s="8"/>
    </row>
    <row r="393" spans="1:15" x14ac:dyDescent="0.2">
      <c r="A393" s="10" t="str">
        <f t="shared" si="24"/>
        <v/>
      </c>
      <c r="B393" s="8"/>
      <c r="C393" s="8"/>
      <c r="D393" s="8"/>
      <c r="E393" s="8" t="str">
        <f ca="1">IFERROR(_xludf.XLOOKUP(D393,STUDENTS!$A$5:$A$204,STUDENTS!$C$5:$C$204,""),"")</f>
        <v/>
      </c>
      <c r="F393" s="8" t="str">
        <f ca="1">IFERROR(_xludf.XLOOKUP(D393,STUDENTS!$A$5:$A$204,STUDENTS!$L$5:$L$204,""),"")</f>
        <v/>
      </c>
      <c r="G393" s="8"/>
      <c r="H393" s="14"/>
      <c r="I393" s="14"/>
      <c r="J393" s="15" t="str">
        <f>IF(H393="","",H393*SETTINGS!$B$9)</f>
        <v/>
      </c>
      <c r="K393" s="15" t="str">
        <f>IF(I393="","",I393*SETTINGS!$B$10)</f>
        <v/>
      </c>
      <c r="L393" s="15" t="str">
        <f t="shared" si="25"/>
        <v/>
      </c>
      <c r="M393" s="10" t="str">
        <f t="shared" si="26"/>
        <v/>
      </c>
      <c r="N393" s="10" t="str">
        <f t="shared" si="27"/>
        <v/>
      </c>
      <c r="O393" s="8"/>
    </row>
    <row r="394" spans="1:15" x14ac:dyDescent="0.2">
      <c r="A394" s="10" t="str">
        <f t="shared" si="24"/>
        <v/>
      </c>
      <c r="B394" s="8"/>
      <c r="C394" s="8"/>
      <c r="D394" s="8"/>
      <c r="E394" s="8" t="str">
        <f ca="1">IFERROR(_xludf.XLOOKUP(D394,STUDENTS!$A$5:$A$204,STUDENTS!$C$5:$C$204,""),"")</f>
        <v/>
      </c>
      <c r="F394" s="8" t="str">
        <f ca="1">IFERROR(_xludf.XLOOKUP(D394,STUDENTS!$A$5:$A$204,STUDENTS!$L$5:$L$204,""),"")</f>
        <v/>
      </c>
      <c r="G394" s="8"/>
      <c r="H394" s="14"/>
      <c r="I394" s="14"/>
      <c r="J394" s="15" t="str">
        <f>IF(H394="","",H394*SETTINGS!$B$9)</f>
        <v/>
      </c>
      <c r="K394" s="15" t="str">
        <f>IF(I394="","",I394*SETTINGS!$B$10)</f>
        <v/>
      </c>
      <c r="L394" s="15" t="str">
        <f t="shared" si="25"/>
        <v/>
      </c>
      <c r="M394" s="10" t="str">
        <f t="shared" si="26"/>
        <v/>
      </c>
      <c r="N394" s="10" t="str">
        <f t="shared" si="27"/>
        <v/>
      </c>
      <c r="O394" s="8"/>
    </row>
    <row r="395" spans="1:15" x14ac:dyDescent="0.2">
      <c r="A395" s="10" t="str">
        <f t="shared" si="24"/>
        <v/>
      </c>
      <c r="B395" s="8"/>
      <c r="C395" s="8"/>
      <c r="D395" s="8"/>
      <c r="E395" s="8" t="str">
        <f ca="1">IFERROR(_xludf.XLOOKUP(D395,STUDENTS!$A$5:$A$204,STUDENTS!$C$5:$C$204,""),"")</f>
        <v/>
      </c>
      <c r="F395" s="8" t="str">
        <f ca="1">IFERROR(_xludf.XLOOKUP(D395,STUDENTS!$A$5:$A$204,STUDENTS!$L$5:$L$204,""),"")</f>
        <v/>
      </c>
      <c r="G395" s="8"/>
      <c r="H395" s="14"/>
      <c r="I395" s="14"/>
      <c r="J395" s="15" t="str">
        <f>IF(H395="","",H395*SETTINGS!$B$9)</f>
        <v/>
      </c>
      <c r="K395" s="15" t="str">
        <f>IF(I395="","",I395*SETTINGS!$B$10)</f>
        <v/>
      </c>
      <c r="L395" s="15" t="str">
        <f t="shared" si="25"/>
        <v/>
      </c>
      <c r="M395" s="10" t="str">
        <f t="shared" si="26"/>
        <v/>
      </c>
      <c r="N395" s="10" t="str">
        <f t="shared" si="27"/>
        <v/>
      </c>
      <c r="O395" s="8"/>
    </row>
    <row r="396" spans="1:15" x14ac:dyDescent="0.2">
      <c r="A396" s="10" t="str">
        <f t="shared" si="24"/>
        <v/>
      </c>
      <c r="B396" s="8"/>
      <c r="C396" s="8"/>
      <c r="D396" s="8"/>
      <c r="E396" s="8" t="str">
        <f ca="1">IFERROR(_xludf.XLOOKUP(D396,STUDENTS!$A$5:$A$204,STUDENTS!$C$5:$C$204,""),"")</f>
        <v/>
      </c>
      <c r="F396" s="8" t="str">
        <f ca="1">IFERROR(_xludf.XLOOKUP(D396,STUDENTS!$A$5:$A$204,STUDENTS!$L$5:$L$204,""),"")</f>
        <v/>
      </c>
      <c r="G396" s="8"/>
      <c r="H396" s="14"/>
      <c r="I396" s="14"/>
      <c r="J396" s="15" t="str">
        <f>IF(H396="","",H396*SETTINGS!$B$9)</f>
        <v/>
      </c>
      <c r="K396" s="15" t="str">
        <f>IF(I396="","",I396*SETTINGS!$B$10)</f>
        <v/>
      </c>
      <c r="L396" s="15" t="str">
        <f t="shared" si="25"/>
        <v/>
      </c>
      <c r="M396" s="10" t="str">
        <f t="shared" si="26"/>
        <v/>
      </c>
      <c r="N396" s="10" t="str">
        <f t="shared" si="27"/>
        <v/>
      </c>
      <c r="O396" s="8"/>
    </row>
    <row r="397" spans="1:15" x14ac:dyDescent="0.2">
      <c r="A397" s="10" t="str">
        <f t="shared" si="24"/>
        <v/>
      </c>
      <c r="B397" s="8"/>
      <c r="C397" s="8"/>
      <c r="D397" s="8"/>
      <c r="E397" s="8" t="str">
        <f ca="1">IFERROR(_xludf.XLOOKUP(D397,STUDENTS!$A$5:$A$204,STUDENTS!$C$5:$C$204,""),"")</f>
        <v/>
      </c>
      <c r="F397" s="8" t="str">
        <f ca="1">IFERROR(_xludf.XLOOKUP(D397,STUDENTS!$A$5:$A$204,STUDENTS!$L$5:$L$204,""),"")</f>
        <v/>
      </c>
      <c r="G397" s="8"/>
      <c r="H397" s="14"/>
      <c r="I397" s="14"/>
      <c r="J397" s="15" t="str">
        <f>IF(H397="","",H397*SETTINGS!$B$9)</f>
        <v/>
      </c>
      <c r="K397" s="15" t="str">
        <f>IF(I397="","",I397*SETTINGS!$B$10)</f>
        <v/>
      </c>
      <c r="L397" s="15" t="str">
        <f t="shared" si="25"/>
        <v/>
      </c>
      <c r="M397" s="10" t="str">
        <f t="shared" si="26"/>
        <v/>
      </c>
      <c r="N397" s="10" t="str">
        <f t="shared" si="27"/>
        <v/>
      </c>
      <c r="O397" s="8"/>
    </row>
    <row r="398" spans="1:15" x14ac:dyDescent="0.2">
      <c r="A398" s="10" t="str">
        <f t="shared" si="24"/>
        <v/>
      </c>
      <c r="B398" s="8"/>
      <c r="C398" s="8"/>
      <c r="D398" s="8"/>
      <c r="E398" s="8" t="str">
        <f ca="1">IFERROR(_xludf.XLOOKUP(D398,STUDENTS!$A$5:$A$204,STUDENTS!$C$5:$C$204,""),"")</f>
        <v/>
      </c>
      <c r="F398" s="8" t="str">
        <f ca="1">IFERROR(_xludf.XLOOKUP(D398,STUDENTS!$A$5:$A$204,STUDENTS!$L$5:$L$204,""),"")</f>
        <v/>
      </c>
      <c r="G398" s="8"/>
      <c r="H398" s="14"/>
      <c r="I398" s="14"/>
      <c r="J398" s="15" t="str">
        <f>IF(H398="","",H398*SETTINGS!$B$9)</f>
        <v/>
      </c>
      <c r="K398" s="15" t="str">
        <f>IF(I398="","",I398*SETTINGS!$B$10)</f>
        <v/>
      </c>
      <c r="L398" s="15" t="str">
        <f t="shared" si="25"/>
        <v/>
      </c>
      <c r="M398" s="10" t="str">
        <f t="shared" si="26"/>
        <v/>
      </c>
      <c r="N398" s="10" t="str">
        <f t="shared" si="27"/>
        <v/>
      </c>
      <c r="O398" s="8"/>
    </row>
    <row r="399" spans="1:15" x14ac:dyDescent="0.2">
      <c r="A399" s="10" t="str">
        <f t="shared" si="24"/>
        <v/>
      </c>
      <c r="B399" s="8"/>
      <c r="C399" s="8"/>
      <c r="D399" s="8"/>
      <c r="E399" s="8" t="str">
        <f ca="1">IFERROR(_xludf.XLOOKUP(D399,STUDENTS!$A$5:$A$204,STUDENTS!$C$5:$C$204,""),"")</f>
        <v/>
      </c>
      <c r="F399" s="8" t="str">
        <f ca="1">IFERROR(_xludf.XLOOKUP(D399,STUDENTS!$A$5:$A$204,STUDENTS!$L$5:$L$204,""),"")</f>
        <v/>
      </c>
      <c r="G399" s="8"/>
      <c r="H399" s="14"/>
      <c r="I399" s="14"/>
      <c r="J399" s="15" t="str">
        <f>IF(H399="","",H399*SETTINGS!$B$9)</f>
        <v/>
      </c>
      <c r="K399" s="15" t="str">
        <f>IF(I399="","",I399*SETTINGS!$B$10)</f>
        <v/>
      </c>
      <c r="L399" s="15" t="str">
        <f t="shared" si="25"/>
        <v/>
      </c>
      <c r="M399" s="10" t="str">
        <f t="shared" si="26"/>
        <v/>
      </c>
      <c r="N399" s="10" t="str">
        <f t="shared" si="27"/>
        <v/>
      </c>
      <c r="O399" s="8"/>
    </row>
    <row r="400" spans="1:15" x14ac:dyDescent="0.2">
      <c r="A400" s="10" t="str">
        <f t="shared" si="24"/>
        <v/>
      </c>
      <c r="B400" s="8"/>
      <c r="C400" s="8"/>
      <c r="D400" s="8"/>
      <c r="E400" s="8" t="str">
        <f ca="1">IFERROR(_xludf.XLOOKUP(D400,STUDENTS!$A$5:$A$204,STUDENTS!$C$5:$C$204,""),"")</f>
        <v/>
      </c>
      <c r="F400" s="8" t="str">
        <f ca="1">IFERROR(_xludf.XLOOKUP(D400,STUDENTS!$A$5:$A$204,STUDENTS!$L$5:$L$204,""),"")</f>
        <v/>
      </c>
      <c r="G400" s="8"/>
      <c r="H400" s="14"/>
      <c r="I400" s="14"/>
      <c r="J400" s="15" t="str">
        <f>IF(H400="","",H400*SETTINGS!$B$9)</f>
        <v/>
      </c>
      <c r="K400" s="15" t="str">
        <f>IF(I400="","",I400*SETTINGS!$B$10)</f>
        <v/>
      </c>
      <c r="L400" s="15" t="str">
        <f t="shared" si="25"/>
        <v/>
      </c>
      <c r="M400" s="10" t="str">
        <f t="shared" si="26"/>
        <v/>
      </c>
      <c r="N400" s="10" t="str">
        <f t="shared" si="27"/>
        <v/>
      </c>
      <c r="O400" s="8"/>
    </row>
    <row r="401" spans="1:15" x14ac:dyDescent="0.2">
      <c r="A401" s="10" t="str">
        <f t="shared" si="24"/>
        <v/>
      </c>
      <c r="B401" s="8"/>
      <c r="C401" s="8"/>
      <c r="D401" s="8"/>
      <c r="E401" s="8" t="str">
        <f ca="1">IFERROR(_xludf.XLOOKUP(D401,STUDENTS!$A$5:$A$204,STUDENTS!$C$5:$C$204,""),"")</f>
        <v/>
      </c>
      <c r="F401" s="8" t="str">
        <f ca="1">IFERROR(_xludf.XLOOKUP(D401,STUDENTS!$A$5:$A$204,STUDENTS!$L$5:$L$204,""),"")</f>
        <v/>
      </c>
      <c r="G401" s="8"/>
      <c r="H401" s="14"/>
      <c r="I401" s="14"/>
      <c r="J401" s="15" t="str">
        <f>IF(H401="","",H401*SETTINGS!$B$9)</f>
        <v/>
      </c>
      <c r="K401" s="15" t="str">
        <f>IF(I401="","",I401*SETTINGS!$B$10)</f>
        <v/>
      </c>
      <c r="L401" s="15" t="str">
        <f t="shared" si="25"/>
        <v/>
      </c>
      <c r="M401" s="10" t="str">
        <f t="shared" si="26"/>
        <v/>
      </c>
      <c r="N401" s="10" t="str">
        <f t="shared" si="27"/>
        <v/>
      </c>
      <c r="O401" s="8"/>
    </row>
    <row r="402" spans="1:15" x14ac:dyDescent="0.2">
      <c r="A402" s="10" t="str">
        <f t="shared" si="24"/>
        <v/>
      </c>
      <c r="B402" s="8"/>
      <c r="C402" s="8"/>
      <c r="D402" s="8"/>
      <c r="E402" s="8" t="str">
        <f ca="1">IFERROR(_xludf.XLOOKUP(D402,STUDENTS!$A$5:$A$204,STUDENTS!$C$5:$C$204,""),"")</f>
        <v/>
      </c>
      <c r="F402" s="8" t="str">
        <f ca="1">IFERROR(_xludf.XLOOKUP(D402,STUDENTS!$A$5:$A$204,STUDENTS!$L$5:$L$204,""),"")</f>
        <v/>
      </c>
      <c r="G402" s="8"/>
      <c r="H402" s="14"/>
      <c r="I402" s="14"/>
      <c r="J402" s="15" t="str">
        <f>IF(H402="","",H402*SETTINGS!$B$9)</f>
        <v/>
      </c>
      <c r="K402" s="15" t="str">
        <f>IF(I402="","",I402*SETTINGS!$B$10)</f>
        <v/>
      </c>
      <c r="L402" s="15" t="str">
        <f t="shared" si="25"/>
        <v/>
      </c>
      <c r="M402" s="10" t="str">
        <f t="shared" si="26"/>
        <v/>
      </c>
      <c r="N402" s="10" t="str">
        <f t="shared" si="27"/>
        <v/>
      </c>
      <c r="O402" s="8"/>
    </row>
    <row r="403" spans="1:15" x14ac:dyDescent="0.2">
      <c r="A403" s="10" t="str">
        <f t="shared" si="24"/>
        <v/>
      </c>
      <c r="B403" s="8"/>
      <c r="C403" s="8"/>
      <c r="D403" s="8"/>
      <c r="E403" s="8" t="str">
        <f ca="1">IFERROR(_xludf.XLOOKUP(D403,STUDENTS!$A$5:$A$204,STUDENTS!$C$5:$C$204,""),"")</f>
        <v/>
      </c>
      <c r="F403" s="8" t="str">
        <f ca="1">IFERROR(_xludf.XLOOKUP(D403,STUDENTS!$A$5:$A$204,STUDENTS!$L$5:$L$204,""),"")</f>
        <v/>
      </c>
      <c r="G403" s="8"/>
      <c r="H403" s="14"/>
      <c r="I403" s="14"/>
      <c r="J403" s="15" t="str">
        <f>IF(H403="","",H403*SETTINGS!$B$9)</f>
        <v/>
      </c>
      <c r="K403" s="15" t="str">
        <f>IF(I403="","",I403*SETTINGS!$B$10)</f>
        <v/>
      </c>
      <c r="L403" s="15" t="str">
        <f t="shared" si="25"/>
        <v/>
      </c>
      <c r="M403" s="10" t="str">
        <f t="shared" si="26"/>
        <v/>
      </c>
      <c r="N403" s="10" t="str">
        <f t="shared" si="27"/>
        <v/>
      </c>
      <c r="O403" s="8"/>
    </row>
    <row r="404" spans="1:15" x14ac:dyDescent="0.2">
      <c r="A404" s="10" t="str">
        <f t="shared" si="24"/>
        <v/>
      </c>
      <c r="B404" s="8"/>
      <c r="C404" s="8"/>
      <c r="D404" s="8"/>
      <c r="E404" s="8" t="str">
        <f ca="1">IFERROR(_xludf.XLOOKUP(D404,STUDENTS!$A$5:$A$204,STUDENTS!$C$5:$C$204,""),"")</f>
        <v/>
      </c>
      <c r="F404" s="8" t="str">
        <f ca="1">IFERROR(_xludf.XLOOKUP(D404,STUDENTS!$A$5:$A$204,STUDENTS!$L$5:$L$204,""),"")</f>
        <v/>
      </c>
      <c r="G404" s="8"/>
      <c r="H404" s="14"/>
      <c r="I404" s="14"/>
      <c r="J404" s="15" t="str">
        <f>IF(H404="","",H404*SETTINGS!$B$9)</f>
        <v/>
      </c>
      <c r="K404" s="15" t="str">
        <f>IF(I404="","",I404*SETTINGS!$B$10)</f>
        <v/>
      </c>
      <c r="L404" s="15" t="str">
        <f t="shared" si="25"/>
        <v/>
      </c>
      <c r="M404" s="10" t="str">
        <f t="shared" si="26"/>
        <v/>
      </c>
      <c r="N404" s="10" t="str">
        <f t="shared" si="27"/>
        <v/>
      </c>
      <c r="O404" s="8"/>
    </row>
    <row r="405" spans="1:15" x14ac:dyDescent="0.2">
      <c r="A405" s="10" t="str">
        <f t="shared" si="24"/>
        <v/>
      </c>
      <c r="B405" s="8"/>
      <c r="C405" s="8"/>
      <c r="D405" s="8"/>
      <c r="E405" s="8" t="str">
        <f ca="1">IFERROR(_xludf.XLOOKUP(D405,STUDENTS!$A$5:$A$204,STUDENTS!$C$5:$C$204,""),"")</f>
        <v/>
      </c>
      <c r="F405" s="8" t="str">
        <f ca="1">IFERROR(_xludf.XLOOKUP(D405,STUDENTS!$A$5:$A$204,STUDENTS!$L$5:$L$204,""),"")</f>
        <v/>
      </c>
      <c r="G405" s="8"/>
      <c r="H405" s="14"/>
      <c r="I405" s="14"/>
      <c r="J405" s="15" t="str">
        <f>IF(H405="","",H405*SETTINGS!$B$9)</f>
        <v/>
      </c>
      <c r="K405" s="15" t="str">
        <f>IF(I405="","",I405*SETTINGS!$B$10)</f>
        <v/>
      </c>
      <c r="L405" s="15" t="str">
        <f t="shared" si="25"/>
        <v/>
      </c>
      <c r="M405" s="10" t="str">
        <f t="shared" si="26"/>
        <v/>
      </c>
      <c r="N405" s="10" t="str">
        <f t="shared" si="27"/>
        <v/>
      </c>
      <c r="O405" s="8"/>
    </row>
    <row r="406" spans="1:15" x14ac:dyDescent="0.2">
      <c r="A406" s="10" t="str">
        <f t="shared" si="24"/>
        <v/>
      </c>
      <c r="B406" s="8"/>
      <c r="C406" s="8"/>
      <c r="D406" s="8"/>
      <c r="E406" s="8" t="str">
        <f ca="1">IFERROR(_xludf.XLOOKUP(D406,STUDENTS!$A$5:$A$204,STUDENTS!$C$5:$C$204,""),"")</f>
        <v/>
      </c>
      <c r="F406" s="8" t="str">
        <f ca="1">IFERROR(_xludf.XLOOKUP(D406,STUDENTS!$A$5:$A$204,STUDENTS!$L$5:$L$204,""),"")</f>
        <v/>
      </c>
      <c r="G406" s="8"/>
      <c r="H406" s="14"/>
      <c r="I406" s="14"/>
      <c r="J406" s="15" t="str">
        <f>IF(H406="","",H406*SETTINGS!$B$9)</f>
        <v/>
      </c>
      <c r="K406" s="15" t="str">
        <f>IF(I406="","",I406*SETTINGS!$B$10)</f>
        <v/>
      </c>
      <c r="L406" s="15" t="str">
        <f t="shared" si="25"/>
        <v/>
      </c>
      <c r="M406" s="10" t="str">
        <f t="shared" si="26"/>
        <v/>
      </c>
      <c r="N406" s="10" t="str">
        <f t="shared" si="27"/>
        <v/>
      </c>
      <c r="O406" s="8"/>
    </row>
    <row r="407" spans="1:15" x14ac:dyDescent="0.2">
      <c r="A407" s="10" t="str">
        <f t="shared" si="24"/>
        <v/>
      </c>
      <c r="B407" s="8"/>
      <c r="C407" s="8"/>
      <c r="D407" s="8"/>
      <c r="E407" s="8" t="str">
        <f ca="1">IFERROR(_xludf.XLOOKUP(D407,STUDENTS!$A$5:$A$204,STUDENTS!$C$5:$C$204,""),"")</f>
        <v/>
      </c>
      <c r="F407" s="8" t="str">
        <f ca="1">IFERROR(_xludf.XLOOKUP(D407,STUDENTS!$A$5:$A$204,STUDENTS!$L$5:$L$204,""),"")</f>
        <v/>
      </c>
      <c r="G407" s="8"/>
      <c r="H407" s="14"/>
      <c r="I407" s="14"/>
      <c r="J407" s="15" t="str">
        <f>IF(H407="","",H407*SETTINGS!$B$9)</f>
        <v/>
      </c>
      <c r="K407" s="15" t="str">
        <f>IF(I407="","",I407*SETTINGS!$B$10)</f>
        <v/>
      </c>
      <c r="L407" s="15" t="str">
        <f t="shared" si="25"/>
        <v/>
      </c>
      <c r="M407" s="10" t="str">
        <f t="shared" si="26"/>
        <v/>
      </c>
      <c r="N407" s="10" t="str">
        <f t="shared" si="27"/>
        <v/>
      </c>
      <c r="O407" s="8"/>
    </row>
    <row r="408" spans="1:15" x14ac:dyDescent="0.2">
      <c r="A408" s="10" t="str">
        <f t="shared" si="24"/>
        <v/>
      </c>
      <c r="B408" s="8"/>
      <c r="C408" s="8"/>
      <c r="D408" s="8"/>
      <c r="E408" s="8" t="str">
        <f ca="1">IFERROR(_xludf.XLOOKUP(D408,STUDENTS!$A$5:$A$204,STUDENTS!$C$5:$C$204,""),"")</f>
        <v/>
      </c>
      <c r="F408" s="8" t="str">
        <f ca="1">IFERROR(_xludf.XLOOKUP(D408,STUDENTS!$A$5:$A$204,STUDENTS!$L$5:$L$204,""),"")</f>
        <v/>
      </c>
      <c r="G408" s="8"/>
      <c r="H408" s="14"/>
      <c r="I408" s="14"/>
      <c r="J408" s="15" t="str">
        <f>IF(H408="","",H408*SETTINGS!$B$9)</f>
        <v/>
      </c>
      <c r="K408" s="15" t="str">
        <f>IF(I408="","",I408*SETTINGS!$B$10)</f>
        <v/>
      </c>
      <c r="L408" s="15" t="str">
        <f t="shared" si="25"/>
        <v/>
      </c>
      <c r="M408" s="10" t="str">
        <f t="shared" si="26"/>
        <v/>
      </c>
      <c r="N408" s="10" t="str">
        <f t="shared" si="27"/>
        <v/>
      </c>
      <c r="O408" s="8"/>
    </row>
    <row r="409" spans="1:15" x14ac:dyDescent="0.2">
      <c r="A409" s="10" t="str">
        <f t="shared" si="24"/>
        <v/>
      </c>
      <c r="B409" s="8"/>
      <c r="C409" s="8"/>
      <c r="D409" s="8"/>
      <c r="E409" s="8" t="str">
        <f ca="1">IFERROR(_xludf.XLOOKUP(D409,STUDENTS!$A$5:$A$204,STUDENTS!$C$5:$C$204,""),"")</f>
        <v/>
      </c>
      <c r="F409" s="8" t="str">
        <f ca="1">IFERROR(_xludf.XLOOKUP(D409,STUDENTS!$A$5:$A$204,STUDENTS!$L$5:$L$204,""),"")</f>
        <v/>
      </c>
      <c r="G409" s="8"/>
      <c r="H409" s="14"/>
      <c r="I409" s="14"/>
      <c r="J409" s="15" t="str">
        <f>IF(H409="","",H409*SETTINGS!$B$9)</f>
        <v/>
      </c>
      <c r="K409" s="15" t="str">
        <f>IF(I409="","",I409*SETTINGS!$B$10)</f>
        <v/>
      </c>
      <c r="L409" s="15" t="str">
        <f t="shared" si="25"/>
        <v/>
      </c>
      <c r="M409" s="10" t="str">
        <f t="shared" si="26"/>
        <v/>
      </c>
      <c r="N409" s="10" t="str">
        <f t="shared" si="27"/>
        <v/>
      </c>
      <c r="O409" s="8"/>
    </row>
    <row r="410" spans="1:15" x14ac:dyDescent="0.2">
      <c r="A410" s="10" t="str">
        <f t="shared" si="24"/>
        <v/>
      </c>
      <c r="B410" s="8"/>
      <c r="C410" s="8"/>
      <c r="D410" s="8"/>
      <c r="E410" s="8" t="str">
        <f ca="1">IFERROR(_xludf.XLOOKUP(D410,STUDENTS!$A$5:$A$204,STUDENTS!$C$5:$C$204,""),"")</f>
        <v/>
      </c>
      <c r="F410" s="8" t="str">
        <f ca="1">IFERROR(_xludf.XLOOKUP(D410,STUDENTS!$A$5:$A$204,STUDENTS!$L$5:$L$204,""),"")</f>
        <v/>
      </c>
      <c r="G410" s="8"/>
      <c r="H410" s="14"/>
      <c r="I410" s="14"/>
      <c r="J410" s="15" t="str">
        <f>IF(H410="","",H410*SETTINGS!$B$9)</f>
        <v/>
      </c>
      <c r="K410" s="15" t="str">
        <f>IF(I410="","",I410*SETTINGS!$B$10)</f>
        <v/>
      </c>
      <c r="L410" s="15" t="str">
        <f t="shared" si="25"/>
        <v/>
      </c>
      <c r="M410" s="10" t="str">
        <f t="shared" si="26"/>
        <v/>
      </c>
      <c r="N410" s="10" t="str">
        <f t="shared" si="27"/>
        <v/>
      </c>
      <c r="O410" s="8"/>
    </row>
    <row r="411" spans="1:15" x14ac:dyDescent="0.2">
      <c r="A411" s="10" t="str">
        <f t="shared" si="24"/>
        <v/>
      </c>
      <c r="B411" s="8"/>
      <c r="C411" s="8"/>
      <c r="D411" s="8"/>
      <c r="E411" s="8" t="str">
        <f ca="1">IFERROR(_xludf.XLOOKUP(D411,STUDENTS!$A$5:$A$204,STUDENTS!$C$5:$C$204,""),"")</f>
        <v/>
      </c>
      <c r="F411" s="8" t="str">
        <f ca="1">IFERROR(_xludf.XLOOKUP(D411,STUDENTS!$A$5:$A$204,STUDENTS!$L$5:$L$204,""),"")</f>
        <v/>
      </c>
      <c r="G411" s="8"/>
      <c r="H411" s="14"/>
      <c r="I411" s="14"/>
      <c r="J411" s="15" t="str">
        <f>IF(H411="","",H411*SETTINGS!$B$9)</f>
        <v/>
      </c>
      <c r="K411" s="15" t="str">
        <f>IF(I411="","",I411*SETTINGS!$B$10)</f>
        <v/>
      </c>
      <c r="L411" s="15" t="str">
        <f t="shared" si="25"/>
        <v/>
      </c>
      <c r="M411" s="10" t="str">
        <f t="shared" si="26"/>
        <v/>
      </c>
      <c r="N411" s="10" t="str">
        <f t="shared" si="27"/>
        <v/>
      </c>
      <c r="O411" s="8"/>
    </row>
    <row r="412" spans="1:15" x14ac:dyDescent="0.2">
      <c r="A412" s="10" t="str">
        <f t="shared" si="24"/>
        <v/>
      </c>
      <c r="B412" s="8"/>
      <c r="C412" s="8"/>
      <c r="D412" s="8"/>
      <c r="E412" s="8" t="str">
        <f ca="1">IFERROR(_xludf.XLOOKUP(D412,STUDENTS!$A$5:$A$204,STUDENTS!$C$5:$C$204,""),"")</f>
        <v/>
      </c>
      <c r="F412" s="8" t="str">
        <f ca="1">IFERROR(_xludf.XLOOKUP(D412,STUDENTS!$A$5:$A$204,STUDENTS!$L$5:$L$204,""),"")</f>
        <v/>
      </c>
      <c r="G412" s="8"/>
      <c r="H412" s="14"/>
      <c r="I412" s="14"/>
      <c r="J412" s="15" t="str">
        <f>IF(H412="","",H412*SETTINGS!$B$9)</f>
        <v/>
      </c>
      <c r="K412" s="15" t="str">
        <f>IF(I412="","",I412*SETTINGS!$B$10)</f>
        <v/>
      </c>
      <c r="L412" s="15" t="str">
        <f t="shared" si="25"/>
        <v/>
      </c>
      <c r="M412" s="10" t="str">
        <f t="shared" si="26"/>
        <v/>
      </c>
      <c r="N412" s="10" t="str">
        <f t="shared" si="27"/>
        <v/>
      </c>
      <c r="O412" s="8"/>
    </row>
    <row r="413" spans="1:15" x14ac:dyDescent="0.2">
      <c r="A413" s="10" t="str">
        <f t="shared" si="24"/>
        <v/>
      </c>
      <c r="B413" s="8"/>
      <c r="C413" s="8"/>
      <c r="D413" s="8"/>
      <c r="E413" s="8" t="str">
        <f ca="1">IFERROR(_xludf.XLOOKUP(D413,STUDENTS!$A$5:$A$204,STUDENTS!$C$5:$C$204,""),"")</f>
        <v/>
      </c>
      <c r="F413" s="8" t="str">
        <f ca="1">IFERROR(_xludf.XLOOKUP(D413,STUDENTS!$A$5:$A$204,STUDENTS!$L$5:$L$204,""),"")</f>
        <v/>
      </c>
      <c r="G413" s="8"/>
      <c r="H413" s="14"/>
      <c r="I413" s="14"/>
      <c r="J413" s="15" t="str">
        <f>IF(H413="","",H413*SETTINGS!$B$9)</f>
        <v/>
      </c>
      <c r="K413" s="15" t="str">
        <f>IF(I413="","",I413*SETTINGS!$B$10)</f>
        <v/>
      </c>
      <c r="L413" s="15" t="str">
        <f t="shared" si="25"/>
        <v/>
      </c>
      <c r="M413" s="10" t="str">
        <f t="shared" si="26"/>
        <v/>
      </c>
      <c r="N413" s="10" t="str">
        <f t="shared" si="27"/>
        <v/>
      </c>
      <c r="O413" s="8"/>
    </row>
    <row r="414" spans="1:15" x14ac:dyDescent="0.2">
      <c r="A414" s="10" t="str">
        <f t="shared" si="24"/>
        <v/>
      </c>
      <c r="B414" s="8"/>
      <c r="C414" s="8"/>
      <c r="D414" s="8"/>
      <c r="E414" s="8" t="str">
        <f ca="1">IFERROR(_xludf.XLOOKUP(D414,STUDENTS!$A$5:$A$204,STUDENTS!$C$5:$C$204,""),"")</f>
        <v/>
      </c>
      <c r="F414" s="8" t="str">
        <f ca="1">IFERROR(_xludf.XLOOKUP(D414,STUDENTS!$A$5:$A$204,STUDENTS!$L$5:$L$204,""),"")</f>
        <v/>
      </c>
      <c r="G414" s="8"/>
      <c r="H414" s="14"/>
      <c r="I414" s="14"/>
      <c r="J414" s="15" t="str">
        <f>IF(H414="","",H414*SETTINGS!$B$9)</f>
        <v/>
      </c>
      <c r="K414" s="15" t="str">
        <f>IF(I414="","",I414*SETTINGS!$B$10)</f>
        <v/>
      </c>
      <c r="L414" s="15" t="str">
        <f t="shared" si="25"/>
        <v/>
      </c>
      <c r="M414" s="10" t="str">
        <f t="shared" si="26"/>
        <v/>
      </c>
      <c r="N414" s="10" t="str">
        <f t="shared" si="27"/>
        <v/>
      </c>
      <c r="O414" s="8"/>
    </row>
    <row r="415" spans="1:15" x14ac:dyDescent="0.2">
      <c r="A415" s="10" t="str">
        <f t="shared" si="24"/>
        <v/>
      </c>
      <c r="B415" s="8"/>
      <c r="C415" s="8"/>
      <c r="D415" s="8"/>
      <c r="E415" s="8" t="str">
        <f ca="1">IFERROR(_xludf.XLOOKUP(D415,STUDENTS!$A$5:$A$204,STUDENTS!$C$5:$C$204,""),"")</f>
        <v/>
      </c>
      <c r="F415" s="8" t="str">
        <f ca="1">IFERROR(_xludf.XLOOKUP(D415,STUDENTS!$A$5:$A$204,STUDENTS!$L$5:$L$204,""),"")</f>
        <v/>
      </c>
      <c r="G415" s="8"/>
      <c r="H415" s="14"/>
      <c r="I415" s="14"/>
      <c r="J415" s="15" t="str">
        <f>IF(H415="","",H415*SETTINGS!$B$9)</f>
        <v/>
      </c>
      <c r="K415" s="15" t="str">
        <f>IF(I415="","",I415*SETTINGS!$B$10)</f>
        <v/>
      </c>
      <c r="L415" s="15" t="str">
        <f t="shared" si="25"/>
        <v/>
      </c>
      <c r="M415" s="10" t="str">
        <f t="shared" si="26"/>
        <v/>
      </c>
      <c r="N415" s="10" t="str">
        <f t="shared" si="27"/>
        <v/>
      </c>
      <c r="O415" s="8"/>
    </row>
    <row r="416" spans="1:15" x14ac:dyDescent="0.2">
      <c r="A416" s="10" t="str">
        <f t="shared" si="24"/>
        <v/>
      </c>
      <c r="B416" s="8"/>
      <c r="C416" s="8"/>
      <c r="D416" s="8"/>
      <c r="E416" s="8" t="str">
        <f ca="1">IFERROR(_xludf.XLOOKUP(D416,STUDENTS!$A$5:$A$204,STUDENTS!$C$5:$C$204,""),"")</f>
        <v/>
      </c>
      <c r="F416" s="8" t="str">
        <f ca="1">IFERROR(_xludf.XLOOKUP(D416,STUDENTS!$A$5:$A$204,STUDENTS!$L$5:$L$204,""),"")</f>
        <v/>
      </c>
      <c r="G416" s="8"/>
      <c r="H416" s="14"/>
      <c r="I416" s="14"/>
      <c r="J416" s="15" t="str">
        <f>IF(H416="","",H416*SETTINGS!$B$9)</f>
        <v/>
      </c>
      <c r="K416" s="15" t="str">
        <f>IF(I416="","",I416*SETTINGS!$B$10)</f>
        <v/>
      </c>
      <c r="L416" s="15" t="str">
        <f t="shared" si="25"/>
        <v/>
      </c>
      <c r="M416" s="10" t="str">
        <f t="shared" si="26"/>
        <v/>
      </c>
      <c r="N416" s="10" t="str">
        <f t="shared" si="27"/>
        <v/>
      </c>
      <c r="O416" s="8"/>
    </row>
    <row r="417" spans="1:15" x14ac:dyDescent="0.2">
      <c r="A417" s="10" t="str">
        <f t="shared" si="24"/>
        <v/>
      </c>
      <c r="B417" s="8"/>
      <c r="C417" s="8"/>
      <c r="D417" s="8"/>
      <c r="E417" s="8" t="str">
        <f ca="1">IFERROR(_xludf.XLOOKUP(D417,STUDENTS!$A$5:$A$204,STUDENTS!$C$5:$C$204,""),"")</f>
        <v/>
      </c>
      <c r="F417" s="8" t="str">
        <f ca="1">IFERROR(_xludf.XLOOKUP(D417,STUDENTS!$A$5:$A$204,STUDENTS!$L$5:$L$204,""),"")</f>
        <v/>
      </c>
      <c r="G417" s="8"/>
      <c r="H417" s="14"/>
      <c r="I417" s="14"/>
      <c r="J417" s="15" t="str">
        <f>IF(H417="","",H417*SETTINGS!$B$9)</f>
        <v/>
      </c>
      <c r="K417" s="15" t="str">
        <f>IF(I417="","",I417*SETTINGS!$B$10)</f>
        <v/>
      </c>
      <c r="L417" s="15" t="str">
        <f t="shared" si="25"/>
        <v/>
      </c>
      <c r="M417" s="10" t="str">
        <f t="shared" si="26"/>
        <v/>
      </c>
      <c r="N417" s="10" t="str">
        <f t="shared" si="27"/>
        <v/>
      </c>
      <c r="O417" s="8"/>
    </row>
    <row r="418" spans="1:15" x14ac:dyDescent="0.2">
      <c r="A418" s="10" t="str">
        <f t="shared" si="24"/>
        <v/>
      </c>
      <c r="B418" s="8"/>
      <c r="C418" s="8"/>
      <c r="D418" s="8"/>
      <c r="E418" s="8" t="str">
        <f ca="1">IFERROR(_xludf.XLOOKUP(D418,STUDENTS!$A$5:$A$204,STUDENTS!$C$5:$C$204,""),"")</f>
        <v/>
      </c>
      <c r="F418" s="8" t="str">
        <f ca="1">IFERROR(_xludf.XLOOKUP(D418,STUDENTS!$A$5:$A$204,STUDENTS!$L$5:$L$204,""),"")</f>
        <v/>
      </c>
      <c r="G418" s="8"/>
      <c r="H418" s="14"/>
      <c r="I418" s="14"/>
      <c r="J418" s="15" t="str">
        <f>IF(H418="","",H418*SETTINGS!$B$9)</f>
        <v/>
      </c>
      <c r="K418" s="15" t="str">
        <f>IF(I418="","",I418*SETTINGS!$B$10)</f>
        <v/>
      </c>
      <c r="L418" s="15" t="str">
        <f t="shared" si="25"/>
        <v/>
      </c>
      <c r="M418" s="10" t="str">
        <f t="shared" si="26"/>
        <v/>
      </c>
      <c r="N418" s="10" t="str">
        <f t="shared" si="27"/>
        <v/>
      </c>
      <c r="O418" s="8"/>
    </row>
    <row r="419" spans="1:15" x14ac:dyDescent="0.2">
      <c r="A419" s="10" t="str">
        <f t="shared" si="24"/>
        <v/>
      </c>
      <c r="B419" s="8"/>
      <c r="C419" s="8"/>
      <c r="D419" s="8"/>
      <c r="E419" s="8" t="str">
        <f ca="1">IFERROR(_xludf.XLOOKUP(D419,STUDENTS!$A$5:$A$204,STUDENTS!$C$5:$C$204,""),"")</f>
        <v/>
      </c>
      <c r="F419" s="8" t="str">
        <f ca="1">IFERROR(_xludf.XLOOKUP(D419,STUDENTS!$A$5:$A$204,STUDENTS!$L$5:$L$204,""),"")</f>
        <v/>
      </c>
      <c r="G419" s="8"/>
      <c r="H419" s="14"/>
      <c r="I419" s="14"/>
      <c r="J419" s="15" t="str">
        <f>IF(H419="","",H419*SETTINGS!$B$9)</f>
        <v/>
      </c>
      <c r="K419" s="15" t="str">
        <f>IF(I419="","",I419*SETTINGS!$B$10)</f>
        <v/>
      </c>
      <c r="L419" s="15" t="str">
        <f t="shared" si="25"/>
        <v/>
      </c>
      <c r="M419" s="10" t="str">
        <f t="shared" si="26"/>
        <v/>
      </c>
      <c r="N419" s="10" t="str">
        <f t="shared" si="27"/>
        <v/>
      </c>
      <c r="O419" s="8"/>
    </row>
    <row r="420" spans="1:15" x14ac:dyDescent="0.2">
      <c r="A420" s="10" t="str">
        <f t="shared" si="24"/>
        <v/>
      </c>
      <c r="B420" s="8"/>
      <c r="C420" s="8"/>
      <c r="D420" s="8"/>
      <c r="E420" s="8" t="str">
        <f ca="1">IFERROR(_xludf.XLOOKUP(D420,STUDENTS!$A$5:$A$204,STUDENTS!$C$5:$C$204,""),"")</f>
        <v/>
      </c>
      <c r="F420" s="8" t="str">
        <f ca="1">IFERROR(_xludf.XLOOKUP(D420,STUDENTS!$A$5:$A$204,STUDENTS!$L$5:$L$204,""),"")</f>
        <v/>
      </c>
      <c r="G420" s="8"/>
      <c r="H420" s="14"/>
      <c r="I420" s="14"/>
      <c r="J420" s="15" t="str">
        <f>IF(H420="","",H420*SETTINGS!$B$9)</f>
        <v/>
      </c>
      <c r="K420" s="15" t="str">
        <f>IF(I420="","",I420*SETTINGS!$B$10)</f>
        <v/>
      </c>
      <c r="L420" s="15" t="str">
        <f t="shared" si="25"/>
        <v/>
      </c>
      <c r="M420" s="10" t="str">
        <f t="shared" si="26"/>
        <v/>
      </c>
      <c r="N420" s="10" t="str">
        <f t="shared" si="27"/>
        <v/>
      </c>
      <c r="O420" s="8"/>
    </row>
    <row r="421" spans="1:15" x14ac:dyDescent="0.2">
      <c r="A421" s="10" t="str">
        <f t="shared" si="24"/>
        <v/>
      </c>
      <c r="B421" s="8"/>
      <c r="C421" s="8"/>
      <c r="D421" s="8"/>
      <c r="E421" s="8" t="str">
        <f ca="1">IFERROR(_xludf.XLOOKUP(D421,STUDENTS!$A$5:$A$204,STUDENTS!$C$5:$C$204,""),"")</f>
        <v/>
      </c>
      <c r="F421" s="8" t="str">
        <f ca="1">IFERROR(_xludf.XLOOKUP(D421,STUDENTS!$A$5:$A$204,STUDENTS!$L$5:$L$204,""),"")</f>
        <v/>
      </c>
      <c r="G421" s="8"/>
      <c r="H421" s="14"/>
      <c r="I421" s="14"/>
      <c r="J421" s="15" t="str">
        <f>IF(H421="","",H421*SETTINGS!$B$9)</f>
        <v/>
      </c>
      <c r="K421" s="15" t="str">
        <f>IF(I421="","",I421*SETTINGS!$B$10)</f>
        <v/>
      </c>
      <c r="L421" s="15" t="str">
        <f t="shared" si="25"/>
        <v/>
      </c>
      <c r="M421" s="10" t="str">
        <f t="shared" si="26"/>
        <v/>
      </c>
      <c r="N421" s="10" t="str">
        <f t="shared" si="27"/>
        <v/>
      </c>
      <c r="O421" s="8"/>
    </row>
    <row r="422" spans="1:15" x14ac:dyDescent="0.2">
      <c r="A422" s="10" t="str">
        <f t="shared" si="24"/>
        <v/>
      </c>
      <c r="B422" s="8"/>
      <c r="C422" s="8"/>
      <c r="D422" s="8"/>
      <c r="E422" s="8" t="str">
        <f ca="1">IFERROR(_xludf.XLOOKUP(D422,STUDENTS!$A$5:$A$204,STUDENTS!$C$5:$C$204,""),"")</f>
        <v/>
      </c>
      <c r="F422" s="8" t="str">
        <f ca="1">IFERROR(_xludf.XLOOKUP(D422,STUDENTS!$A$5:$A$204,STUDENTS!$L$5:$L$204,""),"")</f>
        <v/>
      </c>
      <c r="G422" s="8"/>
      <c r="H422" s="14"/>
      <c r="I422" s="14"/>
      <c r="J422" s="15" t="str">
        <f>IF(H422="","",H422*SETTINGS!$B$9)</f>
        <v/>
      </c>
      <c r="K422" s="15" t="str">
        <f>IF(I422="","",I422*SETTINGS!$B$10)</f>
        <v/>
      </c>
      <c r="L422" s="15" t="str">
        <f t="shared" si="25"/>
        <v/>
      </c>
      <c r="M422" s="10" t="str">
        <f t="shared" si="26"/>
        <v/>
      </c>
      <c r="N422" s="10" t="str">
        <f t="shared" si="27"/>
        <v/>
      </c>
      <c r="O422" s="8"/>
    </row>
    <row r="423" spans="1:15" x14ac:dyDescent="0.2">
      <c r="A423" s="10" t="str">
        <f t="shared" si="24"/>
        <v/>
      </c>
      <c r="B423" s="8"/>
      <c r="C423" s="8"/>
      <c r="D423" s="8"/>
      <c r="E423" s="8" t="str">
        <f ca="1">IFERROR(_xludf.XLOOKUP(D423,STUDENTS!$A$5:$A$204,STUDENTS!$C$5:$C$204,""),"")</f>
        <v/>
      </c>
      <c r="F423" s="8" t="str">
        <f ca="1">IFERROR(_xludf.XLOOKUP(D423,STUDENTS!$A$5:$A$204,STUDENTS!$L$5:$L$204,""),"")</f>
        <v/>
      </c>
      <c r="G423" s="8"/>
      <c r="H423" s="14"/>
      <c r="I423" s="14"/>
      <c r="J423" s="15" t="str">
        <f>IF(H423="","",H423*SETTINGS!$B$9)</f>
        <v/>
      </c>
      <c r="K423" s="15" t="str">
        <f>IF(I423="","",I423*SETTINGS!$B$10)</f>
        <v/>
      </c>
      <c r="L423" s="15" t="str">
        <f t="shared" si="25"/>
        <v/>
      </c>
      <c r="M423" s="10" t="str">
        <f t="shared" si="26"/>
        <v/>
      </c>
      <c r="N423" s="10" t="str">
        <f t="shared" si="27"/>
        <v/>
      </c>
      <c r="O423" s="8"/>
    </row>
    <row r="424" spans="1:15" x14ac:dyDescent="0.2">
      <c r="A424" s="10" t="str">
        <f t="shared" si="24"/>
        <v/>
      </c>
      <c r="B424" s="8"/>
      <c r="C424" s="8"/>
      <c r="D424" s="8"/>
      <c r="E424" s="8" t="str">
        <f ca="1">IFERROR(_xludf.XLOOKUP(D424,STUDENTS!$A$5:$A$204,STUDENTS!$C$5:$C$204,""),"")</f>
        <v/>
      </c>
      <c r="F424" s="8" t="str">
        <f ca="1">IFERROR(_xludf.XLOOKUP(D424,STUDENTS!$A$5:$A$204,STUDENTS!$L$5:$L$204,""),"")</f>
        <v/>
      </c>
      <c r="G424" s="8"/>
      <c r="H424" s="14"/>
      <c r="I424" s="14"/>
      <c r="J424" s="15" t="str">
        <f>IF(H424="","",H424*SETTINGS!$B$9)</f>
        <v/>
      </c>
      <c r="K424" s="15" t="str">
        <f>IF(I424="","",I424*SETTINGS!$B$10)</f>
        <v/>
      </c>
      <c r="L424" s="15" t="str">
        <f t="shared" si="25"/>
        <v/>
      </c>
      <c r="M424" s="10" t="str">
        <f t="shared" si="26"/>
        <v/>
      </c>
      <c r="N424" s="10" t="str">
        <f t="shared" si="27"/>
        <v/>
      </c>
      <c r="O424" s="8"/>
    </row>
    <row r="425" spans="1:15" x14ac:dyDescent="0.2">
      <c r="A425" s="10" t="str">
        <f t="shared" si="24"/>
        <v/>
      </c>
      <c r="B425" s="8"/>
      <c r="C425" s="8"/>
      <c r="D425" s="8"/>
      <c r="E425" s="8" t="str">
        <f ca="1">IFERROR(_xludf.XLOOKUP(D425,STUDENTS!$A$5:$A$204,STUDENTS!$C$5:$C$204,""),"")</f>
        <v/>
      </c>
      <c r="F425" s="8" t="str">
        <f ca="1">IFERROR(_xludf.XLOOKUP(D425,STUDENTS!$A$5:$A$204,STUDENTS!$L$5:$L$204,""),"")</f>
        <v/>
      </c>
      <c r="G425" s="8"/>
      <c r="H425" s="14"/>
      <c r="I425" s="14"/>
      <c r="J425" s="15" t="str">
        <f>IF(H425="","",H425*SETTINGS!$B$9)</f>
        <v/>
      </c>
      <c r="K425" s="15" t="str">
        <f>IF(I425="","",I425*SETTINGS!$B$10)</f>
        <v/>
      </c>
      <c r="L425" s="15" t="str">
        <f t="shared" si="25"/>
        <v/>
      </c>
      <c r="M425" s="10" t="str">
        <f t="shared" si="26"/>
        <v/>
      </c>
      <c r="N425" s="10" t="str">
        <f t="shared" si="27"/>
        <v/>
      </c>
      <c r="O425" s="8"/>
    </row>
    <row r="426" spans="1:15" x14ac:dyDescent="0.2">
      <c r="A426" s="10" t="str">
        <f t="shared" si="24"/>
        <v/>
      </c>
      <c r="B426" s="8"/>
      <c r="C426" s="8"/>
      <c r="D426" s="8"/>
      <c r="E426" s="8" t="str">
        <f ca="1">IFERROR(_xludf.XLOOKUP(D426,STUDENTS!$A$5:$A$204,STUDENTS!$C$5:$C$204,""),"")</f>
        <v/>
      </c>
      <c r="F426" s="8" t="str">
        <f ca="1">IFERROR(_xludf.XLOOKUP(D426,STUDENTS!$A$5:$A$204,STUDENTS!$L$5:$L$204,""),"")</f>
        <v/>
      </c>
      <c r="G426" s="8"/>
      <c r="H426" s="14"/>
      <c r="I426" s="14"/>
      <c r="J426" s="15" t="str">
        <f>IF(H426="","",H426*SETTINGS!$B$9)</f>
        <v/>
      </c>
      <c r="K426" s="15" t="str">
        <f>IF(I426="","",I426*SETTINGS!$B$10)</f>
        <v/>
      </c>
      <c r="L426" s="15" t="str">
        <f t="shared" si="25"/>
        <v/>
      </c>
      <c r="M426" s="10" t="str">
        <f t="shared" si="26"/>
        <v/>
      </c>
      <c r="N426" s="10" t="str">
        <f t="shared" si="27"/>
        <v/>
      </c>
      <c r="O426" s="8"/>
    </row>
    <row r="427" spans="1:15" x14ac:dyDescent="0.2">
      <c r="A427" s="10" t="str">
        <f t="shared" si="24"/>
        <v/>
      </c>
      <c r="B427" s="8"/>
      <c r="C427" s="8"/>
      <c r="D427" s="8"/>
      <c r="E427" s="8" t="str">
        <f ca="1">IFERROR(_xludf.XLOOKUP(D427,STUDENTS!$A$5:$A$204,STUDENTS!$C$5:$C$204,""),"")</f>
        <v/>
      </c>
      <c r="F427" s="8" t="str">
        <f ca="1">IFERROR(_xludf.XLOOKUP(D427,STUDENTS!$A$5:$A$204,STUDENTS!$L$5:$L$204,""),"")</f>
        <v/>
      </c>
      <c r="G427" s="8"/>
      <c r="H427" s="14"/>
      <c r="I427" s="14"/>
      <c r="J427" s="15" t="str">
        <f>IF(H427="","",H427*SETTINGS!$B$9)</f>
        <v/>
      </c>
      <c r="K427" s="15" t="str">
        <f>IF(I427="","",I427*SETTINGS!$B$10)</f>
        <v/>
      </c>
      <c r="L427" s="15" t="str">
        <f t="shared" si="25"/>
        <v/>
      </c>
      <c r="M427" s="10" t="str">
        <f t="shared" si="26"/>
        <v/>
      </c>
      <c r="N427" s="10" t="str">
        <f t="shared" si="27"/>
        <v/>
      </c>
      <c r="O427" s="8"/>
    </row>
    <row r="428" spans="1:15" x14ac:dyDescent="0.2">
      <c r="A428" s="10" t="str">
        <f t="shared" si="24"/>
        <v/>
      </c>
      <c r="B428" s="8"/>
      <c r="C428" s="8"/>
      <c r="D428" s="8"/>
      <c r="E428" s="8" t="str">
        <f ca="1">IFERROR(_xludf.XLOOKUP(D428,STUDENTS!$A$5:$A$204,STUDENTS!$C$5:$C$204,""),"")</f>
        <v/>
      </c>
      <c r="F428" s="8" t="str">
        <f ca="1">IFERROR(_xludf.XLOOKUP(D428,STUDENTS!$A$5:$A$204,STUDENTS!$L$5:$L$204,""),"")</f>
        <v/>
      </c>
      <c r="G428" s="8"/>
      <c r="H428" s="14"/>
      <c r="I428" s="14"/>
      <c r="J428" s="15" t="str">
        <f>IF(H428="","",H428*SETTINGS!$B$9)</f>
        <v/>
      </c>
      <c r="K428" s="15" t="str">
        <f>IF(I428="","",I428*SETTINGS!$B$10)</f>
        <v/>
      </c>
      <c r="L428" s="15" t="str">
        <f t="shared" si="25"/>
        <v/>
      </c>
      <c r="M428" s="10" t="str">
        <f t="shared" si="26"/>
        <v/>
      </c>
      <c r="N428" s="10" t="str">
        <f t="shared" si="27"/>
        <v/>
      </c>
      <c r="O428" s="8"/>
    </row>
    <row r="429" spans="1:15" x14ac:dyDescent="0.2">
      <c r="A429" s="10" t="str">
        <f t="shared" si="24"/>
        <v/>
      </c>
      <c r="B429" s="8"/>
      <c r="C429" s="8"/>
      <c r="D429" s="8"/>
      <c r="E429" s="8" t="str">
        <f ca="1">IFERROR(_xludf.XLOOKUP(D429,STUDENTS!$A$5:$A$204,STUDENTS!$C$5:$C$204,""),"")</f>
        <v/>
      </c>
      <c r="F429" s="8" t="str">
        <f ca="1">IFERROR(_xludf.XLOOKUP(D429,STUDENTS!$A$5:$A$204,STUDENTS!$L$5:$L$204,""),"")</f>
        <v/>
      </c>
      <c r="G429" s="8"/>
      <c r="H429" s="14"/>
      <c r="I429" s="14"/>
      <c r="J429" s="15" t="str">
        <f>IF(H429="","",H429*SETTINGS!$B$9)</f>
        <v/>
      </c>
      <c r="K429" s="15" t="str">
        <f>IF(I429="","",I429*SETTINGS!$B$10)</f>
        <v/>
      </c>
      <c r="L429" s="15" t="str">
        <f t="shared" si="25"/>
        <v/>
      </c>
      <c r="M429" s="10" t="str">
        <f t="shared" si="26"/>
        <v/>
      </c>
      <c r="N429" s="10" t="str">
        <f t="shared" si="27"/>
        <v/>
      </c>
      <c r="O429" s="8"/>
    </row>
    <row r="430" spans="1:15" x14ac:dyDescent="0.2">
      <c r="A430" s="10" t="str">
        <f t="shared" si="24"/>
        <v/>
      </c>
      <c r="B430" s="8"/>
      <c r="C430" s="8"/>
      <c r="D430" s="8"/>
      <c r="E430" s="8" t="str">
        <f ca="1">IFERROR(_xludf.XLOOKUP(D430,STUDENTS!$A$5:$A$204,STUDENTS!$C$5:$C$204,""),"")</f>
        <v/>
      </c>
      <c r="F430" s="8" t="str">
        <f ca="1">IFERROR(_xludf.XLOOKUP(D430,STUDENTS!$A$5:$A$204,STUDENTS!$L$5:$L$204,""),"")</f>
        <v/>
      </c>
      <c r="G430" s="8"/>
      <c r="H430" s="14"/>
      <c r="I430" s="14"/>
      <c r="J430" s="15" t="str">
        <f>IF(H430="","",H430*SETTINGS!$B$9)</f>
        <v/>
      </c>
      <c r="K430" s="15" t="str">
        <f>IF(I430="","",I430*SETTINGS!$B$10)</f>
        <v/>
      </c>
      <c r="L430" s="15" t="str">
        <f t="shared" si="25"/>
        <v/>
      </c>
      <c r="M430" s="10" t="str">
        <f t="shared" si="26"/>
        <v/>
      </c>
      <c r="N430" s="10" t="str">
        <f t="shared" si="27"/>
        <v/>
      </c>
      <c r="O430" s="8"/>
    </row>
    <row r="431" spans="1:15" x14ac:dyDescent="0.2">
      <c r="A431" s="10" t="str">
        <f t="shared" si="24"/>
        <v/>
      </c>
      <c r="B431" s="8"/>
      <c r="C431" s="8"/>
      <c r="D431" s="8"/>
      <c r="E431" s="8" t="str">
        <f ca="1">IFERROR(_xludf.XLOOKUP(D431,STUDENTS!$A$5:$A$204,STUDENTS!$C$5:$C$204,""),"")</f>
        <v/>
      </c>
      <c r="F431" s="8" t="str">
        <f ca="1">IFERROR(_xludf.XLOOKUP(D431,STUDENTS!$A$5:$A$204,STUDENTS!$L$5:$L$204,""),"")</f>
        <v/>
      </c>
      <c r="G431" s="8"/>
      <c r="H431" s="14"/>
      <c r="I431" s="14"/>
      <c r="J431" s="15" t="str">
        <f>IF(H431="","",H431*SETTINGS!$B$9)</f>
        <v/>
      </c>
      <c r="K431" s="15" t="str">
        <f>IF(I431="","",I431*SETTINGS!$B$10)</f>
        <v/>
      </c>
      <c r="L431" s="15" t="str">
        <f t="shared" si="25"/>
        <v/>
      </c>
      <c r="M431" s="10" t="str">
        <f t="shared" si="26"/>
        <v/>
      </c>
      <c r="N431" s="10" t="str">
        <f t="shared" si="27"/>
        <v/>
      </c>
      <c r="O431" s="8"/>
    </row>
    <row r="432" spans="1:15" x14ac:dyDescent="0.2">
      <c r="A432" s="10" t="str">
        <f t="shared" si="24"/>
        <v/>
      </c>
      <c r="B432" s="8"/>
      <c r="C432" s="8"/>
      <c r="D432" s="8"/>
      <c r="E432" s="8" t="str">
        <f ca="1">IFERROR(_xludf.XLOOKUP(D432,STUDENTS!$A$5:$A$204,STUDENTS!$C$5:$C$204,""),"")</f>
        <v/>
      </c>
      <c r="F432" s="8" t="str">
        <f ca="1">IFERROR(_xludf.XLOOKUP(D432,STUDENTS!$A$5:$A$204,STUDENTS!$L$5:$L$204,""),"")</f>
        <v/>
      </c>
      <c r="G432" s="8"/>
      <c r="H432" s="14"/>
      <c r="I432" s="14"/>
      <c r="J432" s="15" t="str">
        <f>IF(H432="","",H432*SETTINGS!$B$9)</f>
        <v/>
      </c>
      <c r="K432" s="15" t="str">
        <f>IF(I432="","",I432*SETTINGS!$B$10)</f>
        <v/>
      </c>
      <c r="L432" s="15" t="str">
        <f t="shared" si="25"/>
        <v/>
      </c>
      <c r="M432" s="10" t="str">
        <f t="shared" si="26"/>
        <v/>
      </c>
      <c r="N432" s="10" t="str">
        <f t="shared" si="27"/>
        <v/>
      </c>
      <c r="O432" s="8"/>
    </row>
    <row r="433" spans="1:15" x14ac:dyDescent="0.2">
      <c r="A433" s="10" t="str">
        <f t="shared" si="24"/>
        <v/>
      </c>
      <c r="B433" s="8"/>
      <c r="C433" s="8"/>
      <c r="D433" s="8"/>
      <c r="E433" s="8" t="str">
        <f ca="1">IFERROR(_xludf.XLOOKUP(D433,STUDENTS!$A$5:$A$204,STUDENTS!$C$5:$C$204,""),"")</f>
        <v/>
      </c>
      <c r="F433" s="8" t="str">
        <f ca="1">IFERROR(_xludf.XLOOKUP(D433,STUDENTS!$A$5:$A$204,STUDENTS!$L$5:$L$204,""),"")</f>
        <v/>
      </c>
      <c r="G433" s="8"/>
      <c r="H433" s="14"/>
      <c r="I433" s="14"/>
      <c r="J433" s="15" t="str">
        <f>IF(H433="","",H433*SETTINGS!$B$9)</f>
        <v/>
      </c>
      <c r="K433" s="15" t="str">
        <f>IF(I433="","",I433*SETTINGS!$B$10)</f>
        <v/>
      </c>
      <c r="L433" s="15" t="str">
        <f t="shared" si="25"/>
        <v/>
      </c>
      <c r="M433" s="10" t="str">
        <f t="shared" si="26"/>
        <v/>
      </c>
      <c r="N433" s="10" t="str">
        <f t="shared" si="27"/>
        <v/>
      </c>
      <c r="O433" s="8"/>
    </row>
    <row r="434" spans="1:15" x14ac:dyDescent="0.2">
      <c r="A434" s="10" t="str">
        <f t="shared" si="24"/>
        <v/>
      </c>
      <c r="B434" s="8"/>
      <c r="C434" s="8"/>
      <c r="D434" s="8"/>
      <c r="E434" s="8" t="str">
        <f ca="1">IFERROR(_xludf.XLOOKUP(D434,STUDENTS!$A$5:$A$204,STUDENTS!$C$5:$C$204,""),"")</f>
        <v/>
      </c>
      <c r="F434" s="8" t="str">
        <f ca="1">IFERROR(_xludf.XLOOKUP(D434,STUDENTS!$A$5:$A$204,STUDENTS!$L$5:$L$204,""),"")</f>
        <v/>
      </c>
      <c r="G434" s="8"/>
      <c r="H434" s="14"/>
      <c r="I434" s="14"/>
      <c r="J434" s="15" t="str">
        <f>IF(H434="","",H434*SETTINGS!$B$9)</f>
        <v/>
      </c>
      <c r="K434" s="15" t="str">
        <f>IF(I434="","",I434*SETTINGS!$B$10)</f>
        <v/>
      </c>
      <c r="L434" s="15" t="str">
        <f t="shared" si="25"/>
        <v/>
      </c>
      <c r="M434" s="10" t="str">
        <f t="shared" si="26"/>
        <v/>
      </c>
      <c r="N434" s="10" t="str">
        <f t="shared" si="27"/>
        <v/>
      </c>
      <c r="O434" s="8"/>
    </row>
    <row r="435" spans="1:15" x14ac:dyDescent="0.2">
      <c r="A435" s="10" t="str">
        <f t="shared" si="24"/>
        <v/>
      </c>
      <c r="B435" s="8"/>
      <c r="C435" s="8"/>
      <c r="D435" s="8"/>
      <c r="E435" s="8" t="str">
        <f ca="1">IFERROR(_xludf.XLOOKUP(D435,STUDENTS!$A$5:$A$204,STUDENTS!$C$5:$C$204,""),"")</f>
        <v/>
      </c>
      <c r="F435" s="8" t="str">
        <f ca="1">IFERROR(_xludf.XLOOKUP(D435,STUDENTS!$A$5:$A$204,STUDENTS!$L$5:$L$204,""),"")</f>
        <v/>
      </c>
      <c r="G435" s="8"/>
      <c r="H435" s="14"/>
      <c r="I435" s="14"/>
      <c r="J435" s="15" t="str">
        <f>IF(H435="","",H435*SETTINGS!$B$9)</f>
        <v/>
      </c>
      <c r="K435" s="15" t="str">
        <f>IF(I435="","",I435*SETTINGS!$B$10)</f>
        <v/>
      </c>
      <c r="L435" s="15" t="str">
        <f t="shared" si="25"/>
        <v/>
      </c>
      <c r="M435" s="10" t="str">
        <f t="shared" si="26"/>
        <v/>
      </c>
      <c r="N435" s="10" t="str">
        <f t="shared" si="27"/>
        <v/>
      </c>
      <c r="O435" s="8"/>
    </row>
    <row r="436" spans="1:15" x14ac:dyDescent="0.2">
      <c r="A436" s="10" t="str">
        <f t="shared" si="24"/>
        <v/>
      </c>
      <c r="B436" s="8"/>
      <c r="C436" s="8"/>
      <c r="D436" s="8"/>
      <c r="E436" s="8" t="str">
        <f ca="1">IFERROR(_xludf.XLOOKUP(D436,STUDENTS!$A$5:$A$204,STUDENTS!$C$5:$C$204,""),"")</f>
        <v/>
      </c>
      <c r="F436" s="8" t="str">
        <f ca="1">IFERROR(_xludf.XLOOKUP(D436,STUDENTS!$A$5:$A$204,STUDENTS!$L$5:$L$204,""),"")</f>
        <v/>
      </c>
      <c r="G436" s="8"/>
      <c r="H436" s="14"/>
      <c r="I436" s="14"/>
      <c r="J436" s="15" t="str">
        <f>IF(H436="","",H436*SETTINGS!$B$9)</f>
        <v/>
      </c>
      <c r="K436" s="15" t="str">
        <f>IF(I436="","",I436*SETTINGS!$B$10)</f>
        <v/>
      </c>
      <c r="L436" s="15" t="str">
        <f t="shared" si="25"/>
        <v/>
      </c>
      <c r="M436" s="10" t="str">
        <f t="shared" si="26"/>
        <v/>
      </c>
      <c r="N436" s="10" t="str">
        <f t="shared" si="27"/>
        <v/>
      </c>
      <c r="O436" s="8"/>
    </row>
    <row r="437" spans="1:15" x14ac:dyDescent="0.2">
      <c r="A437" s="10" t="str">
        <f t="shared" si="24"/>
        <v/>
      </c>
      <c r="B437" s="8"/>
      <c r="C437" s="8"/>
      <c r="D437" s="8"/>
      <c r="E437" s="8" t="str">
        <f ca="1">IFERROR(_xludf.XLOOKUP(D437,STUDENTS!$A$5:$A$204,STUDENTS!$C$5:$C$204,""),"")</f>
        <v/>
      </c>
      <c r="F437" s="8" t="str">
        <f ca="1">IFERROR(_xludf.XLOOKUP(D437,STUDENTS!$A$5:$A$204,STUDENTS!$L$5:$L$204,""),"")</f>
        <v/>
      </c>
      <c r="G437" s="8"/>
      <c r="H437" s="14"/>
      <c r="I437" s="14"/>
      <c r="J437" s="15" t="str">
        <f>IF(H437="","",H437*SETTINGS!$B$9)</f>
        <v/>
      </c>
      <c r="K437" s="15" t="str">
        <f>IF(I437="","",I437*SETTINGS!$B$10)</f>
        <v/>
      </c>
      <c r="L437" s="15" t="str">
        <f t="shared" si="25"/>
        <v/>
      </c>
      <c r="M437" s="10" t="str">
        <f t="shared" si="26"/>
        <v/>
      </c>
      <c r="N437" s="10" t="str">
        <f t="shared" si="27"/>
        <v/>
      </c>
      <c r="O437" s="8"/>
    </row>
    <row r="438" spans="1:15" x14ac:dyDescent="0.2">
      <c r="A438" s="10" t="str">
        <f t="shared" si="24"/>
        <v/>
      </c>
      <c r="B438" s="8"/>
      <c r="C438" s="8"/>
      <c r="D438" s="8"/>
      <c r="E438" s="8" t="str">
        <f ca="1">IFERROR(_xludf.XLOOKUP(D438,STUDENTS!$A$5:$A$204,STUDENTS!$C$5:$C$204,""),"")</f>
        <v/>
      </c>
      <c r="F438" s="8" t="str">
        <f ca="1">IFERROR(_xludf.XLOOKUP(D438,STUDENTS!$A$5:$A$204,STUDENTS!$L$5:$L$204,""),"")</f>
        <v/>
      </c>
      <c r="G438" s="8"/>
      <c r="H438" s="14"/>
      <c r="I438" s="14"/>
      <c r="J438" s="15" t="str">
        <f>IF(H438="","",H438*SETTINGS!$B$9)</f>
        <v/>
      </c>
      <c r="K438" s="15" t="str">
        <f>IF(I438="","",I438*SETTINGS!$B$10)</f>
        <v/>
      </c>
      <c r="L438" s="15" t="str">
        <f t="shared" si="25"/>
        <v/>
      </c>
      <c r="M438" s="10" t="str">
        <f t="shared" si="26"/>
        <v/>
      </c>
      <c r="N438" s="10" t="str">
        <f t="shared" si="27"/>
        <v/>
      </c>
      <c r="O438" s="8"/>
    </row>
    <row r="439" spans="1:15" x14ac:dyDescent="0.2">
      <c r="A439" s="10" t="str">
        <f t="shared" si="24"/>
        <v/>
      </c>
      <c r="B439" s="8"/>
      <c r="C439" s="8"/>
      <c r="D439" s="8"/>
      <c r="E439" s="8" t="str">
        <f ca="1">IFERROR(_xludf.XLOOKUP(D439,STUDENTS!$A$5:$A$204,STUDENTS!$C$5:$C$204,""),"")</f>
        <v/>
      </c>
      <c r="F439" s="8" t="str">
        <f ca="1">IFERROR(_xludf.XLOOKUP(D439,STUDENTS!$A$5:$A$204,STUDENTS!$L$5:$L$204,""),"")</f>
        <v/>
      </c>
      <c r="G439" s="8"/>
      <c r="H439" s="14"/>
      <c r="I439" s="14"/>
      <c r="J439" s="15" t="str">
        <f>IF(H439="","",H439*SETTINGS!$B$9)</f>
        <v/>
      </c>
      <c r="K439" s="15" t="str">
        <f>IF(I439="","",I439*SETTINGS!$B$10)</f>
        <v/>
      </c>
      <c r="L439" s="15" t="str">
        <f t="shared" si="25"/>
        <v/>
      </c>
      <c r="M439" s="10" t="str">
        <f t="shared" si="26"/>
        <v/>
      </c>
      <c r="N439" s="10" t="str">
        <f t="shared" si="27"/>
        <v/>
      </c>
      <c r="O439" s="8"/>
    </row>
    <row r="440" spans="1:15" x14ac:dyDescent="0.2">
      <c r="A440" s="10" t="str">
        <f t="shared" si="24"/>
        <v/>
      </c>
      <c r="B440" s="8"/>
      <c r="C440" s="8"/>
      <c r="D440" s="8"/>
      <c r="E440" s="8" t="str">
        <f ca="1">IFERROR(_xludf.XLOOKUP(D440,STUDENTS!$A$5:$A$204,STUDENTS!$C$5:$C$204,""),"")</f>
        <v/>
      </c>
      <c r="F440" s="8" t="str">
        <f ca="1">IFERROR(_xludf.XLOOKUP(D440,STUDENTS!$A$5:$A$204,STUDENTS!$L$5:$L$204,""),"")</f>
        <v/>
      </c>
      <c r="G440" s="8"/>
      <c r="H440" s="14"/>
      <c r="I440" s="14"/>
      <c r="J440" s="15" t="str">
        <f>IF(H440="","",H440*SETTINGS!$B$9)</f>
        <v/>
      </c>
      <c r="K440" s="15" t="str">
        <f>IF(I440="","",I440*SETTINGS!$B$10)</f>
        <v/>
      </c>
      <c r="L440" s="15" t="str">
        <f t="shared" si="25"/>
        <v/>
      </c>
      <c r="M440" s="10" t="str">
        <f t="shared" si="26"/>
        <v/>
      </c>
      <c r="N440" s="10" t="str">
        <f t="shared" si="27"/>
        <v/>
      </c>
      <c r="O440" s="8"/>
    </row>
    <row r="441" spans="1:15" x14ac:dyDescent="0.2">
      <c r="A441" s="10" t="str">
        <f t="shared" si="24"/>
        <v/>
      </c>
      <c r="B441" s="8"/>
      <c r="C441" s="8"/>
      <c r="D441" s="8"/>
      <c r="E441" s="8" t="str">
        <f ca="1">IFERROR(_xludf.XLOOKUP(D441,STUDENTS!$A$5:$A$204,STUDENTS!$C$5:$C$204,""),"")</f>
        <v/>
      </c>
      <c r="F441" s="8" t="str">
        <f ca="1">IFERROR(_xludf.XLOOKUP(D441,STUDENTS!$A$5:$A$204,STUDENTS!$L$5:$L$204,""),"")</f>
        <v/>
      </c>
      <c r="G441" s="8"/>
      <c r="H441" s="14"/>
      <c r="I441" s="14"/>
      <c r="J441" s="15" t="str">
        <f>IF(H441="","",H441*SETTINGS!$B$9)</f>
        <v/>
      </c>
      <c r="K441" s="15" t="str">
        <f>IF(I441="","",I441*SETTINGS!$B$10)</f>
        <v/>
      </c>
      <c r="L441" s="15" t="str">
        <f t="shared" si="25"/>
        <v/>
      </c>
      <c r="M441" s="10" t="str">
        <f t="shared" si="26"/>
        <v/>
      </c>
      <c r="N441" s="10" t="str">
        <f t="shared" si="27"/>
        <v/>
      </c>
      <c r="O441" s="8"/>
    </row>
    <row r="442" spans="1:15" x14ac:dyDescent="0.2">
      <c r="A442" s="10" t="str">
        <f t="shared" si="24"/>
        <v/>
      </c>
      <c r="B442" s="8"/>
      <c r="C442" s="8"/>
      <c r="D442" s="8"/>
      <c r="E442" s="8" t="str">
        <f ca="1">IFERROR(_xludf.XLOOKUP(D442,STUDENTS!$A$5:$A$204,STUDENTS!$C$5:$C$204,""),"")</f>
        <v/>
      </c>
      <c r="F442" s="8" t="str">
        <f ca="1">IFERROR(_xludf.XLOOKUP(D442,STUDENTS!$A$5:$A$204,STUDENTS!$L$5:$L$204,""),"")</f>
        <v/>
      </c>
      <c r="G442" s="8"/>
      <c r="H442" s="14"/>
      <c r="I442" s="14"/>
      <c r="J442" s="15" t="str">
        <f>IF(H442="","",H442*SETTINGS!$B$9)</f>
        <v/>
      </c>
      <c r="K442" s="15" t="str">
        <f>IF(I442="","",I442*SETTINGS!$B$10)</f>
        <v/>
      </c>
      <c r="L442" s="15" t="str">
        <f t="shared" si="25"/>
        <v/>
      </c>
      <c r="M442" s="10" t="str">
        <f t="shared" si="26"/>
        <v/>
      </c>
      <c r="N442" s="10" t="str">
        <f t="shared" si="27"/>
        <v/>
      </c>
      <c r="O442" s="8"/>
    </row>
    <row r="443" spans="1:15" x14ac:dyDescent="0.2">
      <c r="A443" s="10" t="str">
        <f t="shared" si="24"/>
        <v/>
      </c>
      <c r="B443" s="8"/>
      <c r="C443" s="8"/>
      <c r="D443" s="8"/>
      <c r="E443" s="8" t="str">
        <f ca="1">IFERROR(_xludf.XLOOKUP(D443,STUDENTS!$A$5:$A$204,STUDENTS!$C$5:$C$204,""),"")</f>
        <v/>
      </c>
      <c r="F443" s="8" t="str">
        <f ca="1">IFERROR(_xludf.XLOOKUP(D443,STUDENTS!$A$5:$A$204,STUDENTS!$L$5:$L$204,""),"")</f>
        <v/>
      </c>
      <c r="G443" s="8"/>
      <c r="H443" s="14"/>
      <c r="I443" s="14"/>
      <c r="J443" s="15" t="str">
        <f>IF(H443="","",H443*SETTINGS!$B$9)</f>
        <v/>
      </c>
      <c r="K443" s="15" t="str">
        <f>IF(I443="","",I443*SETTINGS!$B$10)</f>
        <v/>
      </c>
      <c r="L443" s="15" t="str">
        <f t="shared" si="25"/>
        <v/>
      </c>
      <c r="M443" s="10" t="str">
        <f t="shared" si="26"/>
        <v/>
      </c>
      <c r="N443" s="10" t="str">
        <f t="shared" si="27"/>
        <v/>
      </c>
      <c r="O443" s="8"/>
    </row>
    <row r="444" spans="1:15" x14ac:dyDescent="0.2">
      <c r="A444" s="10" t="str">
        <f t="shared" si="24"/>
        <v/>
      </c>
      <c r="B444" s="8"/>
      <c r="C444" s="8"/>
      <c r="D444" s="8"/>
      <c r="E444" s="8" t="str">
        <f ca="1">IFERROR(_xludf.XLOOKUP(D444,STUDENTS!$A$5:$A$204,STUDENTS!$C$5:$C$204,""),"")</f>
        <v/>
      </c>
      <c r="F444" s="8" t="str">
        <f ca="1">IFERROR(_xludf.XLOOKUP(D444,STUDENTS!$A$5:$A$204,STUDENTS!$L$5:$L$204,""),"")</f>
        <v/>
      </c>
      <c r="G444" s="8"/>
      <c r="H444" s="14"/>
      <c r="I444" s="14"/>
      <c r="J444" s="15" t="str">
        <f>IF(H444="","",H444*SETTINGS!$B$9)</f>
        <v/>
      </c>
      <c r="K444" s="15" t="str">
        <f>IF(I444="","",I444*SETTINGS!$B$10)</f>
        <v/>
      </c>
      <c r="L444" s="15" t="str">
        <f t="shared" si="25"/>
        <v/>
      </c>
      <c r="M444" s="10" t="str">
        <f t="shared" si="26"/>
        <v/>
      </c>
      <c r="N444" s="10" t="str">
        <f t="shared" si="27"/>
        <v/>
      </c>
      <c r="O444" s="8"/>
    </row>
    <row r="445" spans="1:15" x14ac:dyDescent="0.2">
      <c r="A445" s="10" t="str">
        <f t="shared" si="24"/>
        <v/>
      </c>
      <c r="B445" s="8"/>
      <c r="C445" s="8"/>
      <c r="D445" s="8"/>
      <c r="E445" s="8" t="str">
        <f ca="1">IFERROR(_xludf.XLOOKUP(D445,STUDENTS!$A$5:$A$204,STUDENTS!$C$5:$C$204,""),"")</f>
        <v/>
      </c>
      <c r="F445" s="8" t="str">
        <f ca="1">IFERROR(_xludf.XLOOKUP(D445,STUDENTS!$A$5:$A$204,STUDENTS!$L$5:$L$204,""),"")</f>
        <v/>
      </c>
      <c r="G445" s="8"/>
      <c r="H445" s="14"/>
      <c r="I445" s="14"/>
      <c r="J445" s="15" t="str">
        <f>IF(H445="","",H445*SETTINGS!$B$9)</f>
        <v/>
      </c>
      <c r="K445" s="15" t="str">
        <f>IF(I445="","",I445*SETTINGS!$B$10)</f>
        <v/>
      </c>
      <c r="L445" s="15" t="str">
        <f t="shared" si="25"/>
        <v/>
      </c>
      <c r="M445" s="10" t="str">
        <f t="shared" si="26"/>
        <v/>
      </c>
      <c r="N445" s="10" t="str">
        <f t="shared" si="27"/>
        <v/>
      </c>
      <c r="O445" s="8"/>
    </row>
    <row r="446" spans="1:15" x14ac:dyDescent="0.2">
      <c r="A446" s="10" t="str">
        <f t="shared" si="24"/>
        <v/>
      </c>
      <c r="B446" s="8"/>
      <c r="C446" s="8"/>
      <c r="D446" s="8"/>
      <c r="E446" s="8" t="str">
        <f ca="1">IFERROR(_xludf.XLOOKUP(D446,STUDENTS!$A$5:$A$204,STUDENTS!$C$5:$C$204,""),"")</f>
        <v/>
      </c>
      <c r="F446" s="8" t="str">
        <f ca="1">IFERROR(_xludf.XLOOKUP(D446,STUDENTS!$A$5:$A$204,STUDENTS!$L$5:$L$204,""),"")</f>
        <v/>
      </c>
      <c r="G446" s="8"/>
      <c r="H446" s="14"/>
      <c r="I446" s="14"/>
      <c r="J446" s="15" t="str">
        <f>IF(H446="","",H446*SETTINGS!$B$9)</f>
        <v/>
      </c>
      <c r="K446" s="15" t="str">
        <f>IF(I446="","",I446*SETTINGS!$B$10)</f>
        <v/>
      </c>
      <c r="L446" s="15" t="str">
        <f t="shared" si="25"/>
        <v/>
      </c>
      <c r="M446" s="10" t="str">
        <f t="shared" si="26"/>
        <v/>
      </c>
      <c r="N446" s="10" t="str">
        <f t="shared" si="27"/>
        <v/>
      </c>
      <c r="O446" s="8"/>
    </row>
    <row r="447" spans="1:15" x14ac:dyDescent="0.2">
      <c r="A447" s="10" t="str">
        <f t="shared" si="24"/>
        <v/>
      </c>
      <c r="B447" s="8"/>
      <c r="C447" s="8"/>
      <c r="D447" s="8"/>
      <c r="E447" s="8" t="str">
        <f ca="1">IFERROR(_xludf.XLOOKUP(D447,STUDENTS!$A$5:$A$204,STUDENTS!$C$5:$C$204,""),"")</f>
        <v/>
      </c>
      <c r="F447" s="8" t="str">
        <f ca="1">IFERROR(_xludf.XLOOKUP(D447,STUDENTS!$A$5:$A$204,STUDENTS!$L$5:$L$204,""),"")</f>
        <v/>
      </c>
      <c r="G447" s="8"/>
      <c r="H447" s="14"/>
      <c r="I447" s="14"/>
      <c r="J447" s="15" t="str">
        <f>IF(H447="","",H447*SETTINGS!$B$9)</f>
        <v/>
      </c>
      <c r="K447" s="15" t="str">
        <f>IF(I447="","",I447*SETTINGS!$B$10)</f>
        <v/>
      </c>
      <c r="L447" s="15" t="str">
        <f t="shared" si="25"/>
        <v/>
      </c>
      <c r="M447" s="10" t="str">
        <f t="shared" si="26"/>
        <v/>
      </c>
      <c r="N447" s="10" t="str">
        <f t="shared" si="27"/>
        <v/>
      </c>
      <c r="O447" s="8"/>
    </row>
    <row r="448" spans="1:15" x14ac:dyDescent="0.2">
      <c r="A448" s="10" t="str">
        <f t="shared" si="24"/>
        <v/>
      </c>
      <c r="B448" s="8"/>
      <c r="C448" s="8"/>
      <c r="D448" s="8"/>
      <c r="E448" s="8" t="str">
        <f ca="1">IFERROR(_xludf.XLOOKUP(D448,STUDENTS!$A$5:$A$204,STUDENTS!$C$5:$C$204,""),"")</f>
        <v/>
      </c>
      <c r="F448" s="8" t="str">
        <f ca="1">IFERROR(_xludf.XLOOKUP(D448,STUDENTS!$A$5:$A$204,STUDENTS!$L$5:$L$204,""),"")</f>
        <v/>
      </c>
      <c r="G448" s="8"/>
      <c r="H448" s="14"/>
      <c r="I448" s="14"/>
      <c r="J448" s="15" t="str">
        <f>IF(H448="","",H448*SETTINGS!$B$9)</f>
        <v/>
      </c>
      <c r="K448" s="15" t="str">
        <f>IF(I448="","",I448*SETTINGS!$B$10)</f>
        <v/>
      </c>
      <c r="L448" s="15" t="str">
        <f t="shared" si="25"/>
        <v/>
      </c>
      <c r="M448" s="10" t="str">
        <f t="shared" si="26"/>
        <v/>
      </c>
      <c r="N448" s="10" t="str">
        <f t="shared" si="27"/>
        <v/>
      </c>
      <c r="O448" s="8"/>
    </row>
    <row r="449" spans="1:15" x14ac:dyDescent="0.2">
      <c r="A449" s="10" t="str">
        <f t="shared" si="24"/>
        <v/>
      </c>
      <c r="B449" s="8"/>
      <c r="C449" s="8"/>
      <c r="D449" s="8"/>
      <c r="E449" s="8" t="str">
        <f ca="1">IFERROR(_xludf.XLOOKUP(D449,STUDENTS!$A$5:$A$204,STUDENTS!$C$5:$C$204,""),"")</f>
        <v/>
      </c>
      <c r="F449" s="8" t="str">
        <f ca="1">IFERROR(_xludf.XLOOKUP(D449,STUDENTS!$A$5:$A$204,STUDENTS!$L$5:$L$204,""),"")</f>
        <v/>
      </c>
      <c r="G449" s="8"/>
      <c r="H449" s="14"/>
      <c r="I449" s="14"/>
      <c r="J449" s="15" t="str">
        <f>IF(H449="","",H449*SETTINGS!$B$9)</f>
        <v/>
      </c>
      <c r="K449" s="15" t="str">
        <f>IF(I449="","",I449*SETTINGS!$B$10)</f>
        <v/>
      </c>
      <c r="L449" s="15" t="str">
        <f t="shared" si="25"/>
        <v/>
      </c>
      <c r="M449" s="10" t="str">
        <f t="shared" si="26"/>
        <v/>
      </c>
      <c r="N449" s="10" t="str">
        <f t="shared" si="27"/>
        <v/>
      </c>
      <c r="O449" s="8"/>
    </row>
    <row r="450" spans="1:15" x14ac:dyDescent="0.2">
      <c r="A450" s="10" t="str">
        <f t="shared" si="24"/>
        <v/>
      </c>
      <c r="B450" s="8"/>
      <c r="C450" s="8"/>
      <c r="D450" s="8"/>
      <c r="E450" s="8" t="str">
        <f ca="1">IFERROR(_xludf.XLOOKUP(D450,STUDENTS!$A$5:$A$204,STUDENTS!$C$5:$C$204,""),"")</f>
        <v/>
      </c>
      <c r="F450" s="8" t="str">
        <f ca="1">IFERROR(_xludf.XLOOKUP(D450,STUDENTS!$A$5:$A$204,STUDENTS!$L$5:$L$204,""),"")</f>
        <v/>
      </c>
      <c r="G450" s="8"/>
      <c r="H450" s="14"/>
      <c r="I450" s="14"/>
      <c r="J450" s="15" t="str">
        <f>IF(H450="","",H450*SETTINGS!$B$9)</f>
        <v/>
      </c>
      <c r="K450" s="15" t="str">
        <f>IF(I450="","",I450*SETTINGS!$B$10)</f>
        <v/>
      </c>
      <c r="L450" s="15" t="str">
        <f t="shared" si="25"/>
        <v/>
      </c>
      <c r="M450" s="10" t="str">
        <f t="shared" si="26"/>
        <v/>
      </c>
      <c r="N450" s="10" t="str">
        <f t="shared" si="27"/>
        <v/>
      </c>
      <c r="O450" s="8"/>
    </row>
    <row r="451" spans="1:15" x14ac:dyDescent="0.2">
      <c r="A451" s="10" t="str">
        <f t="shared" si="24"/>
        <v/>
      </c>
      <c r="B451" s="8"/>
      <c r="C451" s="8"/>
      <c r="D451" s="8"/>
      <c r="E451" s="8" t="str">
        <f ca="1">IFERROR(_xludf.XLOOKUP(D451,STUDENTS!$A$5:$A$204,STUDENTS!$C$5:$C$204,""),"")</f>
        <v/>
      </c>
      <c r="F451" s="8" t="str">
        <f ca="1">IFERROR(_xludf.XLOOKUP(D451,STUDENTS!$A$5:$A$204,STUDENTS!$L$5:$L$204,""),"")</f>
        <v/>
      </c>
      <c r="G451" s="8"/>
      <c r="H451" s="14"/>
      <c r="I451" s="14"/>
      <c r="J451" s="15" t="str">
        <f>IF(H451="","",H451*SETTINGS!$B$9)</f>
        <v/>
      </c>
      <c r="K451" s="15" t="str">
        <f>IF(I451="","",I451*SETTINGS!$B$10)</f>
        <v/>
      </c>
      <c r="L451" s="15" t="str">
        <f t="shared" si="25"/>
        <v/>
      </c>
      <c r="M451" s="10" t="str">
        <f t="shared" si="26"/>
        <v/>
      </c>
      <c r="N451" s="10" t="str">
        <f t="shared" si="27"/>
        <v/>
      </c>
      <c r="O451" s="8"/>
    </row>
    <row r="452" spans="1:15" x14ac:dyDescent="0.2">
      <c r="A452" s="10" t="str">
        <f t="shared" si="24"/>
        <v/>
      </c>
      <c r="B452" s="8"/>
      <c r="C452" s="8"/>
      <c r="D452" s="8"/>
      <c r="E452" s="8" t="str">
        <f ca="1">IFERROR(_xludf.XLOOKUP(D452,STUDENTS!$A$5:$A$204,STUDENTS!$C$5:$C$204,""),"")</f>
        <v/>
      </c>
      <c r="F452" s="8" t="str">
        <f ca="1">IFERROR(_xludf.XLOOKUP(D452,STUDENTS!$A$5:$A$204,STUDENTS!$L$5:$L$204,""),"")</f>
        <v/>
      </c>
      <c r="G452" s="8"/>
      <c r="H452" s="14"/>
      <c r="I452" s="14"/>
      <c r="J452" s="15" t="str">
        <f>IF(H452="","",H452*SETTINGS!$B$9)</f>
        <v/>
      </c>
      <c r="K452" s="15" t="str">
        <f>IF(I452="","",I452*SETTINGS!$B$10)</f>
        <v/>
      </c>
      <c r="L452" s="15" t="str">
        <f t="shared" si="25"/>
        <v/>
      </c>
      <c r="M452" s="10" t="str">
        <f t="shared" si="26"/>
        <v/>
      </c>
      <c r="N452" s="10" t="str">
        <f t="shared" si="27"/>
        <v/>
      </c>
      <c r="O452" s="8"/>
    </row>
    <row r="453" spans="1:15" x14ac:dyDescent="0.2">
      <c r="A453" s="10" t="str">
        <f t="shared" ref="A453:A516" si="28">IF(D453="","","R-"&amp;TEXT(ROW()-4,"00000"))</f>
        <v/>
      </c>
      <c r="B453" s="8"/>
      <c r="C453" s="8"/>
      <c r="D453" s="8"/>
      <c r="E453" s="8" t="str">
        <f ca="1">IFERROR(_xludf.XLOOKUP(D453,STUDENTS!$A$5:$A$204,STUDENTS!$C$5:$C$204,""),"")</f>
        <v/>
      </c>
      <c r="F453" s="8" t="str">
        <f ca="1">IFERROR(_xludf.XLOOKUP(D453,STUDENTS!$A$5:$A$204,STUDENTS!$L$5:$L$204,""),"")</f>
        <v/>
      </c>
      <c r="G453" s="8"/>
      <c r="H453" s="14"/>
      <c r="I453" s="14"/>
      <c r="J453" s="15" t="str">
        <f>IF(H453="","",H453*SETTINGS!$B$9)</f>
        <v/>
      </c>
      <c r="K453" s="15" t="str">
        <f>IF(I453="","",I453*SETTINGS!$B$10)</f>
        <v/>
      </c>
      <c r="L453" s="15" t="str">
        <f t="shared" ref="L453:L516" si="29">IF(OR(H453="",I453=""),"",J453+K453)</f>
        <v/>
      </c>
      <c r="M453" s="10" t="str">
        <f t="shared" ref="M453:M516" si="30">IF(L453="","",IF(L453&gt;=80,"A",IF(L453&gt;=70,"B",IF(L453&gt;=60,"C",IF(L453&gt;=50,"D","F")))))</f>
        <v/>
      </c>
      <c r="N453" s="10" t="str">
        <f t="shared" ref="N453:N516" si="31">IF(L453="","",1+COUNTIFS($F$5:$F$1004,F453,$C$5:$C$1004,C453,$G$5:$G$1004,G453,$L$5:$L$1004,"&gt;"&amp;L453))</f>
        <v/>
      </c>
      <c r="O453" s="8"/>
    </row>
    <row r="454" spans="1:15" x14ac:dyDescent="0.2">
      <c r="A454" s="10" t="str">
        <f t="shared" si="28"/>
        <v/>
      </c>
      <c r="B454" s="8"/>
      <c r="C454" s="8"/>
      <c r="D454" s="8"/>
      <c r="E454" s="8" t="str">
        <f ca="1">IFERROR(_xludf.XLOOKUP(D454,STUDENTS!$A$5:$A$204,STUDENTS!$C$5:$C$204,""),"")</f>
        <v/>
      </c>
      <c r="F454" s="8" t="str">
        <f ca="1">IFERROR(_xludf.XLOOKUP(D454,STUDENTS!$A$5:$A$204,STUDENTS!$L$5:$L$204,""),"")</f>
        <v/>
      </c>
      <c r="G454" s="8"/>
      <c r="H454" s="14"/>
      <c r="I454" s="14"/>
      <c r="J454" s="15" t="str">
        <f>IF(H454="","",H454*SETTINGS!$B$9)</f>
        <v/>
      </c>
      <c r="K454" s="15" t="str">
        <f>IF(I454="","",I454*SETTINGS!$B$10)</f>
        <v/>
      </c>
      <c r="L454" s="15" t="str">
        <f t="shared" si="29"/>
        <v/>
      </c>
      <c r="M454" s="10" t="str">
        <f t="shared" si="30"/>
        <v/>
      </c>
      <c r="N454" s="10" t="str">
        <f t="shared" si="31"/>
        <v/>
      </c>
      <c r="O454" s="8"/>
    </row>
    <row r="455" spans="1:15" x14ac:dyDescent="0.2">
      <c r="A455" s="10" t="str">
        <f t="shared" si="28"/>
        <v/>
      </c>
      <c r="B455" s="8"/>
      <c r="C455" s="8"/>
      <c r="D455" s="8"/>
      <c r="E455" s="8" t="str">
        <f ca="1">IFERROR(_xludf.XLOOKUP(D455,STUDENTS!$A$5:$A$204,STUDENTS!$C$5:$C$204,""),"")</f>
        <v/>
      </c>
      <c r="F455" s="8" t="str">
        <f ca="1">IFERROR(_xludf.XLOOKUP(D455,STUDENTS!$A$5:$A$204,STUDENTS!$L$5:$L$204,""),"")</f>
        <v/>
      </c>
      <c r="G455" s="8"/>
      <c r="H455" s="14"/>
      <c r="I455" s="14"/>
      <c r="J455" s="15" t="str">
        <f>IF(H455="","",H455*SETTINGS!$B$9)</f>
        <v/>
      </c>
      <c r="K455" s="15" t="str">
        <f>IF(I455="","",I455*SETTINGS!$B$10)</f>
        <v/>
      </c>
      <c r="L455" s="15" t="str">
        <f t="shared" si="29"/>
        <v/>
      </c>
      <c r="M455" s="10" t="str">
        <f t="shared" si="30"/>
        <v/>
      </c>
      <c r="N455" s="10" t="str">
        <f t="shared" si="31"/>
        <v/>
      </c>
      <c r="O455" s="8"/>
    </row>
    <row r="456" spans="1:15" x14ac:dyDescent="0.2">
      <c r="A456" s="10" t="str">
        <f t="shared" si="28"/>
        <v/>
      </c>
      <c r="B456" s="8"/>
      <c r="C456" s="8"/>
      <c r="D456" s="8"/>
      <c r="E456" s="8" t="str">
        <f ca="1">IFERROR(_xludf.XLOOKUP(D456,STUDENTS!$A$5:$A$204,STUDENTS!$C$5:$C$204,""),"")</f>
        <v/>
      </c>
      <c r="F456" s="8" t="str">
        <f ca="1">IFERROR(_xludf.XLOOKUP(D456,STUDENTS!$A$5:$A$204,STUDENTS!$L$5:$L$204,""),"")</f>
        <v/>
      </c>
      <c r="G456" s="8"/>
      <c r="H456" s="14"/>
      <c r="I456" s="14"/>
      <c r="J456" s="15" t="str">
        <f>IF(H456="","",H456*SETTINGS!$B$9)</f>
        <v/>
      </c>
      <c r="K456" s="15" t="str">
        <f>IF(I456="","",I456*SETTINGS!$B$10)</f>
        <v/>
      </c>
      <c r="L456" s="15" t="str">
        <f t="shared" si="29"/>
        <v/>
      </c>
      <c r="M456" s="10" t="str">
        <f t="shared" si="30"/>
        <v/>
      </c>
      <c r="N456" s="10" t="str">
        <f t="shared" si="31"/>
        <v/>
      </c>
      <c r="O456" s="8"/>
    </row>
    <row r="457" spans="1:15" x14ac:dyDescent="0.2">
      <c r="A457" s="10" t="str">
        <f t="shared" si="28"/>
        <v/>
      </c>
      <c r="B457" s="8"/>
      <c r="C457" s="8"/>
      <c r="D457" s="8"/>
      <c r="E457" s="8" t="str">
        <f ca="1">IFERROR(_xludf.XLOOKUP(D457,STUDENTS!$A$5:$A$204,STUDENTS!$C$5:$C$204,""),"")</f>
        <v/>
      </c>
      <c r="F457" s="8" t="str">
        <f ca="1">IFERROR(_xludf.XLOOKUP(D457,STUDENTS!$A$5:$A$204,STUDENTS!$L$5:$L$204,""),"")</f>
        <v/>
      </c>
      <c r="G457" s="8"/>
      <c r="H457" s="14"/>
      <c r="I457" s="14"/>
      <c r="J457" s="15" t="str">
        <f>IF(H457="","",H457*SETTINGS!$B$9)</f>
        <v/>
      </c>
      <c r="K457" s="15" t="str">
        <f>IF(I457="","",I457*SETTINGS!$B$10)</f>
        <v/>
      </c>
      <c r="L457" s="15" t="str">
        <f t="shared" si="29"/>
        <v/>
      </c>
      <c r="M457" s="10" t="str">
        <f t="shared" si="30"/>
        <v/>
      </c>
      <c r="N457" s="10" t="str">
        <f t="shared" si="31"/>
        <v/>
      </c>
      <c r="O457" s="8"/>
    </row>
    <row r="458" spans="1:15" x14ac:dyDescent="0.2">
      <c r="A458" s="10" t="str">
        <f t="shared" si="28"/>
        <v/>
      </c>
      <c r="B458" s="8"/>
      <c r="C458" s="8"/>
      <c r="D458" s="8"/>
      <c r="E458" s="8" t="str">
        <f ca="1">IFERROR(_xludf.XLOOKUP(D458,STUDENTS!$A$5:$A$204,STUDENTS!$C$5:$C$204,""),"")</f>
        <v/>
      </c>
      <c r="F458" s="8" t="str">
        <f ca="1">IFERROR(_xludf.XLOOKUP(D458,STUDENTS!$A$5:$A$204,STUDENTS!$L$5:$L$204,""),"")</f>
        <v/>
      </c>
      <c r="G458" s="8"/>
      <c r="H458" s="14"/>
      <c r="I458" s="14"/>
      <c r="J458" s="15" t="str">
        <f>IF(H458="","",H458*SETTINGS!$B$9)</f>
        <v/>
      </c>
      <c r="K458" s="15" t="str">
        <f>IF(I458="","",I458*SETTINGS!$B$10)</f>
        <v/>
      </c>
      <c r="L458" s="15" t="str">
        <f t="shared" si="29"/>
        <v/>
      </c>
      <c r="M458" s="10" t="str">
        <f t="shared" si="30"/>
        <v/>
      </c>
      <c r="N458" s="10" t="str">
        <f t="shared" si="31"/>
        <v/>
      </c>
      <c r="O458" s="8"/>
    </row>
    <row r="459" spans="1:15" x14ac:dyDescent="0.2">
      <c r="A459" s="10" t="str">
        <f t="shared" si="28"/>
        <v/>
      </c>
      <c r="B459" s="8"/>
      <c r="C459" s="8"/>
      <c r="D459" s="8"/>
      <c r="E459" s="8" t="str">
        <f ca="1">IFERROR(_xludf.XLOOKUP(D459,STUDENTS!$A$5:$A$204,STUDENTS!$C$5:$C$204,""),"")</f>
        <v/>
      </c>
      <c r="F459" s="8" t="str">
        <f ca="1">IFERROR(_xludf.XLOOKUP(D459,STUDENTS!$A$5:$A$204,STUDENTS!$L$5:$L$204,""),"")</f>
        <v/>
      </c>
      <c r="G459" s="8"/>
      <c r="H459" s="14"/>
      <c r="I459" s="14"/>
      <c r="J459" s="15" t="str">
        <f>IF(H459="","",H459*SETTINGS!$B$9)</f>
        <v/>
      </c>
      <c r="K459" s="15" t="str">
        <f>IF(I459="","",I459*SETTINGS!$B$10)</f>
        <v/>
      </c>
      <c r="L459" s="15" t="str">
        <f t="shared" si="29"/>
        <v/>
      </c>
      <c r="M459" s="10" t="str">
        <f t="shared" si="30"/>
        <v/>
      </c>
      <c r="N459" s="10" t="str">
        <f t="shared" si="31"/>
        <v/>
      </c>
      <c r="O459" s="8"/>
    </row>
    <row r="460" spans="1:15" x14ac:dyDescent="0.2">
      <c r="A460" s="10" t="str">
        <f t="shared" si="28"/>
        <v/>
      </c>
      <c r="B460" s="8"/>
      <c r="C460" s="8"/>
      <c r="D460" s="8"/>
      <c r="E460" s="8" t="str">
        <f ca="1">IFERROR(_xludf.XLOOKUP(D460,STUDENTS!$A$5:$A$204,STUDENTS!$C$5:$C$204,""),"")</f>
        <v/>
      </c>
      <c r="F460" s="8" t="str">
        <f ca="1">IFERROR(_xludf.XLOOKUP(D460,STUDENTS!$A$5:$A$204,STUDENTS!$L$5:$L$204,""),"")</f>
        <v/>
      </c>
      <c r="G460" s="8"/>
      <c r="H460" s="14"/>
      <c r="I460" s="14"/>
      <c r="J460" s="15" t="str">
        <f>IF(H460="","",H460*SETTINGS!$B$9)</f>
        <v/>
      </c>
      <c r="K460" s="15" t="str">
        <f>IF(I460="","",I460*SETTINGS!$B$10)</f>
        <v/>
      </c>
      <c r="L460" s="15" t="str">
        <f t="shared" si="29"/>
        <v/>
      </c>
      <c r="M460" s="10" t="str">
        <f t="shared" si="30"/>
        <v/>
      </c>
      <c r="N460" s="10" t="str">
        <f t="shared" si="31"/>
        <v/>
      </c>
      <c r="O460" s="8"/>
    </row>
    <row r="461" spans="1:15" x14ac:dyDescent="0.2">
      <c r="A461" s="10" t="str">
        <f t="shared" si="28"/>
        <v/>
      </c>
      <c r="B461" s="8"/>
      <c r="C461" s="8"/>
      <c r="D461" s="8"/>
      <c r="E461" s="8" t="str">
        <f ca="1">IFERROR(_xludf.XLOOKUP(D461,STUDENTS!$A$5:$A$204,STUDENTS!$C$5:$C$204,""),"")</f>
        <v/>
      </c>
      <c r="F461" s="8" t="str">
        <f ca="1">IFERROR(_xludf.XLOOKUP(D461,STUDENTS!$A$5:$A$204,STUDENTS!$L$5:$L$204,""),"")</f>
        <v/>
      </c>
      <c r="G461" s="8"/>
      <c r="H461" s="14"/>
      <c r="I461" s="14"/>
      <c r="J461" s="15" t="str">
        <f>IF(H461="","",H461*SETTINGS!$B$9)</f>
        <v/>
      </c>
      <c r="K461" s="15" t="str">
        <f>IF(I461="","",I461*SETTINGS!$B$10)</f>
        <v/>
      </c>
      <c r="L461" s="15" t="str">
        <f t="shared" si="29"/>
        <v/>
      </c>
      <c r="M461" s="10" t="str">
        <f t="shared" si="30"/>
        <v/>
      </c>
      <c r="N461" s="10" t="str">
        <f t="shared" si="31"/>
        <v/>
      </c>
      <c r="O461" s="8"/>
    </row>
    <row r="462" spans="1:15" x14ac:dyDescent="0.2">
      <c r="A462" s="10" t="str">
        <f t="shared" si="28"/>
        <v/>
      </c>
      <c r="B462" s="8"/>
      <c r="C462" s="8"/>
      <c r="D462" s="8"/>
      <c r="E462" s="8" t="str">
        <f ca="1">IFERROR(_xludf.XLOOKUP(D462,STUDENTS!$A$5:$A$204,STUDENTS!$C$5:$C$204,""),"")</f>
        <v/>
      </c>
      <c r="F462" s="8" t="str">
        <f ca="1">IFERROR(_xludf.XLOOKUP(D462,STUDENTS!$A$5:$A$204,STUDENTS!$L$5:$L$204,""),"")</f>
        <v/>
      </c>
      <c r="G462" s="8"/>
      <c r="H462" s="14"/>
      <c r="I462" s="14"/>
      <c r="J462" s="15" t="str">
        <f>IF(H462="","",H462*SETTINGS!$B$9)</f>
        <v/>
      </c>
      <c r="K462" s="15" t="str">
        <f>IF(I462="","",I462*SETTINGS!$B$10)</f>
        <v/>
      </c>
      <c r="L462" s="15" t="str">
        <f t="shared" si="29"/>
        <v/>
      </c>
      <c r="M462" s="10" t="str">
        <f t="shared" si="30"/>
        <v/>
      </c>
      <c r="N462" s="10" t="str">
        <f t="shared" si="31"/>
        <v/>
      </c>
      <c r="O462" s="8"/>
    </row>
    <row r="463" spans="1:15" x14ac:dyDescent="0.2">
      <c r="A463" s="10" t="str">
        <f t="shared" si="28"/>
        <v/>
      </c>
      <c r="B463" s="8"/>
      <c r="C463" s="8"/>
      <c r="D463" s="8"/>
      <c r="E463" s="8" t="str">
        <f ca="1">IFERROR(_xludf.XLOOKUP(D463,STUDENTS!$A$5:$A$204,STUDENTS!$C$5:$C$204,""),"")</f>
        <v/>
      </c>
      <c r="F463" s="8" t="str">
        <f ca="1">IFERROR(_xludf.XLOOKUP(D463,STUDENTS!$A$5:$A$204,STUDENTS!$L$5:$L$204,""),"")</f>
        <v/>
      </c>
      <c r="G463" s="8"/>
      <c r="H463" s="14"/>
      <c r="I463" s="14"/>
      <c r="J463" s="15" t="str">
        <f>IF(H463="","",H463*SETTINGS!$B$9)</f>
        <v/>
      </c>
      <c r="K463" s="15" t="str">
        <f>IF(I463="","",I463*SETTINGS!$B$10)</f>
        <v/>
      </c>
      <c r="L463" s="15" t="str">
        <f t="shared" si="29"/>
        <v/>
      </c>
      <c r="M463" s="10" t="str">
        <f t="shared" si="30"/>
        <v/>
      </c>
      <c r="N463" s="10" t="str">
        <f t="shared" si="31"/>
        <v/>
      </c>
      <c r="O463" s="8"/>
    </row>
    <row r="464" spans="1:15" x14ac:dyDescent="0.2">
      <c r="A464" s="10" t="str">
        <f t="shared" si="28"/>
        <v/>
      </c>
      <c r="B464" s="8"/>
      <c r="C464" s="8"/>
      <c r="D464" s="8"/>
      <c r="E464" s="8" t="str">
        <f ca="1">IFERROR(_xludf.XLOOKUP(D464,STUDENTS!$A$5:$A$204,STUDENTS!$C$5:$C$204,""),"")</f>
        <v/>
      </c>
      <c r="F464" s="8" t="str">
        <f ca="1">IFERROR(_xludf.XLOOKUP(D464,STUDENTS!$A$5:$A$204,STUDENTS!$L$5:$L$204,""),"")</f>
        <v/>
      </c>
      <c r="G464" s="8"/>
      <c r="H464" s="14"/>
      <c r="I464" s="14"/>
      <c r="J464" s="15" t="str">
        <f>IF(H464="","",H464*SETTINGS!$B$9)</f>
        <v/>
      </c>
      <c r="K464" s="15" t="str">
        <f>IF(I464="","",I464*SETTINGS!$B$10)</f>
        <v/>
      </c>
      <c r="L464" s="15" t="str">
        <f t="shared" si="29"/>
        <v/>
      </c>
      <c r="M464" s="10" t="str">
        <f t="shared" si="30"/>
        <v/>
      </c>
      <c r="N464" s="10" t="str">
        <f t="shared" si="31"/>
        <v/>
      </c>
      <c r="O464" s="8"/>
    </row>
    <row r="465" spans="1:15" x14ac:dyDescent="0.2">
      <c r="A465" s="10" t="str">
        <f t="shared" si="28"/>
        <v/>
      </c>
      <c r="B465" s="8"/>
      <c r="C465" s="8"/>
      <c r="D465" s="8"/>
      <c r="E465" s="8" t="str">
        <f ca="1">IFERROR(_xludf.XLOOKUP(D465,STUDENTS!$A$5:$A$204,STUDENTS!$C$5:$C$204,""),"")</f>
        <v/>
      </c>
      <c r="F465" s="8" t="str">
        <f ca="1">IFERROR(_xludf.XLOOKUP(D465,STUDENTS!$A$5:$A$204,STUDENTS!$L$5:$L$204,""),"")</f>
        <v/>
      </c>
      <c r="G465" s="8"/>
      <c r="H465" s="14"/>
      <c r="I465" s="14"/>
      <c r="J465" s="15" t="str">
        <f>IF(H465="","",H465*SETTINGS!$B$9)</f>
        <v/>
      </c>
      <c r="K465" s="15" t="str">
        <f>IF(I465="","",I465*SETTINGS!$B$10)</f>
        <v/>
      </c>
      <c r="L465" s="15" t="str">
        <f t="shared" si="29"/>
        <v/>
      </c>
      <c r="M465" s="10" t="str">
        <f t="shared" si="30"/>
        <v/>
      </c>
      <c r="N465" s="10" t="str">
        <f t="shared" si="31"/>
        <v/>
      </c>
      <c r="O465" s="8"/>
    </row>
    <row r="466" spans="1:15" x14ac:dyDescent="0.2">
      <c r="A466" s="10" t="str">
        <f t="shared" si="28"/>
        <v/>
      </c>
      <c r="B466" s="8"/>
      <c r="C466" s="8"/>
      <c r="D466" s="8"/>
      <c r="E466" s="8" t="str">
        <f ca="1">IFERROR(_xludf.XLOOKUP(D466,STUDENTS!$A$5:$A$204,STUDENTS!$C$5:$C$204,""),"")</f>
        <v/>
      </c>
      <c r="F466" s="8" t="str">
        <f ca="1">IFERROR(_xludf.XLOOKUP(D466,STUDENTS!$A$5:$A$204,STUDENTS!$L$5:$L$204,""),"")</f>
        <v/>
      </c>
      <c r="G466" s="8"/>
      <c r="H466" s="14"/>
      <c r="I466" s="14"/>
      <c r="J466" s="15" t="str">
        <f>IF(H466="","",H466*SETTINGS!$B$9)</f>
        <v/>
      </c>
      <c r="K466" s="15" t="str">
        <f>IF(I466="","",I466*SETTINGS!$B$10)</f>
        <v/>
      </c>
      <c r="L466" s="15" t="str">
        <f t="shared" si="29"/>
        <v/>
      </c>
      <c r="M466" s="10" t="str">
        <f t="shared" si="30"/>
        <v/>
      </c>
      <c r="N466" s="10" t="str">
        <f t="shared" si="31"/>
        <v/>
      </c>
      <c r="O466" s="8"/>
    </row>
    <row r="467" spans="1:15" x14ac:dyDescent="0.2">
      <c r="A467" s="10" t="str">
        <f t="shared" si="28"/>
        <v/>
      </c>
      <c r="B467" s="8"/>
      <c r="C467" s="8"/>
      <c r="D467" s="8"/>
      <c r="E467" s="8" t="str">
        <f ca="1">IFERROR(_xludf.XLOOKUP(D467,STUDENTS!$A$5:$A$204,STUDENTS!$C$5:$C$204,""),"")</f>
        <v/>
      </c>
      <c r="F467" s="8" t="str">
        <f ca="1">IFERROR(_xludf.XLOOKUP(D467,STUDENTS!$A$5:$A$204,STUDENTS!$L$5:$L$204,""),"")</f>
        <v/>
      </c>
      <c r="G467" s="8"/>
      <c r="H467" s="14"/>
      <c r="I467" s="14"/>
      <c r="J467" s="15" t="str">
        <f>IF(H467="","",H467*SETTINGS!$B$9)</f>
        <v/>
      </c>
      <c r="K467" s="15" t="str">
        <f>IF(I467="","",I467*SETTINGS!$B$10)</f>
        <v/>
      </c>
      <c r="L467" s="15" t="str">
        <f t="shared" si="29"/>
        <v/>
      </c>
      <c r="M467" s="10" t="str">
        <f t="shared" si="30"/>
        <v/>
      </c>
      <c r="N467" s="10" t="str">
        <f t="shared" si="31"/>
        <v/>
      </c>
      <c r="O467" s="8"/>
    </row>
    <row r="468" spans="1:15" x14ac:dyDescent="0.2">
      <c r="A468" s="10" t="str">
        <f t="shared" si="28"/>
        <v/>
      </c>
      <c r="B468" s="8"/>
      <c r="C468" s="8"/>
      <c r="D468" s="8"/>
      <c r="E468" s="8" t="str">
        <f ca="1">IFERROR(_xludf.XLOOKUP(D468,STUDENTS!$A$5:$A$204,STUDENTS!$C$5:$C$204,""),"")</f>
        <v/>
      </c>
      <c r="F468" s="8" t="str">
        <f ca="1">IFERROR(_xludf.XLOOKUP(D468,STUDENTS!$A$5:$A$204,STUDENTS!$L$5:$L$204,""),"")</f>
        <v/>
      </c>
      <c r="G468" s="8"/>
      <c r="H468" s="14"/>
      <c r="I468" s="14"/>
      <c r="J468" s="15" t="str">
        <f>IF(H468="","",H468*SETTINGS!$B$9)</f>
        <v/>
      </c>
      <c r="K468" s="15" t="str">
        <f>IF(I468="","",I468*SETTINGS!$B$10)</f>
        <v/>
      </c>
      <c r="L468" s="15" t="str">
        <f t="shared" si="29"/>
        <v/>
      </c>
      <c r="M468" s="10" t="str">
        <f t="shared" si="30"/>
        <v/>
      </c>
      <c r="N468" s="10" t="str">
        <f t="shared" si="31"/>
        <v/>
      </c>
      <c r="O468" s="8"/>
    </row>
    <row r="469" spans="1:15" x14ac:dyDescent="0.2">
      <c r="A469" s="10" t="str">
        <f t="shared" si="28"/>
        <v/>
      </c>
      <c r="B469" s="8"/>
      <c r="C469" s="8"/>
      <c r="D469" s="8"/>
      <c r="E469" s="8" t="str">
        <f ca="1">IFERROR(_xludf.XLOOKUP(D469,STUDENTS!$A$5:$A$204,STUDENTS!$C$5:$C$204,""),"")</f>
        <v/>
      </c>
      <c r="F469" s="8" t="str">
        <f ca="1">IFERROR(_xludf.XLOOKUP(D469,STUDENTS!$A$5:$A$204,STUDENTS!$L$5:$L$204,""),"")</f>
        <v/>
      </c>
      <c r="G469" s="8"/>
      <c r="H469" s="14"/>
      <c r="I469" s="14"/>
      <c r="J469" s="15" t="str">
        <f>IF(H469="","",H469*SETTINGS!$B$9)</f>
        <v/>
      </c>
      <c r="K469" s="15" t="str">
        <f>IF(I469="","",I469*SETTINGS!$B$10)</f>
        <v/>
      </c>
      <c r="L469" s="15" t="str">
        <f t="shared" si="29"/>
        <v/>
      </c>
      <c r="M469" s="10" t="str">
        <f t="shared" si="30"/>
        <v/>
      </c>
      <c r="N469" s="10" t="str">
        <f t="shared" si="31"/>
        <v/>
      </c>
      <c r="O469" s="8"/>
    </row>
    <row r="470" spans="1:15" x14ac:dyDescent="0.2">
      <c r="A470" s="10" t="str">
        <f t="shared" si="28"/>
        <v/>
      </c>
      <c r="B470" s="8"/>
      <c r="C470" s="8"/>
      <c r="D470" s="8"/>
      <c r="E470" s="8" t="str">
        <f ca="1">IFERROR(_xludf.XLOOKUP(D470,STUDENTS!$A$5:$A$204,STUDENTS!$C$5:$C$204,""),"")</f>
        <v/>
      </c>
      <c r="F470" s="8" t="str">
        <f ca="1">IFERROR(_xludf.XLOOKUP(D470,STUDENTS!$A$5:$A$204,STUDENTS!$L$5:$L$204,""),"")</f>
        <v/>
      </c>
      <c r="G470" s="8"/>
      <c r="H470" s="14"/>
      <c r="I470" s="14"/>
      <c r="J470" s="15" t="str">
        <f>IF(H470="","",H470*SETTINGS!$B$9)</f>
        <v/>
      </c>
      <c r="K470" s="15" t="str">
        <f>IF(I470="","",I470*SETTINGS!$B$10)</f>
        <v/>
      </c>
      <c r="L470" s="15" t="str">
        <f t="shared" si="29"/>
        <v/>
      </c>
      <c r="M470" s="10" t="str">
        <f t="shared" si="30"/>
        <v/>
      </c>
      <c r="N470" s="10" t="str">
        <f t="shared" si="31"/>
        <v/>
      </c>
      <c r="O470" s="8"/>
    </row>
    <row r="471" spans="1:15" x14ac:dyDescent="0.2">
      <c r="A471" s="10" t="str">
        <f t="shared" si="28"/>
        <v/>
      </c>
      <c r="B471" s="8"/>
      <c r="C471" s="8"/>
      <c r="D471" s="8"/>
      <c r="E471" s="8" t="str">
        <f ca="1">IFERROR(_xludf.XLOOKUP(D471,STUDENTS!$A$5:$A$204,STUDENTS!$C$5:$C$204,""),"")</f>
        <v/>
      </c>
      <c r="F471" s="8" t="str">
        <f ca="1">IFERROR(_xludf.XLOOKUP(D471,STUDENTS!$A$5:$A$204,STUDENTS!$L$5:$L$204,""),"")</f>
        <v/>
      </c>
      <c r="G471" s="8"/>
      <c r="H471" s="14"/>
      <c r="I471" s="14"/>
      <c r="J471" s="15" t="str">
        <f>IF(H471="","",H471*SETTINGS!$B$9)</f>
        <v/>
      </c>
      <c r="K471" s="15" t="str">
        <f>IF(I471="","",I471*SETTINGS!$B$10)</f>
        <v/>
      </c>
      <c r="L471" s="15" t="str">
        <f t="shared" si="29"/>
        <v/>
      </c>
      <c r="M471" s="10" t="str">
        <f t="shared" si="30"/>
        <v/>
      </c>
      <c r="N471" s="10" t="str">
        <f t="shared" si="31"/>
        <v/>
      </c>
      <c r="O471" s="8"/>
    </row>
    <row r="472" spans="1:15" x14ac:dyDescent="0.2">
      <c r="A472" s="10" t="str">
        <f t="shared" si="28"/>
        <v/>
      </c>
      <c r="B472" s="8"/>
      <c r="C472" s="8"/>
      <c r="D472" s="8"/>
      <c r="E472" s="8" t="str">
        <f ca="1">IFERROR(_xludf.XLOOKUP(D472,STUDENTS!$A$5:$A$204,STUDENTS!$C$5:$C$204,""),"")</f>
        <v/>
      </c>
      <c r="F472" s="8" t="str">
        <f ca="1">IFERROR(_xludf.XLOOKUP(D472,STUDENTS!$A$5:$A$204,STUDENTS!$L$5:$L$204,""),"")</f>
        <v/>
      </c>
      <c r="G472" s="8"/>
      <c r="H472" s="14"/>
      <c r="I472" s="14"/>
      <c r="J472" s="15" t="str">
        <f>IF(H472="","",H472*SETTINGS!$B$9)</f>
        <v/>
      </c>
      <c r="K472" s="15" t="str">
        <f>IF(I472="","",I472*SETTINGS!$B$10)</f>
        <v/>
      </c>
      <c r="L472" s="15" t="str">
        <f t="shared" si="29"/>
        <v/>
      </c>
      <c r="M472" s="10" t="str">
        <f t="shared" si="30"/>
        <v/>
      </c>
      <c r="N472" s="10" t="str">
        <f t="shared" si="31"/>
        <v/>
      </c>
      <c r="O472" s="8"/>
    </row>
    <row r="473" spans="1:15" x14ac:dyDescent="0.2">
      <c r="A473" s="10" t="str">
        <f t="shared" si="28"/>
        <v/>
      </c>
      <c r="B473" s="8"/>
      <c r="C473" s="8"/>
      <c r="D473" s="8"/>
      <c r="E473" s="8" t="str">
        <f ca="1">IFERROR(_xludf.XLOOKUP(D473,STUDENTS!$A$5:$A$204,STUDENTS!$C$5:$C$204,""),"")</f>
        <v/>
      </c>
      <c r="F473" s="8" t="str">
        <f ca="1">IFERROR(_xludf.XLOOKUP(D473,STUDENTS!$A$5:$A$204,STUDENTS!$L$5:$L$204,""),"")</f>
        <v/>
      </c>
      <c r="G473" s="8"/>
      <c r="H473" s="14"/>
      <c r="I473" s="14"/>
      <c r="J473" s="15" t="str">
        <f>IF(H473="","",H473*SETTINGS!$B$9)</f>
        <v/>
      </c>
      <c r="K473" s="15" t="str">
        <f>IF(I473="","",I473*SETTINGS!$B$10)</f>
        <v/>
      </c>
      <c r="L473" s="15" t="str">
        <f t="shared" si="29"/>
        <v/>
      </c>
      <c r="M473" s="10" t="str">
        <f t="shared" si="30"/>
        <v/>
      </c>
      <c r="N473" s="10" t="str">
        <f t="shared" si="31"/>
        <v/>
      </c>
      <c r="O473" s="8"/>
    </row>
    <row r="474" spans="1:15" x14ac:dyDescent="0.2">
      <c r="A474" s="10" t="str">
        <f t="shared" si="28"/>
        <v/>
      </c>
      <c r="B474" s="8"/>
      <c r="C474" s="8"/>
      <c r="D474" s="8"/>
      <c r="E474" s="8" t="str">
        <f ca="1">IFERROR(_xludf.XLOOKUP(D474,STUDENTS!$A$5:$A$204,STUDENTS!$C$5:$C$204,""),"")</f>
        <v/>
      </c>
      <c r="F474" s="8" t="str">
        <f ca="1">IFERROR(_xludf.XLOOKUP(D474,STUDENTS!$A$5:$A$204,STUDENTS!$L$5:$L$204,""),"")</f>
        <v/>
      </c>
      <c r="G474" s="8"/>
      <c r="H474" s="14"/>
      <c r="I474" s="14"/>
      <c r="J474" s="15" t="str">
        <f>IF(H474="","",H474*SETTINGS!$B$9)</f>
        <v/>
      </c>
      <c r="K474" s="15" t="str">
        <f>IF(I474="","",I474*SETTINGS!$B$10)</f>
        <v/>
      </c>
      <c r="L474" s="15" t="str">
        <f t="shared" si="29"/>
        <v/>
      </c>
      <c r="M474" s="10" t="str">
        <f t="shared" si="30"/>
        <v/>
      </c>
      <c r="N474" s="10" t="str">
        <f t="shared" si="31"/>
        <v/>
      </c>
      <c r="O474" s="8"/>
    </row>
    <row r="475" spans="1:15" x14ac:dyDescent="0.2">
      <c r="A475" s="10" t="str">
        <f t="shared" si="28"/>
        <v/>
      </c>
      <c r="B475" s="8"/>
      <c r="C475" s="8"/>
      <c r="D475" s="8"/>
      <c r="E475" s="8" t="str">
        <f ca="1">IFERROR(_xludf.XLOOKUP(D475,STUDENTS!$A$5:$A$204,STUDENTS!$C$5:$C$204,""),"")</f>
        <v/>
      </c>
      <c r="F475" s="8" t="str">
        <f ca="1">IFERROR(_xludf.XLOOKUP(D475,STUDENTS!$A$5:$A$204,STUDENTS!$L$5:$L$204,""),"")</f>
        <v/>
      </c>
      <c r="G475" s="8"/>
      <c r="H475" s="14"/>
      <c r="I475" s="14"/>
      <c r="J475" s="15" t="str">
        <f>IF(H475="","",H475*SETTINGS!$B$9)</f>
        <v/>
      </c>
      <c r="K475" s="15" t="str">
        <f>IF(I475="","",I475*SETTINGS!$B$10)</f>
        <v/>
      </c>
      <c r="L475" s="15" t="str">
        <f t="shared" si="29"/>
        <v/>
      </c>
      <c r="M475" s="10" t="str">
        <f t="shared" si="30"/>
        <v/>
      </c>
      <c r="N475" s="10" t="str">
        <f t="shared" si="31"/>
        <v/>
      </c>
      <c r="O475" s="8"/>
    </row>
    <row r="476" spans="1:15" x14ac:dyDescent="0.2">
      <c r="A476" s="10" t="str">
        <f t="shared" si="28"/>
        <v/>
      </c>
      <c r="B476" s="8"/>
      <c r="C476" s="8"/>
      <c r="D476" s="8"/>
      <c r="E476" s="8" t="str">
        <f ca="1">IFERROR(_xludf.XLOOKUP(D476,STUDENTS!$A$5:$A$204,STUDENTS!$C$5:$C$204,""),"")</f>
        <v/>
      </c>
      <c r="F476" s="8" t="str">
        <f ca="1">IFERROR(_xludf.XLOOKUP(D476,STUDENTS!$A$5:$A$204,STUDENTS!$L$5:$L$204,""),"")</f>
        <v/>
      </c>
      <c r="G476" s="8"/>
      <c r="H476" s="14"/>
      <c r="I476" s="14"/>
      <c r="J476" s="15" t="str">
        <f>IF(H476="","",H476*SETTINGS!$B$9)</f>
        <v/>
      </c>
      <c r="K476" s="15" t="str">
        <f>IF(I476="","",I476*SETTINGS!$B$10)</f>
        <v/>
      </c>
      <c r="L476" s="15" t="str">
        <f t="shared" si="29"/>
        <v/>
      </c>
      <c r="M476" s="10" t="str">
        <f t="shared" si="30"/>
        <v/>
      </c>
      <c r="N476" s="10" t="str">
        <f t="shared" si="31"/>
        <v/>
      </c>
      <c r="O476" s="8"/>
    </row>
    <row r="477" spans="1:15" x14ac:dyDescent="0.2">
      <c r="A477" s="10" t="str">
        <f t="shared" si="28"/>
        <v/>
      </c>
      <c r="B477" s="8"/>
      <c r="C477" s="8"/>
      <c r="D477" s="8"/>
      <c r="E477" s="8" t="str">
        <f ca="1">IFERROR(_xludf.XLOOKUP(D477,STUDENTS!$A$5:$A$204,STUDENTS!$C$5:$C$204,""),"")</f>
        <v/>
      </c>
      <c r="F477" s="8" t="str">
        <f ca="1">IFERROR(_xludf.XLOOKUP(D477,STUDENTS!$A$5:$A$204,STUDENTS!$L$5:$L$204,""),"")</f>
        <v/>
      </c>
      <c r="G477" s="8"/>
      <c r="H477" s="14"/>
      <c r="I477" s="14"/>
      <c r="J477" s="15" t="str">
        <f>IF(H477="","",H477*SETTINGS!$B$9)</f>
        <v/>
      </c>
      <c r="K477" s="15" t="str">
        <f>IF(I477="","",I477*SETTINGS!$B$10)</f>
        <v/>
      </c>
      <c r="L477" s="15" t="str">
        <f t="shared" si="29"/>
        <v/>
      </c>
      <c r="M477" s="10" t="str">
        <f t="shared" si="30"/>
        <v/>
      </c>
      <c r="N477" s="10" t="str">
        <f t="shared" si="31"/>
        <v/>
      </c>
      <c r="O477" s="8"/>
    </row>
    <row r="478" spans="1:15" x14ac:dyDescent="0.2">
      <c r="A478" s="10" t="str">
        <f t="shared" si="28"/>
        <v/>
      </c>
      <c r="B478" s="8"/>
      <c r="C478" s="8"/>
      <c r="D478" s="8"/>
      <c r="E478" s="8" t="str">
        <f ca="1">IFERROR(_xludf.XLOOKUP(D478,STUDENTS!$A$5:$A$204,STUDENTS!$C$5:$C$204,""),"")</f>
        <v/>
      </c>
      <c r="F478" s="8" t="str">
        <f ca="1">IFERROR(_xludf.XLOOKUP(D478,STUDENTS!$A$5:$A$204,STUDENTS!$L$5:$L$204,""),"")</f>
        <v/>
      </c>
      <c r="G478" s="8"/>
      <c r="H478" s="14"/>
      <c r="I478" s="14"/>
      <c r="J478" s="15" t="str">
        <f>IF(H478="","",H478*SETTINGS!$B$9)</f>
        <v/>
      </c>
      <c r="K478" s="15" t="str">
        <f>IF(I478="","",I478*SETTINGS!$B$10)</f>
        <v/>
      </c>
      <c r="L478" s="15" t="str">
        <f t="shared" si="29"/>
        <v/>
      </c>
      <c r="M478" s="10" t="str">
        <f t="shared" si="30"/>
        <v/>
      </c>
      <c r="N478" s="10" t="str">
        <f t="shared" si="31"/>
        <v/>
      </c>
      <c r="O478" s="8"/>
    </row>
    <row r="479" spans="1:15" x14ac:dyDescent="0.2">
      <c r="A479" s="10" t="str">
        <f t="shared" si="28"/>
        <v/>
      </c>
      <c r="B479" s="8"/>
      <c r="C479" s="8"/>
      <c r="D479" s="8"/>
      <c r="E479" s="8" t="str">
        <f ca="1">IFERROR(_xludf.XLOOKUP(D479,STUDENTS!$A$5:$A$204,STUDENTS!$C$5:$C$204,""),"")</f>
        <v/>
      </c>
      <c r="F479" s="8" t="str">
        <f ca="1">IFERROR(_xludf.XLOOKUP(D479,STUDENTS!$A$5:$A$204,STUDENTS!$L$5:$L$204,""),"")</f>
        <v/>
      </c>
      <c r="G479" s="8"/>
      <c r="H479" s="14"/>
      <c r="I479" s="14"/>
      <c r="J479" s="15" t="str">
        <f>IF(H479="","",H479*SETTINGS!$B$9)</f>
        <v/>
      </c>
      <c r="K479" s="15" t="str">
        <f>IF(I479="","",I479*SETTINGS!$B$10)</f>
        <v/>
      </c>
      <c r="L479" s="15" t="str">
        <f t="shared" si="29"/>
        <v/>
      </c>
      <c r="M479" s="10" t="str">
        <f t="shared" si="30"/>
        <v/>
      </c>
      <c r="N479" s="10" t="str">
        <f t="shared" si="31"/>
        <v/>
      </c>
      <c r="O479" s="8"/>
    </row>
    <row r="480" spans="1:15" x14ac:dyDescent="0.2">
      <c r="A480" s="10" t="str">
        <f t="shared" si="28"/>
        <v/>
      </c>
      <c r="B480" s="8"/>
      <c r="C480" s="8"/>
      <c r="D480" s="8"/>
      <c r="E480" s="8" t="str">
        <f ca="1">IFERROR(_xludf.XLOOKUP(D480,STUDENTS!$A$5:$A$204,STUDENTS!$C$5:$C$204,""),"")</f>
        <v/>
      </c>
      <c r="F480" s="8" t="str">
        <f ca="1">IFERROR(_xludf.XLOOKUP(D480,STUDENTS!$A$5:$A$204,STUDENTS!$L$5:$L$204,""),"")</f>
        <v/>
      </c>
      <c r="G480" s="8"/>
      <c r="H480" s="14"/>
      <c r="I480" s="14"/>
      <c r="J480" s="15" t="str">
        <f>IF(H480="","",H480*SETTINGS!$B$9)</f>
        <v/>
      </c>
      <c r="K480" s="15" t="str">
        <f>IF(I480="","",I480*SETTINGS!$B$10)</f>
        <v/>
      </c>
      <c r="L480" s="15" t="str">
        <f t="shared" si="29"/>
        <v/>
      </c>
      <c r="M480" s="10" t="str">
        <f t="shared" si="30"/>
        <v/>
      </c>
      <c r="N480" s="10" t="str">
        <f t="shared" si="31"/>
        <v/>
      </c>
      <c r="O480" s="8"/>
    </row>
    <row r="481" spans="1:15" x14ac:dyDescent="0.2">
      <c r="A481" s="10" t="str">
        <f t="shared" si="28"/>
        <v/>
      </c>
      <c r="B481" s="8"/>
      <c r="C481" s="8"/>
      <c r="D481" s="8"/>
      <c r="E481" s="8" t="str">
        <f ca="1">IFERROR(_xludf.XLOOKUP(D481,STUDENTS!$A$5:$A$204,STUDENTS!$C$5:$C$204,""),"")</f>
        <v/>
      </c>
      <c r="F481" s="8" t="str">
        <f ca="1">IFERROR(_xludf.XLOOKUP(D481,STUDENTS!$A$5:$A$204,STUDENTS!$L$5:$L$204,""),"")</f>
        <v/>
      </c>
      <c r="G481" s="8"/>
      <c r="H481" s="14"/>
      <c r="I481" s="14"/>
      <c r="J481" s="15" t="str">
        <f>IF(H481="","",H481*SETTINGS!$B$9)</f>
        <v/>
      </c>
      <c r="K481" s="15" t="str">
        <f>IF(I481="","",I481*SETTINGS!$B$10)</f>
        <v/>
      </c>
      <c r="L481" s="15" t="str">
        <f t="shared" si="29"/>
        <v/>
      </c>
      <c r="M481" s="10" t="str">
        <f t="shared" si="30"/>
        <v/>
      </c>
      <c r="N481" s="10" t="str">
        <f t="shared" si="31"/>
        <v/>
      </c>
      <c r="O481" s="8"/>
    </row>
    <row r="482" spans="1:15" x14ac:dyDescent="0.2">
      <c r="A482" s="10" t="str">
        <f t="shared" si="28"/>
        <v/>
      </c>
      <c r="B482" s="8"/>
      <c r="C482" s="8"/>
      <c r="D482" s="8"/>
      <c r="E482" s="8" t="str">
        <f ca="1">IFERROR(_xludf.XLOOKUP(D482,STUDENTS!$A$5:$A$204,STUDENTS!$C$5:$C$204,""),"")</f>
        <v/>
      </c>
      <c r="F482" s="8" t="str">
        <f ca="1">IFERROR(_xludf.XLOOKUP(D482,STUDENTS!$A$5:$A$204,STUDENTS!$L$5:$L$204,""),"")</f>
        <v/>
      </c>
      <c r="G482" s="8"/>
      <c r="H482" s="14"/>
      <c r="I482" s="14"/>
      <c r="J482" s="15" t="str">
        <f>IF(H482="","",H482*SETTINGS!$B$9)</f>
        <v/>
      </c>
      <c r="K482" s="15" t="str">
        <f>IF(I482="","",I482*SETTINGS!$B$10)</f>
        <v/>
      </c>
      <c r="L482" s="15" t="str">
        <f t="shared" si="29"/>
        <v/>
      </c>
      <c r="M482" s="10" t="str">
        <f t="shared" si="30"/>
        <v/>
      </c>
      <c r="N482" s="10" t="str">
        <f t="shared" si="31"/>
        <v/>
      </c>
      <c r="O482" s="8"/>
    </row>
    <row r="483" spans="1:15" x14ac:dyDescent="0.2">
      <c r="A483" s="10" t="str">
        <f t="shared" si="28"/>
        <v/>
      </c>
      <c r="B483" s="8"/>
      <c r="C483" s="8"/>
      <c r="D483" s="8"/>
      <c r="E483" s="8" t="str">
        <f ca="1">IFERROR(_xludf.XLOOKUP(D483,STUDENTS!$A$5:$A$204,STUDENTS!$C$5:$C$204,""),"")</f>
        <v/>
      </c>
      <c r="F483" s="8" t="str">
        <f ca="1">IFERROR(_xludf.XLOOKUP(D483,STUDENTS!$A$5:$A$204,STUDENTS!$L$5:$L$204,""),"")</f>
        <v/>
      </c>
      <c r="G483" s="8"/>
      <c r="H483" s="14"/>
      <c r="I483" s="14"/>
      <c r="J483" s="15" t="str">
        <f>IF(H483="","",H483*SETTINGS!$B$9)</f>
        <v/>
      </c>
      <c r="K483" s="15" t="str">
        <f>IF(I483="","",I483*SETTINGS!$B$10)</f>
        <v/>
      </c>
      <c r="L483" s="15" t="str">
        <f t="shared" si="29"/>
        <v/>
      </c>
      <c r="M483" s="10" t="str">
        <f t="shared" si="30"/>
        <v/>
      </c>
      <c r="N483" s="10" t="str">
        <f t="shared" si="31"/>
        <v/>
      </c>
      <c r="O483" s="8"/>
    </row>
    <row r="484" spans="1:15" x14ac:dyDescent="0.2">
      <c r="A484" s="10" t="str">
        <f t="shared" si="28"/>
        <v/>
      </c>
      <c r="B484" s="8"/>
      <c r="C484" s="8"/>
      <c r="D484" s="8"/>
      <c r="E484" s="8" t="str">
        <f ca="1">IFERROR(_xludf.XLOOKUP(D484,STUDENTS!$A$5:$A$204,STUDENTS!$C$5:$C$204,""),"")</f>
        <v/>
      </c>
      <c r="F484" s="8" t="str">
        <f ca="1">IFERROR(_xludf.XLOOKUP(D484,STUDENTS!$A$5:$A$204,STUDENTS!$L$5:$L$204,""),"")</f>
        <v/>
      </c>
      <c r="G484" s="8"/>
      <c r="H484" s="14"/>
      <c r="I484" s="14"/>
      <c r="J484" s="15" t="str">
        <f>IF(H484="","",H484*SETTINGS!$B$9)</f>
        <v/>
      </c>
      <c r="K484" s="15" t="str">
        <f>IF(I484="","",I484*SETTINGS!$B$10)</f>
        <v/>
      </c>
      <c r="L484" s="15" t="str">
        <f t="shared" si="29"/>
        <v/>
      </c>
      <c r="M484" s="10" t="str">
        <f t="shared" si="30"/>
        <v/>
      </c>
      <c r="N484" s="10" t="str">
        <f t="shared" si="31"/>
        <v/>
      </c>
      <c r="O484" s="8"/>
    </row>
    <row r="485" spans="1:15" x14ac:dyDescent="0.2">
      <c r="A485" s="10" t="str">
        <f t="shared" si="28"/>
        <v/>
      </c>
      <c r="B485" s="8"/>
      <c r="C485" s="8"/>
      <c r="D485" s="8"/>
      <c r="E485" s="8" t="str">
        <f ca="1">IFERROR(_xludf.XLOOKUP(D485,STUDENTS!$A$5:$A$204,STUDENTS!$C$5:$C$204,""),"")</f>
        <v/>
      </c>
      <c r="F485" s="8" t="str">
        <f ca="1">IFERROR(_xludf.XLOOKUP(D485,STUDENTS!$A$5:$A$204,STUDENTS!$L$5:$L$204,""),"")</f>
        <v/>
      </c>
      <c r="G485" s="8"/>
      <c r="H485" s="14"/>
      <c r="I485" s="14"/>
      <c r="J485" s="15" t="str">
        <f>IF(H485="","",H485*SETTINGS!$B$9)</f>
        <v/>
      </c>
      <c r="K485" s="15" t="str">
        <f>IF(I485="","",I485*SETTINGS!$B$10)</f>
        <v/>
      </c>
      <c r="L485" s="15" t="str">
        <f t="shared" si="29"/>
        <v/>
      </c>
      <c r="M485" s="10" t="str">
        <f t="shared" si="30"/>
        <v/>
      </c>
      <c r="N485" s="10" t="str">
        <f t="shared" si="31"/>
        <v/>
      </c>
      <c r="O485" s="8"/>
    </row>
    <row r="486" spans="1:15" x14ac:dyDescent="0.2">
      <c r="A486" s="10" t="str">
        <f t="shared" si="28"/>
        <v/>
      </c>
      <c r="B486" s="8"/>
      <c r="C486" s="8"/>
      <c r="D486" s="8"/>
      <c r="E486" s="8" t="str">
        <f ca="1">IFERROR(_xludf.XLOOKUP(D486,STUDENTS!$A$5:$A$204,STUDENTS!$C$5:$C$204,""),"")</f>
        <v/>
      </c>
      <c r="F486" s="8" t="str">
        <f ca="1">IFERROR(_xludf.XLOOKUP(D486,STUDENTS!$A$5:$A$204,STUDENTS!$L$5:$L$204,""),"")</f>
        <v/>
      </c>
      <c r="G486" s="8"/>
      <c r="H486" s="14"/>
      <c r="I486" s="14"/>
      <c r="J486" s="15" t="str">
        <f>IF(H486="","",H486*SETTINGS!$B$9)</f>
        <v/>
      </c>
      <c r="K486" s="15" t="str">
        <f>IF(I486="","",I486*SETTINGS!$B$10)</f>
        <v/>
      </c>
      <c r="L486" s="15" t="str">
        <f t="shared" si="29"/>
        <v/>
      </c>
      <c r="M486" s="10" t="str">
        <f t="shared" si="30"/>
        <v/>
      </c>
      <c r="N486" s="10" t="str">
        <f t="shared" si="31"/>
        <v/>
      </c>
      <c r="O486" s="8"/>
    </row>
    <row r="487" spans="1:15" x14ac:dyDescent="0.2">
      <c r="A487" s="10" t="str">
        <f t="shared" si="28"/>
        <v/>
      </c>
      <c r="B487" s="8"/>
      <c r="C487" s="8"/>
      <c r="D487" s="8"/>
      <c r="E487" s="8" t="str">
        <f ca="1">IFERROR(_xludf.XLOOKUP(D487,STUDENTS!$A$5:$A$204,STUDENTS!$C$5:$C$204,""),"")</f>
        <v/>
      </c>
      <c r="F487" s="8" t="str">
        <f ca="1">IFERROR(_xludf.XLOOKUP(D487,STUDENTS!$A$5:$A$204,STUDENTS!$L$5:$L$204,""),"")</f>
        <v/>
      </c>
      <c r="G487" s="8"/>
      <c r="H487" s="14"/>
      <c r="I487" s="14"/>
      <c r="J487" s="15" t="str">
        <f>IF(H487="","",H487*SETTINGS!$B$9)</f>
        <v/>
      </c>
      <c r="K487" s="15" t="str">
        <f>IF(I487="","",I487*SETTINGS!$B$10)</f>
        <v/>
      </c>
      <c r="L487" s="15" t="str">
        <f t="shared" si="29"/>
        <v/>
      </c>
      <c r="M487" s="10" t="str">
        <f t="shared" si="30"/>
        <v/>
      </c>
      <c r="N487" s="10" t="str">
        <f t="shared" si="31"/>
        <v/>
      </c>
      <c r="O487" s="8"/>
    </row>
    <row r="488" spans="1:15" x14ac:dyDescent="0.2">
      <c r="A488" s="10" t="str">
        <f t="shared" si="28"/>
        <v/>
      </c>
      <c r="B488" s="8"/>
      <c r="C488" s="8"/>
      <c r="D488" s="8"/>
      <c r="E488" s="8" t="str">
        <f ca="1">IFERROR(_xludf.XLOOKUP(D488,STUDENTS!$A$5:$A$204,STUDENTS!$C$5:$C$204,""),"")</f>
        <v/>
      </c>
      <c r="F488" s="8" t="str">
        <f ca="1">IFERROR(_xludf.XLOOKUP(D488,STUDENTS!$A$5:$A$204,STUDENTS!$L$5:$L$204,""),"")</f>
        <v/>
      </c>
      <c r="G488" s="8"/>
      <c r="H488" s="14"/>
      <c r="I488" s="14"/>
      <c r="J488" s="15" t="str">
        <f>IF(H488="","",H488*SETTINGS!$B$9)</f>
        <v/>
      </c>
      <c r="K488" s="15" t="str">
        <f>IF(I488="","",I488*SETTINGS!$B$10)</f>
        <v/>
      </c>
      <c r="L488" s="15" t="str">
        <f t="shared" si="29"/>
        <v/>
      </c>
      <c r="M488" s="10" t="str">
        <f t="shared" si="30"/>
        <v/>
      </c>
      <c r="N488" s="10" t="str">
        <f t="shared" si="31"/>
        <v/>
      </c>
      <c r="O488" s="8"/>
    </row>
    <row r="489" spans="1:15" x14ac:dyDescent="0.2">
      <c r="A489" s="10" t="str">
        <f t="shared" si="28"/>
        <v/>
      </c>
      <c r="B489" s="8"/>
      <c r="C489" s="8"/>
      <c r="D489" s="8"/>
      <c r="E489" s="8" t="str">
        <f ca="1">IFERROR(_xludf.XLOOKUP(D489,STUDENTS!$A$5:$A$204,STUDENTS!$C$5:$C$204,""),"")</f>
        <v/>
      </c>
      <c r="F489" s="8" t="str">
        <f ca="1">IFERROR(_xludf.XLOOKUP(D489,STUDENTS!$A$5:$A$204,STUDENTS!$L$5:$L$204,""),"")</f>
        <v/>
      </c>
      <c r="G489" s="8"/>
      <c r="H489" s="14"/>
      <c r="I489" s="14"/>
      <c r="J489" s="15" t="str">
        <f>IF(H489="","",H489*SETTINGS!$B$9)</f>
        <v/>
      </c>
      <c r="K489" s="15" t="str">
        <f>IF(I489="","",I489*SETTINGS!$B$10)</f>
        <v/>
      </c>
      <c r="L489" s="15" t="str">
        <f t="shared" si="29"/>
        <v/>
      </c>
      <c r="M489" s="10" t="str">
        <f t="shared" si="30"/>
        <v/>
      </c>
      <c r="N489" s="10" t="str">
        <f t="shared" si="31"/>
        <v/>
      </c>
      <c r="O489" s="8"/>
    </row>
    <row r="490" spans="1:15" x14ac:dyDescent="0.2">
      <c r="A490" s="10" t="str">
        <f t="shared" si="28"/>
        <v/>
      </c>
      <c r="B490" s="8"/>
      <c r="C490" s="8"/>
      <c r="D490" s="8"/>
      <c r="E490" s="8" t="str">
        <f ca="1">IFERROR(_xludf.XLOOKUP(D490,STUDENTS!$A$5:$A$204,STUDENTS!$C$5:$C$204,""),"")</f>
        <v/>
      </c>
      <c r="F490" s="8" t="str">
        <f ca="1">IFERROR(_xludf.XLOOKUP(D490,STUDENTS!$A$5:$A$204,STUDENTS!$L$5:$L$204,""),"")</f>
        <v/>
      </c>
      <c r="G490" s="8"/>
      <c r="H490" s="14"/>
      <c r="I490" s="14"/>
      <c r="J490" s="15" t="str">
        <f>IF(H490="","",H490*SETTINGS!$B$9)</f>
        <v/>
      </c>
      <c r="K490" s="15" t="str">
        <f>IF(I490="","",I490*SETTINGS!$B$10)</f>
        <v/>
      </c>
      <c r="L490" s="15" t="str">
        <f t="shared" si="29"/>
        <v/>
      </c>
      <c r="M490" s="10" t="str">
        <f t="shared" si="30"/>
        <v/>
      </c>
      <c r="N490" s="10" t="str">
        <f t="shared" si="31"/>
        <v/>
      </c>
      <c r="O490" s="8"/>
    </row>
    <row r="491" spans="1:15" x14ac:dyDescent="0.2">
      <c r="A491" s="10" t="str">
        <f t="shared" si="28"/>
        <v/>
      </c>
      <c r="B491" s="8"/>
      <c r="C491" s="8"/>
      <c r="D491" s="8"/>
      <c r="E491" s="8" t="str">
        <f ca="1">IFERROR(_xludf.XLOOKUP(D491,STUDENTS!$A$5:$A$204,STUDENTS!$C$5:$C$204,""),"")</f>
        <v/>
      </c>
      <c r="F491" s="8" t="str">
        <f ca="1">IFERROR(_xludf.XLOOKUP(D491,STUDENTS!$A$5:$A$204,STUDENTS!$L$5:$L$204,""),"")</f>
        <v/>
      </c>
      <c r="G491" s="8"/>
      <c r="H491" s="14"/>
      <c r="I491" s="14"/>
      <c r="J491" s="15" t="str">
        <f>IF(H491="","",H491*SETTINGS!$B$9)</f>
        <v/>
      </c>
      <c r="K491" s="15" t="str">
        <f>IF(I491="","",I491*SETTINGS!$B$10)</f>
        <v/>
      </c>
      <c r="L491" s="15" t="str">
        <f t="shared" si="29"/>
        <v/>
      </c>
      <c r="M491" s="10" t="str">
        <f t="shared" si="30"/>
        <v/>
      </c>
      <c r="N491" s="10" t="str">
        <f t="shared" si="31"/>
        <v/>
      </c>
      <c r="O491" s="8"/>
    </row>
    <row r="492" spans="1:15" x14ac:dyDescent="0.2">
      <c r="A492" s="10" t="str">
        <f t="shared" si="28"/>
        <v/>
      </c>
      <c r="B492" s="8"/>
      <c r="C492" s="8"/>
      <c r="D492" s="8"/>
      <c r="E492" s="8" t="str">
        <f ca="1">IFERROR(_xludf.XLOOKUP(D492,STUDENTS!$A$5:$A$204,STUDENTS!$C$5:$C$204,""),"")</f>
        <v/>
      </c>
      <c r="F492" s="8" t="str">
        <f ca="1">IFERROR(_xludf.XLOOKUP(D492,STUDENTS!$A$5:$A$204,STUDENTS!$L$5:$L$204,""),"")</f>
        <v/>
      </c>
      <c r="G492" s="8"/>
      <c r="H492" s="14"/>
      <c r="I492" s="14"/>
      <c r="J492" s="15" t="str">
        <f>IF(H492="","",H492*SETTINGS!$B$9)</f>
        <v/>
      </c>
      <c r="K492" s="15" t="str">
        <f>IF(I492="","",I492*SETTINGS!$B$10)</f>
        <v/>
      </c>
      <c r="L492" s="15" t="str">
        <f t="shared" si="29"/>
        <v/>
      </c>
      <c r="M492" s="10" t="str">
        <f t="shared" si="30"/>
        <v/>
      </c>
      <c r="N492" s="10" t="str">
        <f t="shared" si="31"/>
        <v/>
      </c>
      <c r="O492" s="8"/>
    </row>
    <row r="493" spans="1:15" x14ac:dyDescent="0.2">
      <c r="A493" s="10" t="str">
        <f t="shared" si="28"/>
        <v/>
      </c>
      <c r="B493" s="8"/>
      <c r="C493" s="8"/>
      <c r="D493" s="8"/>
      <c r="E493" s="8" t="str">
        <f ca="1">IFERROR(_xludf.XLOOKUP(D493,STUDENTS!$A$5:$A$204,STUDENTS!$C$5:$C$204,""),"")</f>
        <v/>
      </c>
      <c r="F493" s="8" t="str">
        <f ca="1">IFERROR(_xludf.XLOOKUP(D493,STUDENTS!$A$5:$A$204,STUDENTS!$L$5:$L$204,""),"")</f>
        <v/>
      </c>
      <c r="G493" s="8"/>
      <c r="H493" s="14"/>
      <c r="I493" s="14"/>
      <c r="J493" s="15" t="str">
        <f>IF(H493="","",H493*SETTINGS!$B$9)</f>
        <v/>
      </c>
      <c r="K493" s="15" t="str">
        <f>IF(I493="","",I493*SETTINGS!$B$10)</f>
        <v/>
      </c>
      <c r="L493" s="15" t="str">
        <f t="shared" si="29"/>
        <v/>
      </c>
      <c r="M493" s="10" t="str">
        <f t="shared" si="30"/>
        <v/>
      </c>
      <c r="N493" s="10" t="str">
        <f t="shared" si="31"/>
        <v/>
      </c>
      <c r="O493" s="8"/>
    </row>
    <row r="494" spans="1:15" x14ac:dyDescent="0.2">
      <c r="A494" s="10" t="str">
        <f t="shared" si="28"/>
        <v/>
      </c>
      <c r="B494" s="8"/>
      <c r="C494" s="8"/>
      <c r="D494" s="8"/>
      <c r="E494" s="8" t="str">
        <f ca="1">IFERROR(_xludf.XLOOKUP(D494,STUDENTS!$A$5:$A$204,STUDENTS!$C$5:$C$204,""),"")</f>
        <v/>
      </c>
      <c r="F494" s="8" t="str">
        <f ca="1">IFERROR(_xludf.XLOOKUP(D494,STUDENTS!$A$5:$A$204,STUDENTS!$L$5:$L$204,""),"")</f>
        <v/>
      </c>
      <c r="G494" s="8"/>
      <c r="H494" s="14"/>
      <c r="I494" s="14"/>
      <c r="J494" s="15" t="str">
        <f>IF(H494="","",H494*SETTINGS!$B$9)</f>
        <v/>
      </c>
      <c r="K494" s="15" t="str">
        <f>IF(I494="","",I494*SETTINGS!$B$10)</f>
        <v/>
      </c>
      <c r="L494" s="15" t="str">
        <f t="shared" si="29"/>
        <v/>
      </c>
      <c r="M494" s="10" t="str">
        <f t="shared" si="30"/>
        <v/>
      </c>
      <c r="N494" s="10" t="str">
        <f t="shared" si="31"/>
        <v/>
      </c>
      <c r="O494" s="8"/>
    </row>
    <row r="495" spans="1:15" x14ac:dyDescent="0.2">
      <c r="A495" s="10" t="str">
        <f t="shared" si="28"/>
        <v/>
      </c>
      <c r="B495" s="8"/>
      <c r="C495" s="8"/>
      <c r="D495" s="8"/>
      <c r="E495" s="8" t="str">
        <f ca="1">IFERROR(_xludf.XLOOKUP(D495,STUDENTS!$A$5:$A$204,STUDENTS!$C$5:$C$204,""),"")</f>
        <v/>
      </c>
      <c r="F495" s="8" t="str">
        <f ca="1">IFERROR(_xludf.XLOOKUP(D495,STUDENTS!$A$5:$A$204,STUDENTS!$L$5:$L$204,""),"")</f>
        <v/>
      </c>
      <c r="G495" s="8"/>
      <c r="H495" s="14"/>
      <c r="I495" s="14"/>
      <c r="J495" s="15" t="str">
        <f>IF(H495="","",H495*SETTINGS!$B$9)</f>
        <v/>
      </c>
      <c r="K495" s="15" t="str">
        <f>IF(I495="","",I495*SETTINGS!$B$10)</f>
        <v/>
      </c>
      <c r="L495" s="15" t="str">
        <f t="shared" si="29"/>
        <v/>
      </c>
      <c r="M495" s="10" t="str">
        <f t="shared" si="30"/>
        <v/>
      </c>
      <c r="N495" s="10" t="str">
        <f t="shared" si="31"/>
        <v/>
      </c>
      <c r="O495" s="8"/>
    </row>
    <row r="496" spans="1:15" x14ac:dyDescent="0.2">
      <c r="A496" s="10" t="str">
        <f t="shared" si="28"/>
        <v/>
      </c>
      <c r="B496" s="8"/>
      <c r="C496" s="8"/>
      <c r="D496" s="8"/>
      <c r="E496" s="8" t="str">
        <f ca="1">IFERROR(_xludf.XLOOKUP(D496,STUDENTS!$A$5:$A$204,STUDENTS!$C$5:$C$204,""),"")</f>
        <v/>
      </c>
      <c r="F496" s="8" t="str">
        <f ca="1">IFERROR(_xludf.XLOOKUP(D496,STUDENTS!$A$5:$A$204,STUDENTS!$L$5:$L$204,""),"")</f>
        <v/>
      </c>
      <c r="G496" s="8"/>
      <c r="H496" s="14"/>
      <c r="I496" s="14"/>
      <c r="J496" s="15" t="str">
        <f>IF(H496="","",H496*SETTINGS!$B$9)</f>
        <v/>
      </c>
      <c r="K496" s="15" t="str">
        <f>IF(I496="","",I496*SETTINGS!$B$10)</f>
        <v/>
      </c>
      <c r="L496" s="15" t="str">
        <f t="shared" si="29"/>
        <v/>
      </c>
      <c r="M496" s="10" t="str">
        <f t="shared" si="30"/>
        <v/>
      </c>
      <c r="N496" s="10" t="str">
        <f t="shared" si="31"/>
        <v/>
      </c>
      <c r="O496" s="8"/>
    </row>
    <row r="497" spans="1:15" x14ac:dyDescent="0.2">
      <c r="A497" s="10" t="str">
        <f t="shared" si="28"/>
        <v/>
      </c>
      <c r="B497" s="8"/>
      <c r="C497" s="8"/>
      <c r="D497" s="8"/>
      <c r="E497" s="8" t="str">
        <f ca="1">IFERROR(_xludf.XLOOKUP(D497,STUDENTS!$A$5:$A$204,STUDENTS!$C$5:$C$204,""),"")</f>
        <v/>
      </c>
      <c r="F497" s="8" t="str">
        <f ca="1">IFERROR(_xludf.XLOOKUP(D497,STUDENTS!$A$5:$A$204,STUDENTS!$L$5:$L$204,""),"")</f>
        <v/>
      </c>
      <c r="G497" s="8"/>
      <c r="H497" s="14"/>
      <c r="I497" s="14"/>
      <c r="J497" s="15" t="str">
        <f>IF(H497="","",H497*SETTINGS!$B$9)</f>
        <v/>
      </c>
      <c r="K497" s="15" t="str">
        <f>IF(I497="","",I497*SETTINGS!$B$10)</f>
        <v/>
      </c>
      <c r="L497" s="15" t="str">
        <f t="shared" si="29"/>
        <v/>
      </c>
      <c r="M497" s="10" t="str">
        <f t="shared" si="30"/>
        <v/>
      </c>
      <c r="N497" s="10" t="str">
        <f t="shared" si="31"/>
        <v/>
      </c>
      <c r="O497" s="8"/>
    </row>
    <row r="498" spans="1:15" x14ac:dyDescent="0.2">
      <c r="A498" s="10" t="str">
        <f t="shared" si="28"/>
        <v/>
      </c>
      <c r="B498" s="8"/>
      <c r="C498" s="8"/>
      <c r="D498" s="8"/>
      <c r="E498" s="8" t="str">
        <f ca="1">IFERROR(_xludf.XLOOKUP(D498,STUDENTS!$A$5:$A$204,STUDENTS!$C$5:$C$204,""),"")</f>
        <v/>
      </c>
      <c r="F498" s="8" t="str">
        <f ca="1">IFERROR(_xludf.XLOOKUP(D498,STUDENTS!$A$5:$A$204,STUDENTS!$L$5:$L$204,""),"")</f>
        <v/>
      </c>
      <c r="G498" s="8"/>
      <c r="H498" s="14"/>
      <c r="I498" s="14"/>
      <c r="J498" s="15" t="str">
        <f>IF(H498="","",H498*SETTINGS!$B$9)</f>
        <v/>
      </c>
      <c r="K498" s="15" t="str">
        <f>IF(I498="","",I498*SETTINGS!$B$10)</f>
        <v/>
      </c>
      <c r="L498" s="15" t="str">
        <f t="shared" si="29"/>
        <v/>
      </c>
      <c r="M498" s="10" t="str">
        <f t="shared" si="30"/>
        <v/>
      </c>
      <c r="N498" s="10" t="str">
        <f t="shared" si="31"/>
        <v/>
      </c>
      <c r="O498" s="8"/>
    </row>
    <row r="499" spans="1:15" x14ac:dyDescent="0.2">
      <c r="A499" s="10" t="str">
        <f t="shared" si="28"/>
        <v/>
      </c>
      <c r="B499" s="8"/>
      <c r="C499" s="8"/>
      <c r="D499" s="8"/>
      <c r="E499" s="8" t="str">
        <f ca="1">IFERROR(_xludf.XLOOKUP(D499,STUDENTS!$A$5:$A$204,STUDENTS!$C$5:$C$204,""),"")</f>
        <v/>
      </c>
      <c r="F499" s="8" t="str">
        <f ca="1">IFERROR(_xludf.XLOOKUP(D499,STUDENTS!$A$5:$A$204,STUDENTS!$L$5:$L$204,""),"")</f>
        <v/>
      </c>
      <c r="G499" s="8"/>
      <c r="H499" s="14"/>
      <c r="I499" s="14"/>
      <c r="J499" s="15" t="str">
        <f>IF(H499="","",H499*SETTINGS!$B$9)</f>
        <v/>
      </c>
      <c r="K499" s="15" t="str">
        <f>IF(I499="","",I499*SETTINGS!$B$10)</f>
        <v/>
      </c>
      <c r="L499" s="15" t="str">
        <f t="shared" si="29"/>
        <v/>
      </c>
      <c r="M499" s="10" t="str">
        <f t="shared" si="30"/>
        <v/>
      </c>
      <c r="N499" s="10" t="str">
        <f t="shared" si="31"/>
        <v/>
      </c>
      <c r="O499" s="8"/>
    </row>
    <row r="500" spans="1:15" x14ac:dyDescent="0.2">
      <c r="A500" s="10" t="str">
        <f t="shared" si="28"/>
        <v/>
      </c>
      <c r="B500" s="8"/>
      <c r="C500" s="8"/>
      <c r="D500" s="8"/>
      <c r="E500" s="8" t="str">
        <f ca="1">IFERROR(_xludf.XLOOKUP(D500,STUDENTS!$A$5:$A$204,STUDENTS!$C$5:$C$204,""),"")</f>
        <v/>
      </c>
      <c r="F500" s="8" t="str">
        <f ca="1">IFERROR(_xludf.XLOOKUP(D500,STUDENTS!$A$5:$A$204,STUDENTS!$L$5:$L$204,""),"")</f>
        <v/>
      </c>
      <c r="G500" s="8"/>
      <c r="H500" s="14"/>
      <c r="I500" s="14"/>
      <c r="J500" s="15" t="str">
        <f>IF(H500="","",H500*SETTINGS!$B$9)</f>
        <v/>
      </c>
      <c r="K500" s="15" t="str">
        <f>IF(I500="","",I500*SETTINGS!$B$10)</f>
        <v/>
      </c>
      <c r="L500" s="15" t="str">
        <f t="shared" si="29"/>
        <v/>
      </c>
      <c r="M500" s="10" t="str">
        <f t="shared" si="30"/>
        <v/>
      </c>
      <c r="N500" s="10" t="str">
        <f t="shared" si="31"/>
        <v/>
      </c>
      <c r="O500" s="8"/>
    </row>
    <row r="501" spans="1:15" x14ac:dyDescent="0.2">
      <c r="A501" s="10" t="str">
        <f t="shared" si="28"/>
        <v/>
      </c>
      <c r="B501" s="8"/>
      <c r="C501" s="8"/>
      <c r="D501" s="8"/>
      <c r="E501" s="8" t="str">
        <f ca="1">IFERROR(_xludf.XLOOKUP(D501,STUDENTS!$A$5:$A$204,STUDENTS!$C$5:$C$204,""),"")</f>
        <v/>
      </c>
      <c r="F501" s="8" t="str">
        <f ca="1">IFERROR(_xludf.XLOOKUP(D501,STUDENTS!$A$5:$A$204,STUDENTS!$L$5:$L$204,""),"")</f>
        <v/>
      </c>
      <c r="G501" s="8"/>
      <c r="H501" s="14"/>
      <c r="I501" s="14"/>
      <c r="J501" s="15" t="str">
        <f>IF(H501="","",H501*SETTINGS!$B$9)</f>
        <v/>
      </c>
      <c r="K501" s="15" t="str">
        <f>IF(I501="","",I501*SETTINGS!$B$10)</f>
        <v/>
      </c>
      <c r="L501" s="15" t="str">
        <f t="shared" si="29"/>
        <v/>
      </c>
      <c r="M501" s="10" t="str">
        <f t="shared" si="30"/>
        <v/>
      </c>
      <c r="N501" s="10" t="str">
        <f t="shared" si="31"/>
        <v/>
      </c>
      <c r="O501" s="8"/>
    </row>
    <row r="502" spans="1:15" x14ac:dyDescent="0.2">
      <c r="A502" s="10" t="str">
        <f t="shared" si="28"/>
        <v/>
      </c>
      <c r="B502" s="8"/>
      <c r="C502" s="8"/>
      <c r="D502" s="8"/>
      <c r="E502" s="8" t="str">
        <f ca="1">IFERROR(_xludf.XLOOKUP(D502,STUDENTS!$A$5:$A$204,STUDENTS!$C$5:$C$204,""),"")</f>
        <v/>
      </c>
      <c r="F502" s="8" t="str">
        <f ca="1">IFERROR(_xludf.XLOOKUP(D502,STUDENTS!$A$5:$A$204,STUDENTS!$L$5:$L$204,""),"")</f>
        <v/>
      </c>
      <c r="G502" s="8"/>
      <c r="H502" s="14"/>
      <c r="I502" s="14"/>
      <c r="J502" s="15" t="str">
        <f>IF(H502="","",H502*SETTINGS!$B$9)</f>
        <v/>
      </c>
      <c r="K502" s="15" t="str">
        <f>IF(I502="","",I502*SETTINGS!$B$10)</f>
        <v/>
      </c>
      <c r="L502" s="15" t="str">
        <f t="shared" si="29"/>
        <v/>
      </c>
      <c r="M502" s="10" t="str">
        <f t="shared" si="30"/>
        <v/>
      </c>
      <c r="N502" s="10" t="str">
        <f t="shared" si="31"/>
        <v/>
      </c>
      <c r="O502" s="8"/>
    </row>
    <row r="503" spans="1:15" x14ac:dyDescent="0.2">
      <c r="A503" s="10" t="str">
        <f t="shared" si="28"/>
        <v/>
      </c>
      <c r="B503" s="8"/>
      <c r="C503" s="8"/>
      <c r="D503" s="8"/>
      <c r="E503" s="8" t="str">
        <f ca="1">IFERROR(_xludf.XLOOKUP(D503,STUDENTS!$A$5:$A$204,STUDENTS!$C$5:$C$204,""),"")</f>
        <v/>
      </c>
      <c r="F503" s="8" t="str">
        <f ca="1">IFERROR(_xludf.XLOOKUP(D503,STUDENTS!$A$5:$A$204,STUDENTS!$L$5:$L$204,""),"")</f>
        <v/>
      </c>
      <c r="G503" s="8"/>
      <c r="H503" s="14"/>
      <c r="I503" s="14"/>
      <c r="J503" s="15" t="str">
        <f>IF(H503="","",H503*SETTINGS!$B$9)</f>
        <v/>
      </c>
      <c r="K503" s="15" t="str">
        <f>IF(I503="","",I503*SETTINGS!$B$10)</f>
        <v/>
      </c>
      <c r="L503" s="15" t="str">
        <f t="shared" si="29"/>
        <v/>
      </c>
      <c r="M503" s="10" t="str">
        <f t="shared" si="30"/>
        <v/>
      </c>
      <c r="N503" s="10" t="str">
        <f t="shared" si="31"/>
        <v/>
      </c>
      <c r="O503" s="8"/>
    </row>
    <row r="504" spans="1:15" x14ac:dyDescent="0.2">
      <c r="A504" s="10" t="str">
        <f t="shared" si="28"/>
        <v/>
      </c>
      <c r="B504" s="8"/>
      <c r="C504" s="8"/>
      <c r="D504" s="8"/>
      <c r="E504" s="8" t="str">
        <f ca="1">IFERROR(_xludf.XLOOKUP(D504,STUDENTS!$A$5:$A$204,STUDENTS!$C$5:$C$204,""),"")</f>
        <v/>
      </c>
      <c r="F504" s="8" t="str">
        <f ca="1">IFERROR(_xludf.XLOOKUP(D504,STUDENTS!$A$5:$A$204,STUDENTS!$L$5:$L$204,""),"")</f>
        <v/>
      </c>
      <c r="G504" s="8"/>
      <c r="H504" s="14"/>
      <c r="I504" s="14"/>
      <c r="J504" s="15" t="str">
        <f>IF(H504="","",H504*SETTINGS!$B$9)</f>
        <v/>
      </c>
      <c r="K504" s="15" t="str">
        <f>IF(I504="","",I504*SETTINGS!$B$10)</f>
        <v/>
      </c>
      <c r="L504" s="15" t="str">
        <f t="shared" si="29"/>
        <v/>
      </c>
      <c r="M504" s="10" t="str">
        <f t="shared" si="30"/>
        <v/>
      </c>
      <c r="N504" s="10" t="str">
        <f t="shared" si="31"/>
        <v/>
      </c>
      <c r="O504" s="8"/>
    </row>
    <row r="505" spans="1:15" x14ac:dyDescent="0.2">
      <c r="A505" s="10" t="str">
        <f t="shared" si="28"/>
        <v/>
      </c>
      <c r="B505" s="8"/>
      <c r="C505" s="8"/>
      <c r="D505" s="8"/>
      <c r="E505" s="8" t="str">
        <f ca="1">IFERROR(_xludf.XLOOKUP(D505,STUDENTS!$A$5:$A$204,STUDENTS!$C$5:$C$204,""),"")</f>
        <v/>
      </c>
      <c r="F505" s="8" t="str">
        <f ca="1">IFERROR(_xludf.XLOOKUP(D505,STUDENTS!$A$5:$A$204,STUDENTS!$L$5:$L$204,""),"")</f>
        <v/>
      </c>
      <c r="G505" s="8"/>
      <c r="H505" s="14"/>
      <c r="I505" s="14"/>
      <c r="J505" s="15" t="str">
        <f>IF(H505="","",H505*SETTINGS!$B$9)</f>
        <v/>
      </c>
      <c r="K505" s="15" t="str">
        <f>IF(I505="","",I505*SETTINGS!$B$10)</f>
        <v/>
      </c>
      <c r="L505" s="15" t="str">
        <f t="shared" si="29"/>
        <v/>
      </c>
      <c r="M505" s="10" t="str">
        <f t="shared" si="30"/>
        <v/>
      </c>
      <c r="N505" s="10" t="str">
        <f t="shared" si="31"/>
        <v/>
      </c>
      <c r="O505" s="8"/>
    </row>
    <row r="506" spans="1:15" x14ac:dyDescent="0.2">
      <c r="A506" s="10" t="str">
        <f t="shared" si="28"/>
        <v/>
      </c>
      <c r="B506" s="8"/>
      <c r="C506" s="8"/>
      <c r="D506" s="8"/>
      <c r="E506" s="8" t="str">
        <f ca="1">IFERROR(_xludf.XLOOKUP(D506,STUDENTS!$A$5:$A$204,STUDENTS!$C$5:$C$204,""),"")</f>
        <v/>
      </c>
      <c r="F506" s="8" t="str">
        <f ca="1">IFERROR(_xludf.XLOOKUP(D506,STUDENTS!$A$5:$A$204,STUDENTS!$L$5:$L$204,""),"")</f>
        <v/>
      </c>
      <c r="G506" s="8"/>
      <c r="H506" s="14"/>
      <c r="I506" s="14"/>
      <c r="J506" s="15" t="str">
        <f>IF(H506="","",H506*SETTINGS!$B$9)</f>
        <v/>
      </c>
      <c r="K506" s="15" t="str">
        <f>IF(I506="","",I506*SETTINGS!$B$10)</f>
        <v/>
      </c>
      <c r="L506" s="15" t="str">
        <f t="shared" si="29"/>
        <v/>
      </c>
      <c r="M506" s="10" t="str">
        <f t="shared" si="30"/>
        <v/>
      </c>
      <c r="N506" s="10" t="str">
        <f t="shared" si="31"/>
        <v/>
      </c>
      <c r="O506" s="8"/>
    </row>
    <row r="507" spans="1:15" x14ac:dyDescent="0.2">
      <c r="A507" s="10" t="str">
        <f t="shared" si="28"/>
        <v/>
      </c>
      <c r="B507" s="8"/>
      <c r="C507" s="8"/>
      <c r="D507" s="8"/>
      <c r="E507" s="8" t="str">
        <f ca="1">IFERROR(_xludf.XLOOKUP(D507,STUDENTS!$A$5:$A$204,STUDENTS!$C$5:$C$204,""),"")</f>
        <v/>
      </c>
      <c r="F507" s="8" t="str">
        <f ca="1">IFERROR(_xludf.XLOOKUP(D507,STUDENTS!$A$5:$A$204,STUDENTS!$L$5:$L$204,""),"")</f>
        <v/>
      </c>
      <c r="G507" s="8"/>
      <c r="H507" s="14"/>
      <c r="I507" s="14"/>
      <c r="J507" s="15" t="str">
        <f>IF(H507="","",H507*SETTINGS!$B$9)</f>
        <v/>
      </c>
      <c r="K507" s="15" t="str">
        <f>IF(I507="","",I507*SETTINGS!$B$10)</f>
        <v/>
      </c>
      <c r="L507" s="15" t="str">
        <f t="shared" si="29"/>
        <v/>
      </c>
      <c r="M507" s="10" t="str">
        <f t="shared" si="30"/>
        <v/>
      </c>
      <c r="N507" s="10" t="str">
        <f t="shared" si="31"/>
        <v/>
      </c>
      <c r="O507" s="8"/>
    </row>
    <row r="508" spans="1:15" x14ac:dyDescent="0.2">
      <c r="A508" s="10" t="str">
        <f t="shared" si="28"/>
        <v/>
      </c>
      <c r="B508" s="8"/>
      <c r="C508" s="8"/>
      <c r="D508" s="8"/>
      <c r="E508" s="8" t="str">
        <f ca="1">IFERROR(_xludf.XLOOKUP(D508,STUDENTS!$A$5:$A$204,STUDENTS!$C$5:$C$204,""),"")</f>
        <v/>
      </c>
      <c r="F508" s="8" t="str">
        <f ca="1">IFERROR(_xludf.XLOOKUP(D508,STUDENTS!$A$5:$A$204,STUDENTS!$L$5:$L$204,""),"")</f>
        <v/>
      </c>
      <c r="G508" s="8"/>
      <c r="H508" s="14"/>
      <c r="I508" s="14"/>
      <c r="J508" s="15" t="str">
        <f>IF(H508="","",H508*SETTINGS!$B$9)</f>
        <v/>
      </c>
      <c r="K508" s="15" t="str">
        <f>IF(I508="","",I508*SETTINGS!$B$10)</f>
        <v/>
      </c>
      <c r="L508" s="15" t="str">
        <f t="shared" si="29"/>
        <v/>
      </c>
      <c r="M508" s="10" t="str">
        <f t="shared" si="30"/>
        <v/>
      </c>
      <c r="N508" s="10" t="str">
        <f t="shared" si="31"/>
        <v/>
      </c>
      <c r="O508" s="8"/>
    </row>
    <row r="509" spans="1:15" x14ac:dyDescent="0.2">
      <c r="A509" s="10" t="str">
        <f t="shared" si="28"/>
        <v/>
      </c>
      <c r="B509" s="8"/>
      <c r="C509" s="8"/>
      <c r="D509" s="8"/>
      <c r="E509" s="8" t="str">
        <f ca="1">IFERROR(_xludf.XLOOKUP(D509,STUDENTS!$A$5:$A$204,STUDENTS!$C$5:$C$204,""),"")</f>
        <v/>
      </c>
      <c r="F509" s="8" t="str">
        <f ca="1">IFERROR(_xludf.XLOOKUP(D509,STUDENTS!$A$5:$A$204,STUDENTS!$L$5:$L$204,""),"")</f>
        <v/>
      </c>
      <c r="G509" s="8"/>
      <c r="H509" s="14"/>
      <c r="I509" s="14"/>
      <c r="J509" s="15" t="str">
        <f>IF(H509="","",H509*SETTINGS!$B$9)</f>
        <v/>
      </c>
      <c r="K509" s="15" t="str">
        <f>IF(I509="","",I509*SETTINGS!$B$10)</f>
        <v/>
      </c>
      <c r="L509" s="15" t="str">
        <f t="shared" si="29"/>
        <v/>
      </c>
      <c r="M509" s="10" t="str">
        <f t="shared" si="30"/>
        <v/>
      </c>
      <c r="N509" s="10" t="str">
        <f t="shared" si="31"/>
        <v/>
      </c>
      <c r="O509" s="8"/>
    </row>
    <row r="510" spans="1:15" x14ac:dyDescent="0.2">
      <c r="A510" s="10" t="str">
        <f t="shared" si="28"/>
        <v/>
      </c>
      <c r="B510" s="8"/>
      <c r="C510" s="8"/>
      <c r="D510" s="8"/>
      <c r="E510" s="8" t="str">
        <f ca="1">IFERROR(_xludf.XLOOKUP(D510,STUDENTS!$A$5:$A$204,STUDENTS!$C$5:$C$204,""),"")</f>
        <v/>
      </c>
      <c r="F510" s="8" t="str">
        <f ca="1">IFERROR(_xludf.XLOOKUP(D510,STUDENTS!$A$5:$A$204,STUDENTS!$L$5:$L$204,""),"")</f>
        <v/>
      </c>
      <c r="G510" s="8"/>
      <c r="H510" s="14"/>
      <c r="I510" s="14"/>
      <c r="J510" s="15" t="str">
        <f>IF(H510="","",H510*SETTINGS!$B$9)</f>
        <v/>
      </c>
      <c r="K510" s="15" t="str">
        <f>IF(I510="","",I510*SETTINGS!$B$10)</f>
        <v/>
      </c>
      <c r="L510" s="15" t="str">
        <f t="shared" si="29"/>
        <v/>
      </c>
      <c r="M510" s="10" t="str">
        <f t="shared" si="30"/>
        <v/>
      </c>
      <c r="N510" s="10" t="str">
        <f t="shared" si="31"/>
        <v/>
      </c>
      <c r="O510" s="8"/>
    </row>
    <row r="511" spans="1:15" x14ac:dyDescent="0.2">
      <c r="A511" s="10" t="str">
        <f t="shared" si="28"/>
        <v/>
      </c>
      <c r="B511" s="8"/>
      <c r="C511" s="8"/>
      <c r="D511" s="8"/>
      <c r="E511" s="8" t="str">
        <f ca="1">IFERROR(_xludf.XLOOKUP(D511,STUDENTS!$A$5:$A$204,STUDENTS!$C$5:$C$204,""),"")</f>
        <v/>
      </c>
      <c r="F511" s="8" t="str">
        <f ca="1">IFERROR(_xludf.XLOOKUP(D511,STUDENTS!$A$5:$A$204,STUDENTS!$L$5:$L$204,""),"")</f>
        <v/>
      </c>
      <c r="G511" s="8"/>
      <c r="H511" s="14"/>
      <c r="I511" s="14"/>
      <c r="J511" s="15" t="str">
        <f>IF(H511="","",H511*SETTINGS!$B$9)</f>
        <v/>
      </c>
      <c r="K511" s="15" t="str">
        <f>IF(I511="","",I511*SETTINGS!$B$10)</f>
        <v/>
      </c>
      <c r="L511" s="15" t="str">
        <f t="shared" si="29"/>
        <v/>
      </c>
      <c r="M511" s="10" t="str">
        <f t="shared" si="30"/>
        <v/>
      </c>
      <c r="N511" s="10" t="str">
        <f t="shared" si="31"/>
        <v/>
      </c>
      <c r="O511" s="8"/>
    </row>
    <row r="512" spans="1:15" x14ac:dyDescent="0.2">
      <c r="A512" s="10" t="str">
        <f t="shared" si="28"/>
        <v/>
      </c>
      <c r="B512" s="8"/>
      <c r="C512" s="8"/>
      <c r="D512" s="8"/>
      <c r="E512" s="8" t="str">
        <f ca="1">IFERROR(_xludf.XLOOKUP(D512,STUDENTS!$A$5:$A$204,STUDENTS!$C$5:$C$204,""),"")</f>
        <v/>
      </c>
      <c r="F512" s="8" t="str">
        <f ca="1">IFERROR(_xludf.XLOOKUP(D512,STUDENTS!$A$5:$A$204,STUDENTS!$L$5:$L$204,""),"")</f>
        <v/>
      </c>
      <c r="G512" s="8"/>
      <c r="H512" s="14"/>
      <c r="I512" s="14"/>
      <c r="J512" s="15" t="str">
        <f>IF(H512="","",H512*SETTINGS!$B$9)</f>
        <v/>
      </c>
      <c r="K512" s="15" t="str">
        <f>IF(I512="","",I512*SETTINGS!$B$10)</f>
        <v/>
      </c>
      <c r="L512" s="15" t="str">
        <f t="shared" si="29"/>
        <v/>
      </c>
      <c r="M512" s="10" t="str">
        <f t="shared" si="30"/>
        <v/>
      </c>
      <c r="N512" s="10" t="str">
        <f t="shared" si="31"/>
        <v/>
      </c>
      <c r="O512" s="8"/>
    </row>
    <row r="513" spans="1:15" x14ac:dyDescent="0.2">
      <c r="A513" s="10" t="str">
        <f t="shared" si="28"/>
        <v/>
      </c>
      <c r="B513" s="8"/>
      <c r="C513" s="8"/>
      <c r="D513" s="8"/>
      <c r="E513" s="8" t="str">
        <f ca="1">IFERROR(_xludf.XLOOKUP(D513,STUDENTS!$A$5:$A$204,STUDENTS!$C$5:$C$204,""),"")</f>
        <v/>
      </c>
      <c r="F513" s="8" t="str">
        <f ca="1">IFERROR(_xludf.XLOOKUP(D513,STUDENTS!$A$5:$A$204,STUDENTS!$L$5:$L$204,""),"")</f>
        <v/>
      </c>
      <c r="G513" s="8"/>
      <c r="H513" s="14"/>
      <c r="I513" s="14"/>
      <c r="J513" s="15" t="str">
        <f>IF(H513="","",H513*SETTINGS!$B$9)</f>
        <v/>
      </c>
      <c r="K513" s="15" t="str">
        <f>IF(I513="","",I513*SETTINGS!$B$10)</f>
        <v/>
      </c>
      <c r="L513" s="15" t="str">
        <f t="shared" si="29"/>
        <v/>
      </c>
      <c r="M513" s="10" t="str">
        <f t="shared" si="30"/>
        <v/>
      </c>
      <c r="N513" s="10" t="str">
        <f t="shared" si="31"/>
        <v/>
      </c>
      <c r="O513" s="8"/>
    </row>
    <row r="514" spans="1:15" x14ac:dyDescent="0.2">
      <c r="A514" s="10" t="str">
        <f t="shared" si="28"/>
        <v/>
      </c>
      <c r="B514" s="8"/>
      <c r="C514" s="8"/>
      <c r="D514" s="8"/>
      <c r="E514" s="8" t="str">
        <f ca="1">IFERROR(_xludf.XLOOKUP(D514,STUDENTS!$A$5:$A$204,STUDENTS!$C$5:$C$204,""),"")</f>
        <v/>
      </c>
      <c r="F514" s="8" t="str">
        <f ca="1">IFERROR(_xludf.XLOOKUP(D514,STUDENTS!$A$5:$A$204,STUDENTS!$L$5:$L$204,""),"")</f>
        <v/>
      </c>
      <c r="G514" s="8"/>
      <c r="H514" s="14"/>
      <c r="I514" s="14"/>
      <c r="J514" s="15" t="str">
        <f>IF(H514="","",H514*SETTINGS!$B$9)</f>
        <v/>
      </c>
      <c r="K514" s="15" t="str">
        <f>IF(I514="","",I514*SETTINGS!$B$10)</f>
        <v/>
      </c>
      <c r="L514" s="15" t="str">
        <f t="shared" si="29"/>
        <v/>
      </c>
      <c r="M514" s="10" t="str">
        <f t="shared" si="30"/>
        <v/>
      </c>
      <c r="N514" s="10" t="str">
        <f t="shared" si="31"/>
        <v/>
      </c>
      <c r="O514" s="8"/>
    </row>
    <row r="515" spans="1:15" x14ac:dyDescent="0.2">
      <c r="A515" s="10" t="str">
        <f t="shared" si="28"/>
        <v/>
      </c>
      <c r="B515" s="8"/>
      <c r="C515" s="8"/>
      <c r="D515" s="8"/>
      <c r="E515" s="8" t="str">
        <f ca="1">IFERROR(_xludf.XLOOKUP(D515,STUDENTS!$A$5:$A$204,STUDENTS!$C$5:$C$204,""),"")</f>
        <v/>
      </c>
      <c r="F515" s="8" t="str">
        <f ca="1">IFERROR(_xludf.XLOOKUP(D515,STUDENTS!$A$5:$A$204,STUDENTS!$L$5:$L$204,""),"")</f>
        <v/>
      </c>
      <c r="G515" s="8"/>
      <c r="H515" s="14"/>
      <c r="I515" s="14"/>
      <c r="J515" s="15" t="str">
        <f>IF(H515="","",H515*SETTINGS!$B$9)</f>
        <v/>
      </c>
      <c r="K515" s="15" t="str">
        <f>IF(I515="","",I515*SETTINGS!$B$10)</f>
        <v/>
      </c>
      <c r="L515" s="15" t="str">
        <f t="shared" si="29"/>
        <v/>
      </c>
      <c r="M515" s="10" t="str">
        <f t="shared" si="30"/>
        <v/>
      </c>
      <c r="N515" s="10" t="str">
        <f t="shared" si="31"/>
        <v/>
      </c>
      <c r="O515" s="8"/>
    </row>
    <row r="516" spans="1:15" x14ac:dyDescent="0.2">
      <c r="A516" s="10" t="str">
        <f t="shared" si="28"/>
        <v/>
      </c>
      <c r="B516" s="8"/>
      <c r="C516" s="8"/>
      <c r="D516" s="8"/>
      <c r="E516" s="8" t="str">
        <f ca="1">IFERROR(_xludf.XLOOKUP(D516,STUDENTS!$A$5:$A$204,STUDENTS!$C$5:$C$204,""),"")</f>
        <v/>
      </c>
      <c r="F516" s="8" t="str">
        <f ca="1">IFERROR(_xludf.XLOOKUP(D516,STUDENTS!$A$5:$A$204,STUDENTS!$L$5:$L$204,""),"")</f>
        <v/>
      </c>
      <c r="G516" s="8"/>
      <c r="H516" s="14"/>
      <c r="I516" s="14"/>
      <c r="J516" s="15" t="str">
        <f>IF(H516="","",H516*SETTINGS!$B$9)</f>
        <v/>
      </c>
      <c r="K516" s="15" t="str">
        <f>IF(I516="","",I516*SETTINGS!$B$10)</f>
        <v/>
      </c>
      <c r="L516" s="15" t="str">
        <f t="shared" si="29"/>
        <v/>
      </c>
      <c r="M516" s="10" t="str">
        <f t="shared" si="30"/>
        <v/>
      </c>
      <c r="N516" s="10" t="str">
        <f t="shared" si="31"/>
        <v/>
      </c>
      <c r="O516" s="8"/>
    </row>
    <row r="517" spans="1:15" x14ac:dyDescent="0.2">
      <c r="A517" s="10" t="str">
        <f t="shared" ref="A517:A580" si="32">IF(D517="","","R-"&amp;TEXT(ROW()-4,"00000"))</f>
        <v/>
      </c>
      <c r="B517" s="8"/>
      <c r="C517" s="8"/>
      <c r="D517" s="8"/>
      <c r="E517" s="8" t="str">
        <f ca="1">IFERROR(_xludf.XLOOKUP(D517,STUDENTS!$A$5:$A$204,STUDENTS!$C$5:$C$204,""),"")</f>
        <v/>
      </c>
      <c r="F517" s="8" t="str">
        <f ca="1">IFERROR(_xludf.XLOOKUP(D517,STUDENTS!$A$5:$A$204,STUDENTS!$L$5:$L$204,""),"")</f>
        <v/>
      </c>
      <c r="G517" s="8"/>
      <c r="H517" s="14"/>
      <c r="I517" s="14"/>
      <c r="J517" s="15" t="str">
        <f>IF(H517="","",H517*SETTINGS!$B$9)</f>
        <v/>
      </c>
      <c r="K517" s="15" t="str">
        <f>IF(I517="","",I517*SETTINGS!$B$10)</f>
        <v/>
      </c>
      <c r="L517" s="15" t="str">
        <f t="shared" ref="L517:L580" si="33">IF(OR(H517="",I517=""),"",J517+K517)</f>
        <v/>
      </c>
      <c r="M517" s="10" t="str">
        <f t="shared" ref="M517:M580" si="34">IF(L517="","",IF(L517&gt;=80,"A",IF(L517&gt;=70,"B",IF(L517&gt;=60,"C",IF(L517&gt;=50,"D","F")))))</f>
        <v/>
      </c>
      <c r="N517" s="10" t="str">
        <f t="shared" ref="N517:N580" si="35">IF(L517="","",1+COUNTIFS($F$5:$F$1004,F517,$C$5:$C$1004,C517,$G$5:$G$1004,G517,$L$5:$L$1004,"&gt;"&amp;L517))</f>
        <v/>
      </c>
      <c r="O517" s="8"/>
    </row>
    <row r="518" spans="1:15" x14ac:dyDescent="0.2">
      <c r="A518" s="10" t="str">
        <f t="shared" si="32"/>
        <v/>
      </c>
      <c r="B518" s="8"/>
      <c r="C518" s="8"/>
      <c r="D518" s="8"/>
      <c r="E518" s="8" t="str">
        <f ca="1">IFERROR(_xludf.XLOOKUP(D518,STUDENTS!$A$5:$A$204,STUDENTS!$C$5:$C$204,""),"")</f>
        <v/>
      </c>
      <c r="F518" s="8" t="str">
        <f ca="1">IFERROR(_xludf.XLOOKUP(D518,STUDENTS!$A$5:$A$204,STUDENTS!$L$5:$L$204,""),"")</f>
        <v/>
      </c>
      <c r="G518" s="8"/>
      <c r="H518" s="14"/>
      <c r="I518" s="14"/>
      <c r="J518" s="15" t="str">
        <f>IF(H518="","",H518*SETTINGS!$B$9)</f>
        <v/>
      </c>
      <c r="K518" s="15" t="str">
        <f>IF(I518="","",I518*SETTINGS!$B$10)</f>
        <v/>
      </c>
      <c r="L518" s="15" t="str">
        <f t="shared" si="33"/>
        <v/>
      </c>
      <c r="M518" s="10" t="str">
        <f t="shared" si="34"/>
        <v/>
      </c>
      <c r="N518" s="10" t="str">
        <f t="shared" si="35"/>
        <v/>
      </c>
      <c r="O518" s="8"/>
    </row>
    <row r="519" spans="1:15" x14ac:dyDescent="0.2">
      <c r="A519" s="10" t="str">
        <f t="shared" si="32"/>
        <v/>
      </c>
      <c r="B519" s="8"/>
      <c r="C519" s="8"/>
      <c r="D519" s="8"/>
      <c r="E519" s="8" t="str">
        <f ca="1">IFERROR(_xludf.XLOOKUP(D519,STUDENTS!$A$5:$A$204,STUDENTS!$C$5:$C$204,""),"")</f>
        <v/>
      </c>
      <c r="F519" s="8" t="str">
        <f ca="1">IFERROR(_xludf.XLOOKUP(D519,STUDENTS!$A$5:$A$204,STUDENTS!$L$5:$L$204,""),"")</f>
        <v/>
      </c>
      <c r="G519" s="8"/>
      <c r="H519" s="14"/>
      <c r="I519" s="14"/>
      <c r="J519" s="15" t="str">
        <f>IF(H519="","",H519*SETTINGS!$B$9)</f>
        <v/>
      </c>
      <c r="K519" s="15" t="str">
        <f>IF(I519="","",I519*SETTINGS!$B$10)</f>
        <v/>
      </c>
      <c r="L519" s="15" t="str">
        <f t="shared" si="33"/>
        <v/>
      </c>
      <c r="M519" s="10" t="str">
        <f t="shared" si="34"/>
        <v/>
      </c>
      <c r="N519" s="10" t="str">
        <f t="shared" si="35"/>
        <v/>
      </c>
      <c r="O519" s="8"/>
    </row>
    <row r="520" spans="1:15" x14ac:dyDescent="0.2">
      <c r="A520" s="10" t="str">
        <f t="shared" si="32"/>
        <v/>
      </c>
      <c r="B520" s="8"/>
      <c r="C520" s="8"/>
      <c r="D520" s="8"/>
      <c r="E520" s="8" t="str">
        <f ca="1">IFERROR(_xludf.XLOOKUP(D520,STUDENTS!$A$5:$A$204,STUDENTS!$C$5:$C$204,""),"")</f>
        <v/>
      </c>
      <c r="F520" s="8" t="str">
        <f ca="1">IFERROR(_xludf.XLOOKUP(D520,STUDENTS!$A$5:$A$204,STUDENTS!$L$5:$L$204,""),"")</f>
        <v/>
      </c>
      <c r="G520" s="8"/>
      <c r="H520" s="14"/>
      <c r="I520" s="14"/>
      <c r="J520" s="15" t="str">
        <f>IF(H520="","",H520*SETTINGS!$B$9)</f>
        <v/>
      </c>
      <c r="K520" s="15" t="str">
        <f>IF(I520="","",I520*SETTINGS!$B$10)</f>
        <v/>
      </c>
      <c r="L520" s="15" t="str">
        <f t="shared" si="33"/>
        <v/>
      </c>
      <c r="M520" s="10" t="str">
        <f t="shared" si="34"/>
        <v/>
      </c>
      <c r="N520" s="10" t="str">
        <f t="shared" si="35"/>
        <v/>
      </c>
      <c r="O520" s="8"/>
    </row>
    <row r="521" spans="1:15" x14ac:dyDescent="0.2">
      <c r="A521" s="10" t="str">
        <f t="shared" si="32"/>
        <v/>
      </c>
      <c r="B521" s="8"/>
      <c r="C521" s="8"/>
      <c r="D521" s="8"/>
      <c r="E521" s="8" t="str">
        <f ca="1">IFERROR(_xludf.XLOOKUP(D521,STUDENTS!$A$5:$A$204,STUDENTS!$C$5:$C$204,""),"")</f>
        <v/>
      </c>
      <c r="F521" s="8" t="str">
        <f ca="1">IFERROR(_xludf.XLOOKUP(D521,STUDENTS!$A$5:$A$204,STUDENTS!$L$5:$L$204,""),"")</f>
        <v/>
      </c>
      <c r="G521" s="8"/>
      <c r="H521" s="14"/>
      <c r="I521" s="14"/>
      <c r="J521" s="15" t="str">
        <f>IF(H521="","",H521*SETTINGS!$B$9)</f>
        <v/>
      </c>
      <c r="K521" s="15" t="str">
        <f>IF(I521="","",I521*SETTINGS!$B$10)</f>
        <v/>
      </c>
      <c r="L521" s="15" t="str">
        <f t="shared" si="33"/>
        <v/>
      </c>
      <c r="M521" s="10" t="str">
        <f t="shared" si="34"/>
        <v/>
      </c>
      <c r="N521" s="10" t="str">
        <f t="shared" si="35"/>
        <v/>
      </c>
      <c r="O521" s="8"/>
    </row>
    <row r="522" spans="1:15" x14ac:dyDescent="0.2">
      <c r="A522" s="10" t="str">
        <f t="shared" si="32"/>
        <v/>
      </c>
      <c r="B522" s="8"/>
      <c r="C522" s="8"/>
      <c r="D522" s="8"/>
      <c r="E522" s="8" t="str">
        <f ca="1">IFERROR(_xludf.XLOOKUP(D522,STUDENTS!$A$5:$A$204,STUDENTS!$C$5:$C$204,""),"")</f>
        <v/>
      </c>
      <c r="F522" s="8" t="str">
        <f ca="1">IFERROR(_xludf.XLOOKUP(D522,STUDENTS!$A$5:$A$204,STUDENTS!$L$5:$L$204,""),"")</f>
        <v/>
      </c>
      <c r="G522" s="8"/>
      <c r="H522" s="14"/>
      <c r="I522" s="14"/>
      <c r="J522" s="15" t="str">
        <f>IF(H522="","",H522*SETTINGS!$B$9)</f>
        <v/>
      </c>
      <c r="K522" s="15" t="str">
        <f>IF(I522="","",I522*SETTINGS!$B$10)</f>
        <v/>
      </c>
      <c r="L522" s="15" t="str">
        <f t="shared" si="33"/>
        <v/>
      </c>
      <c r="M522" s="10" t="str">
        <f t="shared" si="34"/>
        <v/>
      </c>
      <c r="N522" s="10" t="str">
        <f t="shared" si="35"/>
        <v/>
      </c>
      <c r="O522" s="8"/>
    </row>
    <row r="523" spans="1:15" x14ac:dyDescent="0.2">
      <c r="A523" s="10" t="str">
        <f t="shared" si="32"/>
        <v/>
      </c>
      <c r="B523" s="8"/>
      <c r="C523" s="8"/>
      <c r="D523" s="8"/>
      <c r="E523" s="8" t="str">
        <f ca="1">IFERROR(_xludf.XLOOKUP(D523,STUDENTS!$A$5:$A$204,STUDENTS!$C$5:$C$204,""),"")</f>
        <v/>
      </c>
      <c r="F523" s="8" t="str">
        <f ca="1">IFERROR(_xludf.XLOOKUP(D523,STUDENTS!$A$5:$A$204,STUDENTS!$L$5:$L$204,""),"")</f>
        <v/>
      </c>
      <c r="G523" s="8"/>
      <c r="H523" s="14"/>
      <c r="I523" s="14"/>
      <c r="J523" s="15" t="str">
        <f>IF(H523="","",H523*SETTINGS!$B$9)</f>
        <v/>
      </c>
      <c r="K523" s="15" t="str">
        <f>IF(I523="","",I523*SETTINGS!$B$10)</f>
        <v/>
      </c>
      <c r="L523" s="15" t="str">
        <f t="shared" si="33"/>
        <v/>
      </c>
      <c r="M523" s="10" t="str">
        <f t="shared" si="34"/>
        <v/>
      </c>
      <c r="N523" s="10" t="str">
        <f t="shared" si="35"/>
        <v/>
      </c>
      <c r="O523" s="8"/>
    </row>
    <row r="524" spans="1:15" x14ac:dyDescent="0.2">
      <c r="A524" s="10" t="str">
        <f t="shared" si="32"/>
        <v/>
      </c>
      <c r="B524" s="8"/>
      <c r="C524" s="8"/>
      <c r="D524" s="8"/>
      <c r="E524" s="8" t="str">
        <f ca="1">IFERROR(_xludf.XLOOKUP(D524,STUDENTS!$A$5:$A$204,STUDENTS!$C$5:$C$204,""),"")</f>
        <v/>
      </c>
      <c r="F524" s="8" t="str">
        <f ca="1">IFERROR(_xludf.XLOOKUP(D524,STUDENTS!$A$5:$A$204,STUDENTS!$L$5:$L$204,""),"")</f>
        <v/>
      </c>
      <c r="G524" s="8"/>
      <c r="H524" s="14"/>
      <c r="I524" s="14"/>
      <c r="J524" s="15" t="str">
        <f>IF(H524="","",H524*SETTINGS!$B$9)</f>
        <v/>
      </c>
      <c r="K524" s="15" t="str">
        <f>IF(I524="","",I524*SETTINGS!$B$10)</f>
        <v/>
      </c>
      <c r="L524" s="15" t="str">
        <f t="shared" si="33"/>
        <v/>
      </c>
      <c r="M524" s="10" t="str">
        <f t="shared" si="34"/>
        <v/>
      </c>
      <c r="N524" s="10" t="str">
        <f t="shared" si="35"/>
        <v/>
      </c>
      <c r="O524" s="8"/>
    </row>
    <row r="525" spans="1:15" x14ac:dyDescent="0.2">
      <c r="A525" s="10" t="str">
        <f t="shared" si="32"/>
        <v/>
      </c>
      <c r="B525" s="8"/>
      <c r="C525" s="8"/>
      <c r="D525" s="8"/>
      <c r="E525" s="8" t="str">
        <f ca="1">IFERROR(_xludf.XLOOKUP(D525,STUDENTS!$A$5:$A$204,STUDENTS!$C$5:$C$204,""),"")</f>
        <v/>
      </c>
      <c r="F525" s="8" t="str">
        <f ca="1">IFERROR(_xludf.XLOOKUP(D525,STUDENTS!$A$5:$A$204,STUDENTS!$L$5:$L$204,""),"")</f>
        <v/>
      </c>
      <c r="G525" s="8"/>
      <c r="H525" s="14"/>
      <c r="I525" s="14"/>
      <c r="J525" s="15" t="str">
        <f>IF(H525="","",H525*SETTINGS!$B$9)</f>
        <v/>
      </c>
      <c r="K525" s="15" t="str">
        <f>IF(I525="","",I525*SETTINGS!$B$10)</f>
        <v/>
      </c>
      <c r="L525" s="15" t="str">
        <f t="shared" si="33"/>
        <v/>
      </c>
      <c r="M525" s="10" t="str">
        <f t="shared" si="34"/>
        <v/>
      </c>
      <c r="N525" s="10" t="str">
        <f t="shared" si="35"/>
        <v/>
      </c>
      <c r="O525" s="8"/>
    </row>
    <row r="526" spans="1:15" x14ac:dyDescent="0.2">
      <c r="A526" s="10" t="str">
        <f t="shared" si="32"/>
        <v/>
      </c>
      <c r="B526" s="8"/>
      <c r="C526" s="8"/>
      <c r="D526" s="8"/>
      <c r="E526" s="8" t="str">
        <f ca="1">IFERROR(_xludf.XLOOKUP(D526,STUDENTS!$A$5:$A$204,STUDENTS!$C$5:$C$204,""),"")</f>
        <v/>
      </c>
      <c r="F526" s="8" t="str">
        <f ca="1">IFERROR(_xludf.XLOOKUP(D526,STUDENTS!$A$5:$A$204,STUDENTS!$L$5:$L$204,""),"")</f>
        <v/>
      </c>
      <c r="G526" s="8"/>
      <c r="H526" s="14"/>
      <c r="I526" s="14"/>
      <c r="J526" s="15" t="str">
        <f>IF(H526="","",H526*SETTINGS!$B$9)</f>
        <v/>
      </c>
      <c r="K526" s="15" t="str">
        <f>IF(I526="","",I526*SETTINGS!$B$10)</f>
        <v/>
      </c>
      <c r="L526" s="15" t="str">
        <f t="shared" si="33"/>
        <v/>
      </c>
      <c r="M526" s="10" t="str">
        <f t="shared" si="34"/>
        <v/>
      </c>
      <c r="N526" s="10" t="str">
        <f t="shared" si="35"/>
        <v/>
      </c>
      <c r="O526" s="8"/>
    </row>
    <row r="527" spans="1:15" x14ac:dyDescent="0.2">
      <c r="A527" s="10" t="str">
        <f t="shared" si="32"/>
        <v/>
      </c>
      <c r="B527" s="8"/>
      <c r="C527" s="8"/>
      <c r="D527" s="8"/>
      <c r="E527" s="8" t="str">
        <f ca="1">IFERROR(_xludf.XLOOKUP(D527,STUDENTS!$A$5:$A$204,STUDENTS!$C$5:$C$204,""),"")</f>
        <v/>
      </c>
      <c r="F527" s="8" t="str">
        <f ca="1">IFERROR(_xludf.XLOOKUP(D527,STUDENTS!$A$5:$A$204,STUDENTS!$L$5:$L$204,""),"")</f>
        <v/>
      </c>
      <c r="G527" s="8"/>
      <c r="H527" s="14"/>
      <c r="I527" s="14"/>
      <c r="J527" s="15" t="str">
        <f>IF(H527="","",H527*SETTINGS!$B$9)</f>
        <v/>
      </c>
      <c r="K527" s="15" t="str">
        <f>IF(I527="","",I527*SETTINGS!$B$10)</f>
        <v/>
      </c>
      <c r="L527" s="15" t="str">
        <f t="shared" si="33"/>
        <v/>
      </c>
      <c r="M527" s="10" t="str">
        <f t="shared" si="34"/>
        <v/>
      </c>
      <c r="N527" s="10" t="str">
        <f t="shared" si="35"/>
        <v/>
      </c>
      <c r="O527" s="8"/>
    </row>
    <row r="528" spans="1:15" x14ac:dyDescent="0.2">
      <c r="A528" s="10" t="str">
        <f t="shared" si="32"/>
        <v/>
      </c>
      <c r="B528" s="8"/>
      <c r="C528" s="8"/>
      <c r="D528" s="8"/>
      <c r="E528" s="8" t="str">
        <f ca="1">IFERROR(_xludf.XLOOKUP(D528,STUDENTS!$A$5:$A$204,STUDENTS!$C$5:$C$204,""),"")</f>
        <v/>
      </c>
      <c r="F528" s="8" t="str">
        <f ca="1">IFERROR(_xludf.XLOOKUP(D528,STUDENTS!$A$5:$A$204,STUDENTS!$L$5:$L$204,""),"")</f>
        <v/>
      </c>
      <c r="G528" s="8"/>
      <c r="H528" s="14"/>
      <c r="I528" s="14"/>
      <c r="J528" s="15" t="str">
        <f>IF(H528="","",H528*SETTINGS!$B$9)</f>
        <v/>
      </c>
      <c r="K528" s="15" t="str">
        <f>IF(I528="","",I528*SETTINGS!$B$10)</f>
        <v/>
      </c>
      <c r="L528" s="15" t="str">
        <f t="shared" si="33"/>
        <v/>
      </c>
      <c r="M528" s="10" t="str">
        <f t="shared" si="34"/>
        <v/>
      </c>
      <c r="N528" s="10" t="str">
        <f t="shared" si="35"/>
        <v/>
      </c>
      <c r="O528" s="8"/>
    </row>
    <row r="529" spans="1:15" x14ac:dyDescent="0.2">
      <c r="A529" s="10" t="str">
        <f t="shared" si="32"/>
        <v/>
      </c>
      <c r="B529" s="8"/>
      <c r="C529" s="8"/>
      <c r="D529" s="8"/>
      <c r="E529" s="8" t="str">
        <f ca="1">IFERROR(_xludf.XLOOKUP(D529,STUDENTS!$A$5:$A$204,STUDENTS!$C$5:$C$204,""),"")</f>
        <v/>
      </c>
      <c r="F529" s="8" t="str">
        <f ca="1">IFERROR(_xludf.XLOOKUP(D529,STUDENTS!$A$5:$A$204,STUDENTS!$L$5:$L$204,""),"")</f>
        <v/>
      </c>
      <c r="G529" s="8"/>
      <c r="H529" s="14"/>
      <c r="I529" s="14"/>
      <c r="J529" s="15" t="str">
        <f>IF(H529="","",H529*SETTINGS!$B$9)</f>
        <v/>
      </c>
      <c r="K529" s="15" t="str">
        <f>IF(I529="","",I529*SETTINGS!$B$10)</f>
        <v/>
      </c>
      <c r="L529" s="15" t="str">
        <f t="shared" si="33"/>
        <v/>
      </c>
      <c r="M529" s="10" t="str">
        <f t="shared" si="34"/>
        <v/>
      </c>
      <c r="N529" s="10" t="str">
        <f t="shared" si="35"/>
        <v/>
      </c>
      <c r="O529" s="8"/>
    </row>
    <row r="530" spans="1:15" x14ac:dyDescent="0.2">
      <c r="A530" s="10" t="str">
        <f t="shared" si="32"/>
        <v/>
      </c>
      <c r="B530" s="8"/>
      <c r="C530" s="8"/>
      <c r="D530" s="8"/>
      <c r="E530" s="8" t="str">
        <f ca="1">IFERROR(_xludf.XLOOKUP(D530,STUDENTS!$A$5:$A$204,STUDENTS!$C$5:$C$204,""),"")</f>
        <v/>
      </c>
      <c r="F530" s="8" t="str">
        <f ca="1">IFERROR(_xludf.XLOOKUP(D530,STUDENTS!$A$5:$A$204,STUDENTS!$L$5:$L$204,""),"")</f>
        <v/>
      </c>
      <c r="G530" s="8"/>
      <c r="H530" s="14"/>
      <c r="I530" s="14"/>
      <c r="J530" s="15" t="str">
        <f>IF(H530="","",H530*SETTINGS!$B$9)</f>
        <v/>
      </c>
      <c r="K530" s="15" t="str">
        <f>IF(I530="","",I530*SETTINGS!$B$10)</f>
        <v/>
      </c>
      <c r="L530" s="15" t="str">
        <f t="shared" si="33"/>
        <v/>
      </c>
      <c r="M530" s="10" t="str">
        <f t="shared" si="34"/>
        <v/>
      </c>
      <c r="N530" s="10" t="str">
        <f t="shared" si="35"/>
        <v/>
      </c>
      <c r="O530" s="8"/>
    </row>
    <row r="531" spans="1:15" x14ac:dyDescent="0.2">
      <c r="A531" s="10" t="str">
        <f t="shared" si="32"/>
        <v/>
      </c>
      <c r="B531" s="8"/>
      <c r="C531" s="8"/>
      <c r="D531" s="8"/>
      <c r="E531" s="8" t="str">
        <f ca="1">IFERROR(_xludf.XLOOKUP(D531,STUDENTS!$A$5:$A$204,STUDENTS!$C$5:$C$204,""),"")</f>
        <v/>
      </c>
      <c r="F531" s="8" t="str">
        <f ca="1">IFERROR(_xludf.XLOOKUP(D531,STUDENTS!$A$5:$A$204,STUDENTS!$L$5:$L$204,""),"")</f>
        <v/>
      </c>
      <c r="G531" s="8"/>
      <c r="H531" s="14"/>
      <c r="I531" s="14"/>
      <c r="J531" s="15" t="str">
        <f>IF(H531="","",H531*SETTINGS!$B$9)</f>
        <v/>
      </c>
      <c r="K531" s="15" t="str">
        <f>IF(I531="","",I531*SETTINGS!$B$10)</f>
        <v/>
      </c>
      <c r="L531" s="15" t="str">
        <f t="shared" si="33"/>
        <v/>
      </c>
      <c r="M531" s="10" t="str">
        <f t="shared" si="34"/>
        <v/>
      </c>
      <c r="N531" s="10" t="str">
        <f t="shared" si="35"/>
        <v/>
      </c>
      <c r="O531" s="8"/>
    </row>
    <row r="532" spans="1:15" x14ac:dyDescent="0.2">
      <c r="A532" s="10" t="str">
        <f t="shared" si="32"/>
        <v/>
      </c>
      <c r="B532" s="8"/>
      <c r="C532" s="8"/>
      <c r="D532" s="8"/>
      <c r="E532" s="8" t="str">
        <f ca="1">IFERROR(_xludf.XLOOKUP(D532,STUDENTS!$A$5:$A$204,STUDENTS!$C$5:$C$204,""),"")</f>
        <v/>
      </c>
      <c r="F532" s="8" t="str">
        <f ca="1">IFERROR(_xludf.XLOOKUP(D532,STUDENTS!$A$5:$A$204,STUDENTS!$L$5:$L$204,""),"")</f>
        <v/>
      </c>
      <c r="G532" s="8"/>
      <c r="H532" s="14"/>
      <c r="I532" s="14"/>
      <c r="J532" s="15" t="str">
        <f>IF(H532="","",H532*SETTINGS!$B$9)</f>
        <v/>
      </c>
      <c r="K532" s="15" t="str">
        <f>IF(I532="","",I532*SETTINGS!$B$10)</f>
        <v/>
      </c>
      <c r="L532" s="15" t="str">
        <f t="shared" si="33"/>
        <v/>
      </c>
      <c r="M532" s="10" t="str">
        <f t="shared" si="34"/>
        <v/>
      </c>
      <c r="N532" s="10" t="str">
        <f t="shared" si="35"/>
        <v/>
      </c>
      <c r="O532" s="8"/>
    </row>
    <row r="533" spans="1:15" x14ac:dyDescent="0.2">
      <c r="A533" s="10" t="str">
        <f t="shared" si="32"/>
        <v/>
      </c>
      <c r="B533" s="8"/>
      <c r="C533" s="8"/>
      <c r="D533" s="8"/>
      <c r="E533" s="8" t="str">
        <f ca="1">IFERROR(_xludf.XLOOKUP(D533,STUDENTS!$A$5:$A$204,STUDENTS!$C$5:$C$204,""),"")</f>
        <v/>
      </c>
      <c r="F533" s="8" t="str">
        <f ca="1">IFERROR(_xludf.XLOOKUP(D533,STUDENTS!$A$5:$A$204,STUDENTS!$L$5:$L$204,""),"")</f>
        <v/>
      </c>
      <c r="G533" s="8"/>
      <c r="H533" s="14"/>
      <c r="I533" s="14"/>
      <c r="J533" s="15" t="str">
        <f>IF(H533="","",H533*SETTINGS!$B$9)</f>
        <v/>
      </c>
      <c r="K533" s="15" t="str">
        <f>IF(I533="","",I533*SETTINGS!$B$10)</f>
        <v/>
      </c>
      <c r="L533" s="15" t="str">
        <f t="shared" si="33"/>
        <v/>
      </c>
      <c r="M533" s="10" t="str">
        <f t="shared" si="34"/>
        <v/>
      </c>
      <c r="N533" s="10" t="str">
        <f t="shared" si="35"/>
        <v/>
      </c>
      <c r="O533" s="8"/>
    </row>
    <row r="534" spans="1:15" x14ac:dyDescent="0.2">
      <c r="A534" s="10" t="str">
        <f t="shared" si="32"/>
        <v/>
      </c>
      <c r="B534" s="8"/>
      <c r="C534" s="8"/>
      <c r="D534" s="8"/>
      <c r="E534" s="8" t="str">
        <f ca="1">IFERROR(_xludf.XLOOKUP(D534,STUDENTS!$A$5:$A$204,STUDENTS!$C$5:$C$204,""),"")</f>
        <v/>
      </c>
      <c r="F534" s="8" t="str">
        <f ca="1">IFERROR(_xludf.XLOOKUP(D534,STUDENTS!$A$5:$A$204,STUDENTS!$L$5:$L$204,""),"")</f>
        <v/>
      </c>
      <c r="G534" s="8"/>
      <c r="H534" s="14"/>
      <c r="I534" s="14"/>
      <c r="J534" s="15" t="str">
        <f>IF(H534="","",H534*SETTINGS!$B$9)</f>
        <v/>
      </c>
      <c r="K534" s="15" t="str">
        <f>IF(I534="","",I534*SETTINGS!$B$10)</f>
        <v/>
      </c>
      <c r="L534" s="15" t="str">
        <f t="shared" si="33"/>
        <v/>
      </c>
      <c r="M534" s="10" t="str">
        <f t="shared" si="34"/>
        <v/>
      </c>
      <c r="N534" s="10" t="str">
        <f t="shared" si="35"/>
        <v/>
      </c>
      <c r="O534" s="8"/>
    </row>
    <row r="535" spans="1:15" x14ac:dyDescent="0.2">
      <c r="A535" s="10" t="str">
        <f t="shared" si="32"/>
        <v/>
      </c>
      <c r="B535" s="8"/>
      <c r="C535" s="8"/>
      <c r="D535" s="8"/>
      <c r="E535" s="8" t="str">
        <f ca="1">IFERROR(_xludf.XLOOKUP(D535,STUDENTS!$A$5:$A$204,STUDENTS!$C$5:$C$204,""),"")</f>
        <v/>
      </c>
      <c r="F535" s="8" t="str">
        <f ca="1">IFERROR(_xludf.XLOOKUP(D535,STUDENTS!$A$5:$A$204,STUDENTS!$L$5:$L$204,""),"")</f>
        <v/>
      </c>
      <c r="G535" s="8"/>
      <c r="H535" s="14"/>
      <c r="I535" s="14"/>
      <c r="J535" s="15" t="str">
        <f>IF(H535="","",H535*SETTINGS!$B$9)</f>
        <v/>
      </c>
      <c r="K535" s="15" t="str">
        <f>IF(I535="","",I535*SETTINGS!$B$10)</f>
        <v/>
      </c>
      <c r="L535" s="15" t="str">
        <f t="shared" si="33"/>
        <v/>
      </c>
      <c r="M535" s="10" t="str">
        <f t="shared" si="34"/>
        <v/>
      </c>
      <c r="N535" s="10" t="str">
        <f t="shared" si="35"/>
        <v/>
      </c>
      <c r="O535" s="8"/>
    </row>
    <row r="536" spans="1:15" x14ac:dyDescent="0.2">
      <c r="A536" s="10" t="str">
        <f t="shared" si="32"/>
        <v/>
      </c>
      <c r="B536" s="8"/>
      <c r="C536" s="8"/>
      <c r="D536" s="8"/>
      <c r="E536" s="8" t="str">
        <f ca="1">IFERROR(_xludf.XLOOKUP(D536,STUDENTS!$A$5:$A$204,STUDENTS!$C$5:$C$204,""),"")</f>
        <v/>
      </c>
      <c r="F536" s="8" t="str">
        <f ca="1">IFERROR(_xludf.XLOOKUP(D536,STUDENTS!$A$5:$A$204,STUDENTS!$L$5:$L$204,""),"")</f>
        <v/>
      </c>
      <c r="G536" s="8"/>
      <c r="H536" s="14"/>
      <c r="I536" s="14"/>
      <c r="J536" s="15" t="str">
        <f>IF(H536="","",H536*SETTINGS!$B$9)</f>
        <v/>
      </c>
      <c r="K536" s="15" t="str">
        <f>IF(I536="","",I536*SETTINGS!$B$10)</f>
        <v/>
      </c>
      <c r="L536" s="15" t="str">
        <f t="shared" si="33"/>
        <v/>
      </c>
      <c r="M536" s="10" t="str">
        <f t="shared" si="34"/>
        <v/>
      </c>
      <c r="N536" s="10" t="str">
        <f t="shared" si="35"/>
        <v/>
      </c>
      <c r="O536" s="8"/>
    </row>
    <row r="537" spans="1:15" x14ac:dyDescent="0.2">
      <c r="A537" s="10" t="str">
        <f t="shared" si="32"/>
        <v/>
      </c>
      <c r="B537" s="8"/>
      <c r="C537" s="8"/>
      <c r="D537" s="8"/>
      <c r="E537" s="8" t="str">
        <f ca="1">IFERROR(_xludf.XLOOKUP(D537,STUDENTS!$A$5:$A$204,STUDENTS!$C$5:$C$204,""),"")</f>
        <v/>
      </c>
      <c r="F537" s="8" t="str">
        <f ca="1">IFERROR(_xludf.XLOOKUP(D537,STUDENTS!$A$5:$A$204,STUDENTS!$L$5:$L$204,""),"")</f>
        <v/>
      </c>
      <c r="G537" s="8"/>
      <c r="H537" s="14"/>
      <c r="I537" s="14"/>
      <c r="J537" s="15" t="str">
        <f>IF(H537="","",H537*SETTINGS!$B$9)</f>
        <v/>
      </c>
      <c r="K537" s="15" t="str">
        <f>IF(I537="","",I537*SETTINGS!$B$10)</f>
        <v/>
      </c>
      <c r="L537" s="15" t="str">
        <f t="shared" si="33"/>
        <v/>
      </c>
      <c r="M537" s="10" t="str">
        <f t="shared" si="34"/>
        <v/>
      </c>
      <c r="N537" s="10" t="str">
        <f t="shared" si="35"/>
        <v/>
      </c>
      <c r="O537" s="8"/>
    </row>
    <row r="538" spans="1:15" x14ac:dyDescent="0.2">
      <c r="A538" s="10" t="str">
        <f t="shared" si="32"/>
        <v/>
      </c>
      <c r="B538" s="8"/>
      <c r="C538" s="8"/>
      <c r="D538" s="8"/>
      <c r="E538" s="8" t="str">
        <f ca="1">IFERROR(_xludf.XLOOKUP(D538,STUDENTS!$A$5:$A$204,STUDENTS!$C$5:$C$204,""),"")</f>
        <v/>
      </c>
      <c r="F538" s="8" t="str">
        <f ca="1">IFERROR(_xludf.XLOOKUP(D538,STUDENTS!$A$5:$A$204,STUDENTS!$L$5:$L$204,""),"")</f>
        <v/>
      </c>
      <c r="G538" s="8"/>
      <c r="H538" s="14"/>
      <c r="I538" s="14"/>
      <c r="J538" s="15" t="str">
        <f>IF(H538="","",H538*SETTINGS!$B$9)</f>
        <v/>
      </c>
      <c r="K538" s="15" t="str">
        <f>IF(I538="","",I538*SETTINGS!$B$10)</f>
        <v/>
      </c>
      <c r="L538" s="15" t="str">
        <f t="shared" si="33"/>
        <v/>
      </c>
      <c r="M538" s="10" t="str">
        <f t="shared" si="34"/>
        <v/>
      </c>
      <c r="N538" s="10" t="str">
        <f t="shared" si="35"/>
        <v/>
      </c>
      <c r="O538" s="8"/>
    </row>
    <row r="539" spans="1:15" x14ac:dyDescent="0.2">
      <c r="A539" s="10" t="str">
        <f t="shared" si="32"/>
        <v/>
      </c>
      <c r="B539" s="8"/>
      <c r="C539" s="8"/>
      <c r="D539" s="8"/>
      <c r="E539" s="8" t="str">
        <f ca="1">IFERROR(_xludf.XLOOKUP(D539,STUDENTS!$A$5:$A$204,STUDENTS!$C$5:$C$204,""),"")</f>
        <v/>
      </c>
      <c r="F539" s="8" t="str">
        <f ca="1">IFERROR(_xludf.XLOOKUP(D539,STUDENTS!$A$5:$A$204,STUDENTS!$L$5:$L$204,""),"")</f>
        <v/>
      </c>
      <c r="G539" s="8"/>
      <c r="H539" s="14"/>
      <c r="I539" s="14"/>
      <c r="J539" s="15" t="str">
        <f>IF(H539="","",H539*SETTINGS!$B$9)</f>
        <v/>
      </c>
      <c r="K539" s="15" t="str">
        <f>IF(I539="","",I539*SETTINGS!$B$10)</f>
        <v/>
      </c>
      <c r="L539" s="15" t="str">
        <f t="shared" si="33"/>
        <v/>
      </c>
      <c r="M539" s="10" t="str">
        <f t="shared" si="34"/>
        <v/>
      </c>
      <c r="N539" s="10" t="str">
        <f t="shared" si="35"/>
        <v/>
      </c>
      <c r="O539" s="8"/>
    </row>
    <row r="540" spans="1:15" x14ac:dyDescent="0.2">
      <c r="A540" s="10" t="str">
        <f t="shared" si="32"/>
        <v/>
      </c>
      <c r="B540" s="8"/>
      <c r="C540" s="8"/>
      <c r="D540" s="8"/>
      <c r="E540" s="8" t="str">
        <f ca="1">IFERROR(_xludf.XLOOKUP(D540,STUDENTS!$A$5:$A$204,STUDENTS!$C$5:$C$204,""),"")</f>
        <v/>
      </c>
      <c r="F540" s="8" t="str">
        <f ca="1">IFERROR(_xludf.XLOOKUP(D540,STUDENTS!$A$5:$A$204,STUDENTS!$L$5:$L$204,""),"")</f>
        <v/>
      </c>
      <c r="G540" s="8"/>
      <c r="H540" s="14"/>
      <c r="I540" s="14"/>
      <c r="J540" s="15" t="str">
        <f>IF(H540="","",H540*SETTINGS!$B$9)</f>
        <v/>
      </c>
      <c r="K540" s="15" t="str">
        <f>IF(I540="","",I540*SETTINGS!$B$10)</f>
        <v/>
      </c>
      <c r="L540" s="15" t="str">
        <f t="shared" si="33"/>
        <v/>
      </c>
      <c r="M540" s="10" t="str">
        <f t="shared" si="34"/>
        <v/>
      </c>
      <c r="N540" s="10" t="str">
        <f t="shared" si="35"/>
        <v/>
      </c>
      <c r="O540" s="8"/>
    </row>
    <row r="541" spans="1:15" x14ac:dyDescent="0.2">
      <c r="A541" s="10" t="str">
        <f t="shared" si="32"/>
        <v/>
      </c>
      <c r="B541" s="8"/>
      <c r="C541" s="8"/>
      <c r="D541" s="8"/>
      <c r="E541" s="8" t="str">
        <f ca="1">IFERROR(_xludf.XLOOKUP(D541,STUDENTS!$A$5:$A$204,STUDENTS!$C$5:$C$204,""),"")</f>
        <v/>
      </c>
      <c r="F541" s="8" t="str">
        <f ca="1">IFERROR(_xludf.XLOOKUP(D541,STUDENTS!$A$5:$A$204,STUDENTS!$L$5:$L$204,""),"")</f>
        <v/>
      </c>
      <c r="G541" s="8"/>
      <c r="H541" s="14"/>
      <c r="I541" s="14"/>
      <c r="J541" s="15" t="str">
        <f>IF(H541="","",H541*SETTINGS!$B$9)</f>
        <v/>
      </c>
      <c r="K541" s="15" t="str">
        <f>IF(I541="","",I541*SETTINGS!$B$10)</f>
        <v/>
      </c>
      <c r="L541" s="15" t="str">
        <f t="shared" si="33"/>
        <v/>
      </c>
      <c r="M541" s="10" t="str">
        <f t="shared" si="34"/>
        <v/>
      </c>
      <c r="N541" s="10" t="str">
        <f t="shared" si="35"/>
        <v/>
      </c>
      <c r="O541" s="8"/>
    </row>
    <row r="542" spans="1:15" x14ac:dyDescent="0.2">
      <c r="A542" s="10" t="str">
        <f t="shared" si="32"/>
        <v/>
      </c>
      <c r="B542" s="8"/>
      <c r="C542" s="8"/>
      <c r="D542" s="8"/>
      <c r="E542" s="8" t="str">
        <f ca="1">IFERROR(_xludf.XLOOKUP(D542,STUDENTS!$A$5:$A$204,STUDENTS!$C$5:$C$204,""),"")</f>
        <v/>
      </c>
      <c r="F542" s="8" t="str">
        <f ca="1">IFERROR(_xludf.XLOOKUP(D542,STUDENTS!$A$5:$A$204,STUDENTS!$L$5:$L$204,""),"")</f>
        <v/>
      </c>
      <c r="G542" s="8"/>
      <c r="H542" s="14"/>
      <c r="I542" s="14"/>
      <c r="J542" s="15" t="str">
        <f>IF(H542="","",H542*SETTINGS!$B$9)</f>
        <v/>
      </c>
      <c r="K542" s="15" t="str">
        <f>IF(I542="","",I542*SETTINGS!$B$10)</f>
        <v/>
      </c>
      <c r="L542" s="15" t="str">
        <f t="shared" si="33"/>
        <v/>
      </c>
      <c r="M542" s="10" t="str">
        <f t="shared" si="34"/>
        <v/>
      </c>
      <c r="N542" s="10" t="str">
        <f t="shared" si="35"/>
        <v/>
      </c>
      <c r="O542" s="8"/>
    </row>
    <row r="543" spans="1:15" x14ac:dyDescent="0.2">
      <c r="A543" s="10" t="str">
        <f t="shared" si="32"/>
        <v/>
      </c>
      <c r="B543" s="8"/>
      <c r="C543" s="8"/>
      <c r="D543" s="8"/>
      <c r="E543" s="8" t="str">
        <f ca="1">IFERROR(_xludf.XLOOKUP(D543,STUDENTS!$A$5:$A$204,STUDENTS!$C$5:$C$204,""),"")</f>
        <v/>
      </c>
      <c r="F543" s="8" t="str">
        <f ca="1">IFERROR(_xludf.XLOOKUP(D543,STUDENTS!$A$5:$A$204,STUDENTS!$L$5:$L$204,""),"")</f>
        <v/>
      </c>
      <c r="G543" s="8"/>
      <c r="H543" s="14"/>
      <c r="I543" s="14"/>
      <c r="J543" s="15" t="str">
        <f>IF(H543="","",H543*SETTINGS!$B$9)</f>
        <v/>
      </c>
      <c r="K543" s="15" t="str">
        <f>IF(I543="","",I543*SETTINGS!$B$10)</f>
        <v/>
      </c>
      <c r="L543" s="15" t="str">
        <f t="shared" si="33"/>
        <v/>
      </c>
      <c r="M543" s="10" t="str">
        <f t="shared" si="34"/>
        <v/>
      </c>
      <c r="N543" s="10" t="str">
        <f t="shared" si="35"/>
        <v/>
      </c>
      <c r="O543" s="8"/>
    </row>
    <row r="544" spans="1:15" x14ac:dyDescent="0.2">
      <c r="A544" s="10" t="str">
        <f t="shared" si="32"/>
        <v/>
      </c>
      <c r="B544" s="8"/>
      <c r="C544" s="8"/>
      <c r="D544" s="8"/>
      <c r="E544" s="8" t="str">
        <f ca="1">IFERROR(_xludf.XLOOKUP(D544,STUDENTS!$A$5:$A$204,STUDENTS!$C$5:$C$204,""),"")</f>
        <v/>
      </c>
      <c r="F544" s="8" t="str">
        <f ca="1">IFERROR(_xludf.XLOOKUP(D544,STUDENTS!$A$5:$A$204,STUDENTS!$L$5:$L$204,""),"")</f>
        <v/>
      </c>
      <c r="G544" s="8"/>
      <c r="H544" s="14"/>
      <c r="I544" s="14"/>
      <c r="J544" s="15" t="str">
        <f>IF(H544="","",H544*SETTINGS!$B$9)</f>
        <v/>
      </c>
      <c r="K544" s="15" t="str">
        <f>IF(I544="","",I544*SETTINGS!$B$10)</f>
        <v/>
      </c>
      <c r="L544" s="15" t="str">
        <f t="shared" si="33"/>
        <v/>
      </c>
      <c r="M544" s="10" t="str">
        <f t="shared" si="34"/>
        <v/>
      </c>
      <c r="N544" s="10" t="str">
        <f t="shared" si="35"/>
        <v/>
      </c>
      <c r="O544" s="8"/>
    </row>
    <row r="545" spans="1:15" x14ac:dyDescent="0.2">
      <c r="A545" s="10" t="str">
        <f t="shared" si="32"/>
        <v/>
      </c>
      <c r="B545" s="8"/>
      <c r="C545" s="8"/>
      <c r="D545" s="8"/>
      <c r="E545" s="8" t="str">
        <f ca="1">IFERROR(_xludf.XLOOKUP(D545,STUDENTS!$A$5:$A$204,STUDENTS!$C$5:$C$204,""),"")</f>
        <v/>
      </c>
      <c r="F545" s="8" t="str">
        <f ca="1">IFERROR(_xludf.XLOOKUP(D545,STUDENTS!$A$5:$A$204,STUDENTS!$L$5:$L$204,""),"")</f>
        <v/>
      </c>
      <c r="G545" s="8"/>
      <c r="H545" s="14"/>
      <c r="I545" s="14"/>
      <c r="J545" s="15" t="str">
        <f>IF(H545="","",H545*SETTINGS!$B$9)</f>
        <v/>
      </c>
      <c r="K545" s="15" t="str">
        <f>IF(I545="","",I545*SETTINGS!$B$10)</f>
        <v/>
      </c>
      <c r="L545" s="15" t="str">
        <f t="shared" si="33"/>
        <v/>
      </c>
      <c r="M545" s="10" t="str">
        <f t="shared" si="34"/>
        <v/>
      </c>
      <c r="N545" s="10" t="str">
        <f t="shared" si="35"/>
        <v/>
      </c>
      <c r="O545" s="8"/>
    </row>
    <row r="546" spans="1:15" x14ac:dyDescent="0.2">
      <c r="A546" s="10" t="str">
        <f t="shared" si="32"/>
        <v/>
      </c>
      <c r="B546" s="8"/>
      <c r="C546" s="8"/>
      <c r="D546" s="8"/>
      <c r="E546" s="8" t="str">
        <f ca="1">IFERROR(_xludf.XLOOKUP(D546,STUDENTS!$A$5:$A$204,STUDENTS!$C$5:$C$204,""),"")</f>
        <v/>
      </c>
      <c r="F546" s="8" t="str">
        <f ca="1">IFERROR(_xludf.XLOOKUP(D546,STUDENTS!$A$5:$A$204,STUDENTS!$L$5:$L$204,""),"")</f>
        <v/>
      </c>
      <c r="G546" s="8"/>
      <c r="H546" s="14"/>
      <c r="I546" s="14"/>
      <c r="J546" s="15" t="str">
        <f>IF(H546="","",H546*SETTINGS!$B$9)</f>
        <v/>
      </c>
      <c r="K546" s="15" t="str">
        <f>IF(I546="","",I546*SETTINGS!$B$10)</f>
        <v/>
      </c>
      <c r="L546" s="15" t="str">
        <f t="shared" si="33"/>
        <v/>
      </c>
      <c r="M546" s="10" t="str">
        <f t="shared" si="34"/>
        <v/>
      </c>
      <c r="N546" s="10" t="str">
        <f t="shared" si="35"/>
        <v/>
      </c>
      <c r="O546" s="8"/>
    </row>
    <row r="547" spans="1:15" x14ac:dyDescent="0.2">
      <c r="A547" s="10" t="str">
        <f t="shared" si="32"/>
        <v/>
      </c>
      <c r="B547" s="8"/>
      <c r="C547" s="8"/>
      <c r="D547" s="8"/>
      <c r="E547" s="8" t="str">
        <f ca="1">IFERROR(_xludf.XLOOKUP(D547,STUDENTS!$A$5:$A$204,STUDENTS!$C$5:$C$204,""),"")</f>
        <v/>
      </c>
      <c r="F547" s="8" t="str">
        <f ca="1">IFERROR(_xludf.XLOOKUP(D547,STUDENTS!$A$5:$A$204,STUDENTS!$L$5:$L$204,""),"")</f>
        <v/>
      </c>
      <c r="G547" s="8"/>
      <c r="H547" s="14"/>
      <c r="I547" s="14"/>
      <c r="J547" s="15" t="str">
        <f>IF(H547="","",H547*SETTINGS!$B$9)</f>
        <v/>
      </c>
      <c r="K547" s="15" t="str">
        <f>IF(I547="","",I547*SETTINGS!$B$10)</f>
        <v/>
      </c>
      <c r="L547" s="15" t="str">
        <f t="shared" si="33"/>
        <v/>
      </c>
      <c r="M547" s="10" t="str">
        <f t="shared" si="34"/>
        <v/>
      </c>
      <c r="N547" s="10" t="str">
        <f t="shared" si="35"/>
        <v/>
      </c>
      <c r="O547" s="8"/>
    </row>
    <row r="548" spans="1:15" x14ac:dyDescent="0.2">
      <c r="A548" s="10" t="str">
        <f t="shared" si="32"/>
        <v/>
      </c>
      <c r="B548" s="8"/>
      <c r="C548" s="8"/>
      <c r="D548" s="8"/>
      <c r="E548" s="8" t="str">
        <f ca="1">IFERROR(_xludf.XLOOKUP(D548,STUDENTS!$A$5:$A$204,STUDENTS!$C$5:$C$204,""),"")</f>
        <v/>
      </c>
      <c r="F548" s="8" t="str">
        <f ca="1">IFERROR(_xludf.XLOOKUP(D548,STUDENTS!$A$5:$A$204,STUDENTS!$L$5:$L$204,""),"")</f>
        <v/>
      </c>
      <c r="G548" s="8"/>
      <c r="H548" s="14"/>
      <c r="I548" s="14"/>
      <c r="J548" s="15" t="str">
        <f>IF(H548="","",H548*SETTINGS!$B$9)</f>
        <v/>
      </c>
      <c r="K548" s="15" t="str">
        <f>IF(I548="","",I548*SETTINGS!$B$10)</f>
        <v/>
      </c>
      <c r="L548" s="15" t="str">
        <f t="shared" si="33"/>
        <v/>
      </c>
      <c r="M548" s="10" t="str">
        <f t="shared" si="34"/>
        <v/>
      </c>
      <c r="N548" s="10" t="str">
        <f t="shared" si="35"/>
        <v/>
      </c>
      <c r="O548" s="8"/>
    </row>
    <row r="549" spans="1:15" x14ac:dyDescent="0.2">
      <c r="A549" s="10" t="str">
        <f t="shared" si="32"/>
        <v/>
      </c>
      <c r="B549" s="8"/>
      <c r="C549" s="8"/>
      <c r="D549" s="8"/>
      <c r="E549" s="8" t="str">
        <f ca="1">IFERROR(_xludf.XLOOKUP(D549,STUDENTS!$A$5:$A$204,STUDENTS!$C$5:$C$204,""),"")</f>
        <v/>
      </c>
      <c r="F549" s="8" t="str">
        <f ca="1">IFERROR(_xludf.XLOOKUP(D549,STUDENTS!$A$5:$A$204,STUDENTS!$L$5:$L$204,""),"")</f>
        <v/>
      </c>
      <c r="G549" s="8"/>
      <c r="H549" s="14"/>
      <c r="I549" s="14"/>
      <c r="J549" s="15" t="str">
        <f>IF(H549="","",H549*SETTINGS!$B$9)</f>
        <v/>
      </c>
      <c r="K549" s="15" t="str">
        <f>IF(I549="","",I549*SETTINGS!$B$10)</f>
        <v/>
      </c>
      <c r="L549" s="15" t="str">
        <f t="shared" si="33"/>
        <v/>
      </c>
      <c r="M549" s="10" t="str">
        <f t="shared" si="34"/>
        <v/>
      </c>
      <c r="N549" s="10" t="str">
        <f t="shared" si="35"/>
        <v/>
      </c>
      <c r="O549" s="8"/>
    </row>
    <row r="550" spans="1:15" x14ac:dyDescent="0.2">
      <c r="A550" s="10" t="str">
        <f t="shared" si="32"/>
        <v/>
      </c>
      <c r="B550" s="8"/>
      <c r="C550" s="8"/>
      <c r="D550" s="8"/>
      <c r="E550" s="8" t="str">
        <f ca="1">IFERROR(_xludf.XLOOKUP(D550,STUDENTS!$A$5:$A$204,STUDENTS!$C$5:$C$204,""),"")</f>
        <v/>
      </c>
      <c r="F550" s="8" t="str">
        <f ca="1">IFERROR(_xludf.XLOOKUP(D550,STUDENTS!$A$5:$A$204,STUDENTS!$L$5:$L$204,""),"")</f>
        <v/>
      </c>
      <c r="G550" s="8"/>
      <c r="H550" s="14"/>
      <c r="I550" s="14"/>
      <c r="J550" s="15" t="str">
        <f>IF(H550="","",H550*SETTINGS!$B$9)</f>
        <v/>
      </c>
      <c r="K550" s="15" t="str">
        <f>IF(I550="","",I550*SETTINGS!$B$10)</f>
        <v/>
      </c>
      <c r="L550" s="15" t="str">
        <f t="shared" si="33"/>
        <v/>
      </c>
      <c r="M550" s="10" t="str">
        <f t="shared" si="34"/>
        <v/>
      </c>
      <c r="N550" s="10" t="str">
        <f t="shared" si="35"/>
        <v/>
      </c>
      <c r="O550" s="8"/>
    </row>
    <row r="551" spans="1:15" x14ac:dyDescent="0.2">
      <c r="A551" s="10" t="str">
        <f t="shared" si="32"/>
        <v/>
      </c>
      <c r="B551" s="8"/>
      <c r="C551" s="8"/>
      <c r="D551" s="8"/>
      <c r="E551" s="8" t="str">
        <f ca="1">IFERROR(_xludf.XLOOKUP(D551,STUDENTS!$A$5:$A$204,STUDENTS!$C$5:$C$204,""),"")</f>
        <v/>
      </c>
      <c r="F551" s="8" t="str">
        <f ca="1">IFERROR(_xludf.XLOOKUP(D551,STUDENTS!$A$5:$A$204,STUDENTS!$L$5:$L$204,""),"")</f>
        <v/>
      </c>
      <c r="G551" s="8"/>
      <c r="H551" s="14"/>
      <c r="I551" s="14"/>
      <c r="J551" s="15" t="str">
        <f>IF(H551="","",H551*SETTINGS!$B$9)</f>
        <v/>
      </c>
      <c r="K551" s="15" t="str">
        <f>IF(I551="","",I551*SETTINGS!$B$10)</f>
        <v/>
      </c>
      <c r="L551" s="15" t="str">
        <f t="shared" si="33"/>
        <v/>
      </c>
      <c r="M551" s="10" t="str">
        <f t="shared" si="34"/>
        <v/>
      </c>
      <c r="N551" s="10" t="str">
        <f t="shared" si="35"/>
        <v/>
      </c>
      <c r="O551" s="8"/>
    </row>
    <row r="552" spans="1:15" x14ac:dyDescent="0.2">
      <c r="A552" s="10" t="str">
        <f t="shared" si="32"/>
        <v/>
      </c>
      <c r="B552" s="8"/>
      <c r="C552" s="8"/>
      <c r="D552" s="8"/>
      <c r="E552" s="8" t="str">
        <f ca="1">IFERROR(_xludf.XLOOKUP(D552,STUDENTS!$A$5:$A$204,STUDENTS!$C$5:$C$204,""),"")</f>
        <v/>
      </c>
      <c r="F552" s="8" t="str">
        <f ca="1">IFERROR(_xludf.XLOOKUP(D552,STUDENTS!$A$5:$A$204,STUDENTS!$L$5:$L$204,""),"")</f>
        <v/>
      </c>
      <c r="G552" s="8"/>
      <c r="H552" s="14"/>
      <c r="I552" s="14"/>
      <c r="J552" s="15" t="str">
        <f>IF(H552="","",H552*SETTINGS!$B$9)</f>
        <v/>
      </c>
      <c r="K552" s="15" t="str">
        <f>IF(I552="","",I552*SETTINGS!$B$10)</f>
        <v/>
      </c>
      <c r="L552" s="15" t="str">
        <f t="shared" si="33"/>
        <v/>
      </c>
      <c r="M552" s="10" t="str">
        <f t="shared" si="34"/>
        <v/>
      </c>
      <c r="N552" s="10" t="str">
        <f t="shared" si="35"/>
        <v/>
      </c>
      <c r="O552" s="8"/>
    </row>
    <row r="553" spans="1:15" x14ac:dyDescent="0.2">
      <c r="A553" s="10" t="str">
        <f t="shared" si="32"/>
        <v/>
      </c>
      <c r="B553" s="8"/>
      <c r="C553" s="8"/>
      <c r="D553" s="8"/>
      <c r="E553" s="8" t="str">
        <f ca="1">IFERROR(_xludf.XLOOKUP(D553,STUDENTS!$A$5:$A$204,STUDENTS!$C$5:$C$204,""),"")</f>
        <v/>
      </c>
      <c r="F553" s="8" t="str">
        <f ca="1">IFERROR(_xludf.XLOOKUP(D553,STUDENTS!$A$5:$A$204,STUDENTS!$L$5:$L$204,""),"")</f>
        <v/>
      </c>
      <c r="G553" s="8"/>
      <c r="H553" s="14"/>
      <c r="I553" s="14"/>
      <c r="J553" s="15" t="str">
        <f>IF(H553="","",H553*SETTINGS!$B$9)</f>
        <v/>
      </c>
      <c r="K553" s="15" t="str">
        <f>IF(I553="","",I553*SETTINGS!$B$10)</f>
        <v/>
      </c>
      <c r="L553" s="15" t="str">
        <f t="shared" si="33"/>
        <v/>
      </c>
      <c r="M553" s="10" t="str">
        <f t="shared" si="34"/>
        <v/>
      </c>
      <c r="N553" s="10" t="str">
        <f t="shared" si="35"/>
        <v/>
      </c>
      <c r="O553" s="8"/>
    </row>
    <row r="554" spans="1:15" x14ac:dyDescent="0.2">
      <c r="A554" s="10" t="str">
        <f t="shared" si="32"/>
        <v/>
      </c>
      <c r="B554" s="8"/>
      <c r="C554" s="8"/>
      <c r="D554" s="8"/>
      <c r="E554" s="8" t="str">
        <f ca="1">IFERROR(_xludf.XLOOKUP(D554,STUDENTS!$A$5:$A$204,STUDENTS!$C$5:$C$204,""),"")</f>
        <v/>
      </c>
      <c r="F554" s="8" t="str">
        <f ca="1">IFERROR(_xludf.XLOOKUP(D554,STUDENTS!$A$5:$A$204,STUDENTS!$L$5:$L$204,""),"")</f>
        <v/>
      </c>
      <c r="G554" s="8"/>
      <c r="H554" s="14"/>
      <c r="I554" s="14"/>
      <c r="J554" s="15" t="str">
        <f>IF(H554="","",H554*SETTINGS!$B$9)</f>
        <v/>
      </c>
      <c r="K554" s="15" t="str">
        <f>IF(I554="","",I554*SETTINGS!$B$10)</f>
        <v/>
      </c>
      <c r="L554" s="15" t="str">
        <f t="shared" si="33"/>
        <v/>
      </c>
      <c r="M554" s="10" t="str">
        <f t="shared" si="34"/>
        <v/>
      </c>
      <c r="N554" s="10" t="str">
        <f t="shared" si="35"/>
        <v/>
      </c>
      <c r="O554" s="8"/>
    </row>
    <row r="555" spans="1:15" x14ac:dyDescent="0.2">
      <c r="A555" s="10" t="str">
        <f t="shared" si="32"/>
        <v/>
      </c>
      <c r="B555" s="8"/>
      <c r="C555" s="8"/>
      <c r="D555" s="8"/>
      <c r="E555" s="8" t="str">
        <f ca="1">IFERROR(_xludf.XLOOKUP(D555,STUDENTS!$A$5:$A$204,STUDENTS!$C$5:$C$204,""),"")</f>
        <v/>
      </c>
      <c r="F555" s="8" t="str">
        <f ca="1">IFERROR(_xludf.XLOOKUP(D555,STUDENTS!$A$5:$A$204,STUDENTS!$L$5:$L$204,""),"")</f>
        <v/>
      </c>
      <c r="G555" s="8"/>
      <c r="H555" s="14"/>
      <c r="I555" s="14"/>
      <c r="J555" s="15" t="str">
        <f>IF(H555="","",H555*SETTINGS!$B$9)</f>
        <v/>
      </c>
      <c r="K555" s="15" t="str">
        <f>IF(I555="","",I555*SETTINGS!$B$10)</f>
        <v/>
      </c>
      <c r="L555" s="15" t="str">
        <f t="shared" si="33"/>
        <v/>
      </c>
      <c r="M555" s="10" t="str">
        <f t="shared" si="34"/>
        <v/>
      </c>
      <c r="N555" s="10" t="str">
        <f t="shared" si="35"/>
        <v/>
      </c>
      <c r="O555" s="8"/>
    </row>
    <row r="556" spans="1:15" x14ac:dyDescent="0.2">
      <c r="A556" s="10" t="str">
        <f t="shared" si="32"/>
        <v/>
      </c>
      <c r="B556" s="8"/>
      <c r="C556" s="8"/>
      <c r="D556" s="8"/>
      <c r="E556" s="8" t="str">
        <f ca="1">IFERROR(_xludf.XLOOKUP(D556,STUDENTS!$A$5:$A$204,STUDENTS!$C$5:$C$204,""),"")</f>
        <v/>
      </c>
      <c r="F556" s="8" t="str">
        <f ca="1">IFERROR(_xludf.XLOOKUP(D556,STUDENTS!$A$5:$A$204,STUDENTS!$L$5:$L$204,""),"")</f>
        <v/>
      </c>
      <c r="G556" s="8"/>
      <c r="H556" s="14"/>
      <c r="I556" s="14"/>
      <c r="J556" s="15" t="str">
        <f>IF(H556="","",H556*SETTINGS!$B$9)</f>
        <v/>
      </c>
      <c r="K556" s="15" t="str">
        <f>IF(I556="","",I556*SETTINGS!$B$10)</f>
        <v/>
      </c>
      <c r="L556" s="15" t="str">
        <f t="shared" si="33"/>
        <v/>
      </c>
      <c r="M556" s="10" t="str">
        <f t="shared" si="34"/>
        <v/>
      </c>
      <c r="N556" s="10" t="str">
        <f t="shared" si="35"/>
        <v/>
      </c>
      <c r="O556" s="8"/>
    </row>
    <row r="557" spans="1:15" x14ac:dyDescent="0.2">
      <c r="A557" s="10" t="str">
        <f t="shared" si="32"/>
        <v/>
      </c>
      <c r="B557" s="8"/>
      <c r="C557" s="8"/>
      <c r="D557" s="8"/>
      <c r="E557" s="8" t="str">
        <f ca="1">IFERROR(_xludf.XLOOKUP(D557,STUDENTS!$A$5:$A$204,STUDENTS!$C$5:$C$204,""),"")</f>
        <v/>
      </c>
      <c r="F557" s="8" t="str">
        <f ca="1">IFERROR(_xludf.XLOOKUP(D557,STUDENTS!$A$5:$A$204,STUDENTS!$L$5:$L$204,""),"")</f>
        <v/>
      </c>
      <c r="G557" s="8"/>
      <c r="H557" s="14"/>
      <c r="I557" s="14"/>
      <c r="J557" s="15" t="str">
        <f>IF(H557="","",H557*SETTINGS!$B$9)</f>
        <v/>
      </c>
      <c r="K557" s="15" t="str">
        <f>IF(I557="","",I557*SETTINGS!$B$10)</f>
        <v/>
      </c>
      <c r="L557" s="15" t="str">
        <f t="shared" si="33"/>
        <v/>
      </c>
      <c r="M557" s="10" t="str">
        <f t="shared" si="34"/>
        <v/>
      </c>
      <c r="N557" s="10" t="str">
        <f t="shared" si="35"/>
        <v/>
      </c>
      <c r="O557" s="8"/>
    </row>
    <row r="558" spans="1:15" x14ac:dyDescent="0.2">
      <c r="A558" s="10" t="str">
        <f t="shared" si="32"/>
        <v/>
      </c>
      <c r="B558" s="8"/>
      <c r="C558" s="8"/>
      <c r="D558" s="8"/>
      <c r="E558" s="8" t="str">
        <f ca="1">IFERROR(_xludf.XLOOKUP(D558,STUDENTS!$A$5:$A$204,STUDENTS!$C$5:$C$204,""),"")</f>
        <v/>
      </c>
      <c r="F558" s="8" t="str">
        <f ca="1">IFERROR(_xludf.XLOOKUP(D558,STUDENTS!$A$5:$A$204,STUDENTS!$L$5:$L$204,""),"")</f>
        <v/>
      </c>
      <c r="G558" s="8"/>
      <c r="H558" s="14"/>
      <c r="I558" s="14"/>
      <c r="J558" s="15" t="str">
        <f>IF(H558="","",H558*SETTINGS!$B$9)</f>
        <v/>
      </c>
      <c r="K558" s="15" t="str">
        <f>IF(I558="","",I558*SETTINGS!$B$10)</f>
        <v/>
      </c>
      <c r="L558" s="15" t="str">
        <f t="shared" si="33"/>
        <v/>
      </c>
      <c r="M558" s="10" t="str">
        <f t="shared" si="34"/>
        <v/>
      </c>
      <c r="N558" s="10" t="str">
        <f t="shared" si="35"/>
        <v/>
      </c>
      <c r="O558" s="8"/>
    </row>
    <row r="559" spans="1:15" x14ac:dyDescent="0.2">
      <c r="A559" s="10" t="str">
        <f t="shared" si="32"/>
        <v/>
      </c>
      <c r="B559" s="8"/>
      <c r="C559" s="8"/>
      <c r="D559" s="8"/>
      <c r="E559" s="8" t="str">
        <f ca="1">IFERROR(_xludf.XLOOKUP(D559,STUDENTS!$A$5:$A$204,STUDENTS!$C$5:$C$204,""),"")</f>
        <v/>
      </c>
      <c r="F559" s="8" t="str">
        <f ca="1">IFERROR(_xludf.XLOOKUP(D559,STUDENTS!$A$5:$A$204,STUDENTS!$L$5:$L$204,""),"")</f>
        <v/>
      </c>
      <c r="G559" s="8"/>
      <c r="H559" s="14"/>
      <c r="I559" s="14"/>
      <c r="J559" s="15" t="str">
        <f>IF(H559="","",H559*SETTINGS!$B$9)</f>
        <v/>
      </c>
      <c r="K559" s="15" t="str">
        <f>IF(I559="","",I559*SETTINGS!$B$10)</f>
        <v/>
      </c>
      <c r="L559" s="15" t="str">
        <f t="shared" si="33"/>
        <v/>
      </c>
      <c r="M559" s="10" t="str">
        <f t="shared" si="34"/>
        <v/>
      </c>
      <c r="N559" s="10" t="str">
        <f t="shared" si="35"/>
        <v/>
      </c>
      <c r="O559" s="8"/>
    </row>
    <row r="560" spans="1:15" x14ac:dyDescent="0.2">
      <c r="A560" s="10" t="str">
        <f t="shared" si="32"/>
        <v/>
      </c>
      <c r="B560" s="8"/>
      <c r="C560" s="8"/>
      <c r="D560" s="8"/>
      <c r="E560" s="8" t="str">
        <f ca="1">IFERROR(_xludf.XLOOKUP(D560,STUDENTS!$A$5:$A$204,STUDENTS!$C$5:$C$204,""),"")</f>
        <v/>
      </c>
      <c r="F560" s="8" t="str">
        <f ca="1">IFERROR(_xludf.XLOOKUP(D560,STUDENTS!$A$5:$A$204,STUDENTS!$L$5:$L$204,""),"")</f>
        <v/>
      </c>
      <c r="G560" s="8"/>
      <c r="H560" s="14"/>
      <c r="I560" s="14"/>
      <c r="J560" s="15" t="str">
        <f>IF(H560="","",H560*SETTINGS!$B$9)</f>
        <v/>
      </c>
      <c r="K560" s="15" t="str">
        <f>IF(I560="","",I560*SETTINGS!$B$10)</f>
        <v/>
      </c>
      <c r="L560" s="15" t="str">
        <f t="shared" si="33"/>
        <v/>
      </c>
      <c r="M560" s="10" t="str">
        <f t="shared" si="34"/>
        <v/>
      </c>
      <c r="N560" s="10" t="str">
        <f t="shared" si="35"/>
        <v/>
      </c>
      <c r="O560" s="8"/>
    </row>
    <row r="561" spans="1:15" x14ac:dyDescent="0.2">
      <c r="A561" s="10" t="str">
        <f t="shared" si="32"/>
        <v/>
      </c>
      <c r="B561" s="8"/>
      <c r="C561" s="8"/>
      <c r="D561" s="8"/>
      <c r="E561" s="8" t="str">
        <f ca="1">IFERROR(_xludf.XLOOKUP(D561,STUDENTS!$A$5:$A$204,STUDENTS!$C$5:$C$204,""),"")</f>
        <v/>
      </c>
      <c r="F561" s="8" t="str">
        <f ca="1">IFERROR(_xludf.XLOOKUP(D561,STUDENTS!$A$5:$A$204,STUDENTS!$L$5:$L$204,""),"")</f>
        <v/>
      </c>
      <c r="G561" s="8"/>
      <c r="H561" s="14"/>
      <c r="I561" s="14"/>
      <c r="J561" s="15" t="str">
        <f>IF(H561="","",H561*SETTINGS!$B$9)</f>
        <v/>
      </c>
      <c r="K561" s="15" t="str">
        <f>IF(I561="","",I561*SETTINGS!$B$10)</f>
        <v/>
      </c>
      <c r="L561" s="15" t="str">
        <f t="shared" si="33"/>
        <v/>
      </c>
      <c r="M561" s="10" t="str">
        <f t="shared" si="34"/>
        <v/>
      </c>
      <c r="N561" s="10" t="str">
        <f t="shared" si="35"/>
        <v/>
      </c>
      <c r="O561" s="8"/>
    </row>
    <row r="562" spans="1:15" x14ac:dyDescent="0.2">
      <c r="A562" s="10" t="str">
        <f t="shared" si="32"/>
        <v/>
      </c>
      <c r="B562" s="8"/>
      <c r="C562" s="8"/>
      <c r="D562" s="8"/>
      <c r="E562" s="8" t="str">
        <f ca="1">IFERROR(_xludf.XLOOKUP(D562,STUDENTS!$A$5:$A$204,STUDENTS!$C$5:$C$204,""),"")</f>
        <v/>
      </c>
      <c r="F562" s="8" t="str">
        <f ca="1">IFERROR(_xludf.XLOOKUP(D562,STUDENTS!$A$5:$A$204,STUDENTS!$L$5:$L$204,""),"")</f>
        <v/>
      </c>
      <c r="G562" s="8"/>
      <c r="H562" s="14"/>
      <c r="I562" s="14"/>
      <c r="J562" s="15" t="str">
        <f>IF(H562="","",H562*SETTINGS!$B$9)</f>
        <v/>
      </c>
      <c r="K562" s="15" t="str">
        <f>IF(I562="","",I562*SETTINGS!$B$10)</f>
        <v/>
      </c>
      <c r="L562" s="15" t="str">
        <f t="shared" si="33"/>
        <v/>
      </c>
      <c r="M562" s="10" t="str">
        <f t="shared" si="34"/>
        <v/>
      </c>
      <c r="N562" s="10" t="str">
        <f t="shared" si="35"/>
        <v/>
      </c>
      <c r="O562" s="8"/>
    </row>
    <row r="563" spans="1:15" x14ac:dyDescent="0.2">
      <c r="A563" s="10" t="str">
        <f t="shared" si="32"/>
        <v/>
      </c>
      <c r="B563" s="8"/>
      <c r="C563" s="8"/>
      <c r="D563" s="8"/>
      <c r="E563" s="8" t="str">
        <f ca="1">IFERROR(_xludf.XLOOKUP(D563,STUDENTS!$A$5:$A$204,STUDENTS!$C$5:$C$204,""),"")</f>
        <v/>
      </c>
      <c r="F563" s="8" t="str">
        <f ca="1">IFERROR(_xludf.XLOOKUP(D563,STUDENTS!$A$5:$A$204,STUDENTS!$L$5:$L$204,""),"")</f>
        <v/>
      </c>
      <c r="G563" s="8"/>
      <c r="H563" s="14"/>
      <c r="I563" s="14"/>
      <c r="J563" s="15" t="str">
        <f>IF(H563="","",H563*SETTINGS!$B$9)</f>
        <v/>
      </c>
      <c r="K563" s="15" t="str">
        <f>IF(I563="","",I563*SETTINGS!$B$10)</f>
        <v/>
      </c>
      <c r="L563" s="15" t="str">
        <f t="shared" si="33"/>
        <v/>
      </c>
      <c r="M563" s="10" t="str">
        <f t="shared" si="34"/>
        <v/>
      </c>
      <c r="N563" s="10" t="str">
        <f t="shared" si="35"/>
        <v/>
      </c>
      <c r="O563" s="8"/>
    </row>
    <row r="564" spans="1:15" x14ac:dyDescent="0.2">
      <c r="A564" s="10" t="str">
        <f t="shared" si="32"/>
        <v/>
      </c>
      <c r="B564" s="8"/>
      <c r="C564" s="8"/>
      <c r="D564" s="8"/>
      <c r="E564" s="8" t="str">
        <f ca="1">IFERROR(_xludf.XLOOKUP(D564,STUDENTS!$A$5:$A$204,STUDENTS!$C$5:$C$204,""),"")</f>
        <v/>
      </c>
      <c r="F564" s="8" t="str">
        <f ca="1">IFERROR(_xludf.XLOOKUP(D564,STUDENTS!$A$5:$A$204,STUDENTS!$L$5:$L$204,""),"")</f>
        <v/>
      </c>
      <c r="G564" s="8"/>
      <c r="H564" s="14"/>
      <c r="I564" s="14"/>
      <c r="J564" s="15" t="str">
        <f>IF(H564="","",H564*SETTINGS!$B$9)</f>
        <v/>
      </c>
      <c r="K564" s="15" t="str">
        <f>IF(I564="","",I564*SETTINGS!$B$10)</f>
        <v/>
      </c>
      <c r="L564" s="15" t="str">
        <f t="shared" si="33"/>
        <v/>
      </c>
      <c r="M564" s="10" t="str">
        <f t="shared" si="34"/>
        <v/>
      </c>
      <c r="N564" s="10" t="str">
        <f t="shared" si="35"/>
        <v/>
      </c>
      <c r="O564" s="8"/>
    </row>
    <row r="565" spans="1:15" x14ac:dyDescent="0.2">
      <c r="A565" s="10" t="str">
        <f t="shared" si="32"/>
        <v/>
      </c>
      <c r="B565" s="8"/>
      <c r="C565" s="8"/>
      <c r="D565" s="8"/>
      <c r="E565" s="8" t="str">
        <f ca="1">IFERROR(_xludf.XLOOKUP(D565,STUDENTS!$A$5:$A$204,STUDENTS!$C$5:$C$204,""),"")</f>
        <v/>
      </c>
      <c r="F565" s="8" t="str">
        <f ca="1">IFERROR(_xludf.XLOOKUP(D565,STUDENTS!$A$5:$A$204,STUDENTS!$L$5:$L$204,""),"")</f>
        <v/>
      </c>
      <c r="G565" s="8"/>
      <c r="H565" s="14"/>
      <c r="I565" s="14"/>
      <c r="J565" s="15" t="str">
        <f>IF(H565="","",H565*SETTINGS!$B$9)</f>
        <v/>
      </c>
      <c r="K565" s="15" t="str">
        <f>IF(I565="","",I565*SETTINGS!$B$10)</f>
        <v/>
      </c>
      <c r="L565" s="15" t="str">
        <f t="shared" si="33"/>
        <v/>
      </c>
      <c r="M565" s="10" t="str">
        <f t="shared" si="34"/>
        <v/>
      </c>
      <c r="N565" s="10" t="str">
        <f t="shared" si="35"/>
        <v/>
      </c>
      <c r="O565" s="8"/>
    </row>
    <row r="566" spans="1:15" x14ac:dyDescent="0.2">
      <c r="A566" s="10" t="str">
        <f t="shared" si="32"/>
        <v/>
      </c>
      <c r="B566" s="8"/>
      <c r="C566" s="8"/>
      <c r="D566" s="8"/>
      <c r="E566" s="8" t="str">
        <f ca="1">IFERROR(_xludf.XLOOKUP(D566,STUDENTS!$A$5:$A$204,STUDENTS!$C$5:$C$204,""),"")</f>
        <v/>
      </c>
      <c r="F566" s="8" t="str">
        <f ca="1">IFERROR(_xludf.XLOOKUP(D566,STUDENTS!$A$5:$A$204,STUDENTS!$L$5:$L$204,""),"")</f>
        <v/>
      </c>
      <c r="G566" s="8"/>
      <c r="H566" s="14"/>
      <c r="I566" s="14"/>
      <c r="J566" s="15" t="str">
        <f>IF(H566="","",H566*SETTINGS!$B$9)</f>
        <v/>
      </c>
      <c r="K566" s="15" t="str">
        <f>IF(I566="","",I566*SETTINGS!$B$10)</f>
        <v/>
      </c>
      <c r="L566" s="15" t="str">
        <f t="shared" si="33"/>
        <v/>
      </c>
      <c r="M566" s="10" t="str">
        <f t="shared" si="34"/>
        <v/>
      </c>
      <c r="N566" s="10" t="str">
        <f t="shared" si="35"/>
        <v/>
      </c>
      <c r="O566" s="8"/>
    </row>
    <row r="567" spans="1:15" x14ac:dyDescent="0.2">
      <c r="A567" s="10" t="str">
        <f t="shared" si="32"/>
        <v/>
      </c>
      <c r="B567" s="8"/>
      <c r="C567" s="8"/>
      <c r="D567" s="8"/>
      <c r="E567" s="8" t="str">
        <f ca="1">IFERROR(_xludf.XLOOKUP(D567,STUDENTS!$A$5:$A$204,STUDENTS!$C$5:$C$204,""),"")</f>
        <v/>
      </c>
      <c r="F567" s="8" t="str">
        <f ca="1">IFERROR(_xludf.XLOOKUP(D567,STUDENTS!$A$5:$A$204,STUDENTS!$L$5:$L$204,""),"")</f>
        <v/>
      </c>
      <c r="G567" s="8"/>
      <c r="H567" s="14"/>
      <c r="I567" s="14"/>
      <c r="J567" s="15" t="str">
        <f>IF(H567="","",H567*SETTINGS!$B$9)</f>
        <v/>
      </c>
      <c r="K567" s="15" t="str">
        <f>IF(I567="","",I567*SETTINGS!$B$10)</f>
        <v/>
      </c>
      <c r="L567" s="15" t="str">
        <f t="shared" si="33"/>
        <v/>
      </c>
      <c r="M567" s="10" t="str">
        <f t="shared" si="34"/>
        <v/>
      </c>
      <c r="N567" s="10" t="str">
        <f t="shared" si="35"/>
        <v/>
      </c>
      <c r="O567" s="8"/>
    </row>
    <row r="568" spans="1:15" x14ac:dyDescent="0.2">
      <c r="A568" s="10" t="str">
        <f t="shared" si="32"/>
        <v/>
      </c>
      <c r="B568" s="8"/>
      <c r="C568" s="8"/>
      <c r="D568" s="8"/>
      <c r="E568" s="8" t="str">
        <f ca="1">IFERROR(_xludf.XLOOKUP(D568,STUDENTS!$A$5:$A$204,STUDENTS!$C$5:$C$204,""),"")</f>
        <v/>
      </c>
      <c r="F568" s="8" t="str">
        <f ca="1">IFERROR(_xludf.XLOOKUP(D568,STUDENTS!$A$5:$A$204,STUDENTS!$L$5:$L$204,""),"")</f>
        <v/>
      </c>
      <c r="G568" s="8"/>
      <c r="H568" s="14"/>
      <c r="I568" s="14"/>
      <c r="J568" s="15" t="str">
        <f>IF(H568="","",H568*SETTINGS!$B$9)</f>
        <v/>
      </c>
      <c r="K568" s="15" t="str">
        <f>IF(I568="","",I568*SETTINGS!$B$10)</f>
        <v/>
      </c>
      <c r="L568" s="15" t="str">
        <f t="shared" si="33"/>
        <v/>
      </c>
      <c r="M568" s="10" t="str">
        <f t="shared" si="34"/>
        <v/>
      </c>
      <c r="N568" s="10" t="str">
        <f t="shared" si="35"/>
        <v/>
      </c>
      <c r="O568" s="8"/>
    </row>
    <row r="569" spans="1:15" x14ac:dyDescent="0.2">
      <c r="A569" s="10" t="str">
        <f t="shared" si="32"/>
        <v/>
      </c>
      <c r="B569" s="8"/>
      <c r="C569" s="8"/>
      <c r="D569" s="8"/>
      <c r="E569" s="8" t="str">
        <f ca="1">IFERROR(_xludf.XLOOKUP(D569,STUDENTS!$A$5:$A$204,STUDENTS!$C$5:$C$204,""),"")</f>
        <v/>
      </c>
      <c r="F569" s="8" t="str">
        <f ca="1">IFERROR(_xludf.XLOOKUP(D569,STUDENTS!$A$5:$A$204,STUDENTS!$L$5:$L$204,""),"")</f>
        <v/>
      </c>
      <c r="G569" s="8"/>
      <c r="H569" s="14"/>
      <c r="I569" s="14"/>
      <c r="J569" s="15" t="str">
        <f>IF(H569="","",H569*SETTINGS!$B$9)</f>
        <v/>
      </c>
      <c r="K569" s="15" t="str">
        <f>IF(I569="","",I569*SETTINGS!$B$10)</f>
        <v/>
      </c>
      <c r="L569" s="15" t="str">
        <f t="shared" si="33"/>
        <v/>
      </c>
      <c r="M569" s="10" t="str">
        <f t="shared" si="34"/>
        <v/>
      </c>
      <c r="N569" s="10" t="str">
        <f t="shared" si="35"/>
        <v/>
      </c>
      <c r="O569" s="8"/>
    </row>
    <row r="570" spans="1:15" x14ac:dyDescent="0.2">
      <c r="A570" s="10" t="str">
        <f t="shared" si="32"/>
        <v/>
      </c>
      <c r="B570" s="8"/>
      <c r="C570" s="8"/>
      <c r="D570" s="8"/>
      <c r="E570" s="8" t="str">
        <f ca="1">IFERROR(_xludf.XLOOKUP(D570,STUDENTS!$A$5:$A$204,STUDENTS!$C$5:$C$204,""),"")</f>
        <v/>
      </c>
      <c r="F570" s="8" t="str">
        <f ca="1">IFERROR(_xludf.XLOOKUP(D570,STUDENTS!$A$5:$A$204,STUDENTS!$L$5:$L$204,""),"")</f>
        <v/>
      </c>
      <c r="G570" s="8"/>
      <c r="H570" s="14"/>
      <c r="I570" s="14"/>
      <c r="J570" s="15" t="str">
        <f>IF(H570="","",H570*SETTINGS!$B$9)</f>
        <v/>
      </c>
      <c r="K570" s="15" t="str">
        <f>IF(I570="","",I570*SETTINGS!$B$10)</f>
        <v/>
      </c>
      <c r="L570" s="15" t="str">
        <f t="shared" si="33"/>
        <v/>
      </c>
      <c r="M570" s="10" t="str">
        <f t="shared" si="34"/>
        <v/>
      </c>
      <c r="N570" s="10" t="str">
        <f t="shared" si="35"/>
        <v/>
      </c>
      <c r="O570" s="8"/>
    </row>
    <row r="571" spans="1:15" x14ac:dyDescent="0.2">
      <c r="A571" s="10" t="str">
        <f t="shared" si="32"/>
        <v/>
      </c>
      <c r="B571" s="8"/>
      <c r="C571" s="8"/>
      <c r="D571" s="8"/>
      <c r="E571" s="8" t="str">
        <f ca="1">IFERROR(_xludf.XLOOKUP(D571,STUDENTS!$A$5:$A$204,STUDENTS!$C$5:$C$204,""),"")</f>
        <v/>
      </c>
      <c r="F571" s="8" t="str">
        <f ca="1">IFERROR(_xludf.XLOOKUP(D571,STUDENTS!$A$5:$A$204,STUDENTS!$L$5:$L$204,""),"")</f>
        <v/>
      </c>
      <c r="G571" s="8"/>
      <c r="H571" s="14"/>
      <c r="I571" s="14"/>
      <c r="J571" s="15" t="str">
        <f>IF(H571="","",H571*SETTINGS!$B$9)</f>
        <v/>
      </c>
      <c r="K571" s="15" t="str">
        <f>IF(I571="","",I571*SETTINGS!$B$10)</f>
        <v/>
      </c>
      <c r="L571" s="15" t="str">
        <f t="shared" si="33"/>
        <v/>
      </c>
      <c r="M571" s="10" t="str">
        <f t="shared" si="34"/>
        <v/>
      </c>
      <c r="N571" s="10" t="str">
        <f t="shared" si="35"/>
        <v/>
      </c>
      <c r="O571" s="8"/>
    </row>
    <row r="572" spans="1:15" x14ac:dyDescent="0.2">
      <c r="A572" s="10" t="str">
        <f t="shared" si="32"/>
        <v/>
      </c>
      <c r="B572" s="8"/>
      <c r="C572" s="8"/>
      <c r="D572" s="8"/>
      <c r="E572" s="8" t="str">
        <f ca="1">IFERROR(_xludf.XLOOKUP(D572,STUDENTS!$A$5:$A$204,STUDENTS!$C$5:$C$204,""),"")</f>
        <v/>
      </c>
      <c r="F572" s="8" t="str">
        <f ca="1">IFERROR(_xludf.XLOOKUP(D572,STUDENTS!$A$5:$A$204,STUDENTS!$L$5:$L$204,""),"")</f>
        <v/>
      </c>
      <c r="G572" s="8"/>
      <c r="H572" s="14"/>
      <c r="I572" s="14"/>
      <c r="J572" s="15" t="str">
        <f>IF(H572="","",H572*SETTINGS!$B$9)</f>
        <v/>
      </c>
      <c r="K572" s="15" t="str">
        <f>IF(I572="","",I572*SETTINGS!$B$10)</f>
        <v/>
      </c>
      <c r="L572" s="15" t="str">
        <f t="shared" si="33"/>
        <v/>
      </c>
      <c r="M572" s="10" t="str">
        <f t="shared" si="34"/>
        <v/>
      </c>
      <c r="N572" s="10" t="str">
        <f t="shared" si="35"/>
        <v/>
      </c>
      <c r="O572" s="8"/>
    </row>
    <row r="573" spans="1:15" x14ac:dyDescent="0.2">
      <c r="A573" s="10" t="str">
        <f t="shared" si="32"/>
        <v/>
      </c>
      <c r="B573" s="8"/>
      <c r="C573" s="8"/>
      <c r="D573" s="8"/>
      <c r="E573" s="8" t="str">
        <f ca="1">IFERROR(_xludf.XLOOKUP(D573,STUDENTS!$A$5:$A$204,STUDENTS!$C$5:$C$204,""),"")</f>
        <v/>
      </c>
      <c r="F573" s="8" t="str">
        <f ca="1">IFERROR(_xludf.XLOOKUP(D573,STUDENTS!$A$5:$A$204,STUDENTS!$L$5:$L$204,""),"")</f>
        <v/>
      </c>
      <c r="G573" s="8"/>
      <c r="H573" s="14"/>
      <c r="I573" s="14"/>
      <c r="J573" s="15" t="str">
        <f>IF(H573="","",H573*SETTINGS!$B$9)</f>
        <v/>
      </c>
      <c r="K573" s="15" t="str">
        <f>IF(I573="","",I573*SETTINGS!$B$10)</f>
        <v/>
      </c>
      <c r="L573" s="15" t="str">
        <f t="shared" si="33"/>
        <v/>
      </c>
      <c r="M573" s="10" t="str">
        <f t="shared" si="34"/>
        <v/>
      </c>
      <c r="N573" s="10" t="str">
        <f t="shared" si="35"/>
        <v/>
      </c>
      <c r="O573" s="8"/>
    </row>
    <row r="574" spans="1:15" x14ac:dyDescent="0.2">
      <c r="A574" s="10" t="str">
        <f t="shared" si="32"/>
        <v/>
      </c>
      <c r="B574" s="8"/>
      <c r="C574" s="8"/>
      <c r="D574" s="8"/>
      <c r="E574" s="8" t="str">
        <f ca="1">IFERROR(_xludf.XLOOKUP(D574,STUDENTS!$A$5:$A$204,STUDENTS!$C$5:$C$204,""),"")</f>
        <v/>
      </c>
      <c r="F574" s="8" t="str">
        <f ca="1">IFERROR(_xludf.XLOOKUP(D574,STUDENTS!$A$5:$A$204,STUDENTS!$L$5:$L$204,""),"")</f>
        <v/>
      </c>
      <c r="G574" s="8"/>
      <c r="H574" s="14"/>
      <c r="I574" s="14"/>
      <c r="J574" s="15" t="str">
        <f>IF(H574="","",H574*SETTINGS!$B$9)</f>
        <v/>
      </c>
      <c r="K574" s="15" t="str">
        <f>IF(I574="","",I574*SETTINGS!$B$10)</f>
        <v/>
      </c>
      <c r="L574" s="15" t="str">
        <f t="shared" si="33"/>
        <v/>
      </c>
      <c r="M574" s="10" t="str">
        <f t="shared" si="34"/>
        <v/>
      </c>
      <c r="N574" s="10" t="str">
        <f t="shared" si="35"/>
        <v/>
      </c>
      <c r="O574" s="8"/>
    </row>
    <row r="575" spans="1:15" x14ac:dyDescent="0.2">
      <c r="A575" s="10" t="str">
        <f t="shared" si="32"/>
        <v/>
      </c>
      <c r="B575" s="8"/>
      <c r="C575" s="8"/>
      <c r="D575" s="8"/>
      <c r="E575" s="8" t="str">
        <f ca="1">IFERROR(_xludf.XLOOKUP(D575,STUDENTS!$A$5:$A$204,STUDENTS!$C$5:$C$204,""),"")</f>
        <v/>
      </c>
      <c r="F575" s="8" t="str">
        <f ca="1">IFERROR(_xludf.XLOOKUP(D575,STUDENTS!$A$5:$A$204,STUDENTS!$L$5:$L$204,""),"")</f>
        <v/>
      </c>
      <c r="G575" s="8"/>
      <c r="H575" s="14"/>
      <c r="I575" s="14"/>
      <c r="J575" s="15" t="str">
        <f>IF(H575="","",H575*SETTINGS!$B$9)</f>
        <v/>
      </c>
      <c r="K575" s="15" t="str">
        <f>IF(I575="","",I575*SETTINGS!$B$10)</f>
        <v/>
      </c>
      <c r="L575" s="15" t="str">
        <f t="shared" si="33"/>
        <v/>
      </c>
      <c r="M575" s="10" t="str">
        <f t="shared" si="34"/>
        <v/>
      </c>
      <c r="N575" s="10" t="str">
        <f t="shared" si="35"/>
        <v/>
      </c>
      <c r="O575" s="8"/>
    </row>
    <row r="576" spans="1:15" x14ac:dyDescent="0.2">
      <c r="A576" s="10" t="str">
        <f t="shared" si="32"/>
        <v/>
      </c>
      <c r="B576" s="8"/>
      <c r="C576" s="8"/>
      <c r="D576" s="8"/>
      <c r="E576" s="8" t="str">
        <f ca="1">IFERROR(_xludf.XLOOKUP(D576,STUDENTS!$A$5:$A$204,STUDENTS!$C$5:$C$204,""),"")</f>
        <v/>
      </c>
      <c r="F576" s="8" t="str">
        <f ca="1">IFERROR(_xludf.XLOOKUP(D576,STUDENTS!$A$5:$A$204,STUDENTS!$L$5:$L$204,""),"")</f>
        <v/>
      </c>
      <c r="G576" s="8"/>
      <c r="H576" s="14"/>
      <c r="I576" s="14"/>
      <c r="J576" s="15" t="str">
        <f>IF(H576="","",H576*SETTINGS!$B$9)</f>
        <v/>
      </c>
      <c r="K576" s="15" t="str">
        <f>IF(I576="","",I576*SETTINGS!$B$10)</f>
        <v/>
      </c>
      <c r="L576" s="15" t="str">
        <f t="shared" si="33"/>
        <v/>
      </c>
      <c r="M576" s="10" t="str">
        <f t="shared" si="34"/>
        <v/>
      </c>
      <c r="N576" s="10" t="str">
        <f t="shared" si="35"/>
        <v/>
      </c>
      <c r="O576" s="8"/>
    </row>
    <row r="577" spans="1:15" x14ac:dyDescent="0.2">
      <c r="A577" s="10" t="str">
        <f t="shared" si="32"/>
        <v/>
      </c>
      <c r="B577" s="8"/>
      <c r="C577" s="8"/>
      <c r="D577" s="8"/>
      <c r="E577" s="8" t="str">
        <f ca="1">IFERROR(_xludf.XLOOKUP(D577,STUDENTS!$A$5:$A$204,STUDENTS!$C$5:$C$204,""),"")</f>
        <v/>
      </c>
      <c r="F577" s="8" t="str">
        <f ca="1">IFERROR(_xludf.XLOOKUP(D577,STUDENTS!$A$5:$A$204,STUDENTS!$L$5:$L$204,""),"")</f>
        <v/>
      </c>
      <c r="G577" s="8"/>
      <c r="H577" s="14"/>
      <c r="I577" s="14"/>
      <c r="J577" s="15" t="str">
        <f>IF(H577="","",H577*SETTINGS!$B$9)</f>
        <v/>
      </c>
      <c r="K577" s="15" t="str">
        <f>IF(I577="","",I577*SETTINGS!$B$10)</f>
        <v/>
      </c>
      <c r="L577" s="15" t="str">
        <f t="shared" si="33"/>
        <v/>
      </c>
      <c r="M577" s="10" t="str">
        <f t="shared" si="34"/>
        <v/>
      </c>
      <c r="N577" s="10" t="str">
        <f t="shared" si="35"/>
        <v/>
      </c>
      <c r="O577" s="8"/>
    </row>
    <row r="578" spans="1:15" x14ac:dyDescent="0.2">
      <c r="A578" s="10" t="str">
        <f t="shared" si="32"/>
        <v/>
      </c>
      <c r="B578" s="8"/>
      <c r="C578" s="8"/>
      <c r="D578" s="8"/>
      <c r="E578" s="8" t="str">
        <f ca="1">IFERROR(_xludf.XLOOKUP(D578,STUDENTS!$A$5:$A$204,STUDENTS!$C$5:$C$204,""),"")</f>
        <v/>
      </c>
      <c r="F578" s="8" t="str">
        <f ca="1">IFERROR(_xludf.XLOOKUP(D578,STUDENTS!$A$5:$A$204,STUDENTS!$L$5:$L$204,""),"")</f>
        <v/>
      </c>
      <c r="G578" s="8"/>
      <c r="H578" s="14"/>
      <c r="I578" s="14"/>
      <c r="J578" s="15" t="str">
        <f>IF(H578="","",H578*SETTINGS!$B$9)</f>
        <v/>
      </c>
      <c r="K578" s="15" t="str">
        <f>IF(I578="","",I578*SETTINGS!$B$10)</f>
        <v/>
      </c>
      <c r="L578" s="15" t="str">
        <f t="shared" si="33"/>
        <v/>
      </c>
      <c r="M578" s="10" t="str">
        <f t="shared" si="34"/>
        <v/>
      </c>
      <c r="N578" s="10" t="str">
        <f t="shared" si="35"/>
        <v/>
      </c>
      <c r="O578" s="8"/>
    </row>
    <row r="579" spans="1:15" x14ac:dyDescent="0.2">
      <c r="A579" s="10" t="str">
        <f t="shared" si="32"/>
        <v/>
      </c>
      <c r="B579" s="8"/>
      <c r="C579" s="8"/>
      <c r="D579" s="8"/>
      <c r="E579" s="8" t="str">
        <f ca="1">IFERROR(_xludf.XLOOKUP(D579,STUDENTS!$A$5:$A$204,STUDENTS!$C$5:$C$204,""),"")</f>
        <v/>
      </c>
      <c r="F579" s="8" t="str">
        <f ca="1">IFERROR(_xludf.XLOOKUP(D579,STUDENTS!$A$5:$A$204,STUDENTS!$L$5:$L$204,""),"")</f>
        <v/>
      </c>
      <c r="G579" s="8"/>
      <c r="H579" s="14"/>
      <c r="I579" s="14"/>
      <c r="J579" s="15" t="str">
        <f>IF(H579="","",H579*SETTINGS!$B$9)</f>
        <v/>
      </c>
      <c r="K579" s="15" t="str">
        <f>IF(I579="","",I579*SETTINGS!$B$10)</f>
        <v/>
      </c>
      <c r="L579" s="15" t="str">
        <f t="shared" si="33"/>
        <v/>
      </c>
      <c r="M579" s="10" t="str">
        <f t="shared" si="34"/>
        <v/>
      </c>
      <c r="N579" s="10" t="str">
        <f t="shared" si="35"/>
        <v/>
      </c>
      <c r="O579" s="8"/>
    </row>
    <row r="580" spans="1:15" x14ac:dyDescent="0.2">
      <c r="A580" s="10" t="str">
        <f t="shared" si="32"/>
        <v/>
      </c>
      <c r="B580" s="8"/>
      <c r="C580" s="8"/>
      <c r="D580" s="8"/>
      <c r="E580" s="8" t="str">
        <f ca="1">IFERROR(_xludf.XLOOKUP(D580,STUDENTS!$A$5:$A$204,STUDENTS!$C$5:$C$204,""),"")</f>
        <v/>
      </c>
      <c r="F580" s="8" t="str">
        <f ca="1">IFERROR(_xludf.XLOOKUP(D580,STUDENTS!$A$5:$A$204,STUDENTS!$L$5:$L$204,""),"")</f>
        <v/>
      </c>
      <c r="G580" s="8"/>
      <c r="H580" s="14"/>
      <c r="I580" s="14"/>
      <c r="J580" s="15" t="str">
        <f>IF(H580="","",H580*SETTINGS!$B$9)</f>
        <v/>
      </c>
      <c r="K580" s="15" t="str">
        <f>IF(I580="","",I580*SETTINGS!$B$10)</f>
        <v/>
      </c>
      <c r="L580" s="15" t="str">
        <f t="shared" si="33"/>
        <v/>
      </c>
      <c r="M580" s="10" t="str">
        <f t="shared" si="34"/>
        <v/>
      </c>
      <c r="N580" s="10" t="str">
        <f t="shared" si="35"/>
        <v/>
      </c>
      <c r="O580" s="8"/>
    </row>
    <row r="581" spans="1:15" x14ac:dyDescent="0.2">
      <c r="A581" s="10" t="str">
        <f t="shared" ref="A581:A644" si="36">IF(D581="","","R-"&amp;TEXT(ROW()-4,"00000"))</f>
        <v/>
      </c>
      <c r="B581" s="8"/>
      <c r="C581" s="8"/>
      <c r="D581" s="8"/>
      <c r="E581" s="8" t="str">
        <f ca="1">IFERROR(_xludf.XLOOKUP(D581,STUDENTS!$A$5:$A$204,STUDENTS!$C$5:$C$204,""),"")</f>
        <v/>
      </c>
      <c r="F581" s="8" t="str">
        <f ca="1">IFERROR(_xludf.XLOOKUP(D581,STUDENTS!$A$5:$A$204,STUDENTS!$L$5:$L$204,""),"")</f>
        <v/>
      </c>
      <c r="G581" s="8"/>
      <c r="H581" s="14"/>
      <c r="I581" s="14"/>
      <c r="J581" s="15" t="str">
        <f>IF(H581="","",H581*SETTINGS!$B$9)</f>
        <v/>
      </c>
      <c r="K581" s="15" t="str">
        <f>IF(I581="","",I581*SETTINGS!$B$10)</f>
        <v/>
      </c>
      <c r="L581" s="15" t="str">
        <f t="shared" ref="L581:L644" si="37">IF(OR(H581="",I581=""),"",J581+K581)</f>
        <v/>
      </c>
      <c r="M581" s="10" t="str">
        <f t="shared" ref="M581:M644" si="38">IF(L581="","",IF(L581&gt;=80,"A",IF(L581&gt;=70,"B",IF(L581&gt;=60,"C",IF(L581&gt;=50,"D","F")))))</f>
        <v/>
      </c>
      <c r="N581" s="10" t="str">
        <f t="shared" ref="N581:N644" si="39">IF(L581="","",1+COUNTIFS($F$5:$F$1004,F581,$C$5:$C$1004,C581,$G$5:$G$1004,G581,$L$5:$L$1004,"&gt;"&amp;L581))</f>
        <v/>
      </c>
      <c r="O581" s="8"/>
    </row>
    <row r="582" spans="1:15" x14ac:dyDescent="0.2">
      <c r="A582" s="10" t="str">
        <f t="shared" si="36"/>
        <v/>
      </c>
      <c r="B582" s="8"/>
      <c r="C582" s="8"/>
      <c r="D582" s="8"/>
      <c r="E582" s="8" t="str">
        <f ca="1">IFERROR(_xludf.XLOOKUP(D582,STUDENTS!$A$5:$A$204,STUDENTS!$C$5:$C$204,""),"")</f>
        <v/>
      </c>
      <c r="F582" s="8" t="str">
        <f ca="1">IFERROR(_xludf.XLOOKUP(D582,STUDENTS!$A$5:$A$204,STUDENTS!$L$5:$L$204,""),"")</f>
        <v/>
      </c>
      <c r="G582" s="8"/>
      <c r="H582" s="14"/>
      <c r="I582" s="14"/>
      <c r="J582" s="15" t="str">
        <f>IF(H582="","",H582*SETTINGS!$B$9)</f>
        <v/>
      </c>
      <c r="K582" s="15" t="str">
        <f>IF(I582="","",I582*SETTINGS!$B$10)</f>
        <v/>
      </c>
      <c r="L582" s="15" t="str">
        <f t="shared" si="37"/>
        <v/>
      </c>
      <c r="M582" s="10" t="str">
        <f t="shared" si="38"/>
        <v/>
      </c>
      <c r="N582" s="10" t="str">
        <f t="shared" si="39"/>
        <v/>
      </c>
      <c r="O582" s="8"/>
    </row>
    <row r="583" spans="1:15" x14ac:dyDescent="0.2">
      <c r="A583" s="10" t="str">
        <f t="shared" si="36"/>
        <v/>
      </c>
      <c r="B583" s="8"/>
      <c r="C583" s="8"/>
      <c r="D583" s="8"/>
      <c r="E583" s="8" t="str">
        <f ca="1">IFERROR(_xludf.XLOOKUP(D583,STUDENTS!$A$5:$A$204,STUDENTS!$C$5:$C$204,""),"")</f>
        <v/>
      </c>
      <c r="F583" s="8" t="str">
        <f ca="1">IFERROR(_xludf.XLOOKUP(D583,STUDENTS!$A$5:$A$204,STUDENTS!$L$5:$L$204,""),"")</f>
        <v/>
      </c>
      <c r="G583" s="8"/>
      <c r="H583" s="14"/>
      <c r="I583" s="14"/>
      <c r="J583" s="15" t="str">
        <f>IF(H583="","",H583*SETTINGS!$B$9)</f>
        <v/>
      </c>
      <c r="K583" s="15" t="str">
        <f>IF(I583="","",I583*SETTINGS!$B$10)</f>
        <v/>
      </c>
      <c r="L583" s="15" t="str">
        <f t="shared" si="37"/>
        <v/>
      </c>
      <c r="M583" s="10" t="str">
        <f t="shared" si="38"/>
        <v/>
      </c>
      <c r="N583" s="10" t="str">
        <f t="shared" si="39"/>
        <v/>
      </c>
      <c r="O583" s="8"/>
    </row>
    <row r="584" spans="1:15" x14ac:dyDescent="0.2">
      <c r="A584" s="10" t="str">
        <f t="shared" si="36"/>
        <v/>
      </c>
      <c r="B584" s="8"/>
      <c r="C584" s="8"/>
      <c r="D584" s="8"/>
      <c r="E584" s="8" t="str">
        <f ca="1">IFERROR(_xludf.XLOOKUP(D584,STUDENTS!$A$5:$A$204,STUDENTS!$C$5:$C$204,""),"")</f>
        <v/>
      </c>
      <c r="F584" s="8" t="str">
        <f ca="1">IFERROR(_xludf.XLOOKUP(D584,STUDENTS!$A$5:$A$204,STUDENTS!$L$5:$L$204,""),"")</f>
        <v/>
      </c>
      <c r="G584" s="8"/>
      <c r="H584" s="14"/>
      <c r="I584" s="14"/>
      <c r="J584" s="15" t="str">
        <f>IF(H584="","",H584*SETTINGS!$B$9)</f>
        <v/>
      </c>
      <c r="K584" s="15" t="str">
        <f>IF(I584="","",I584*SETTINGS!$B$10)</f>
        <v/>
      </c>
      <c r="L584" s="15" t="str">
        <f t="shared" si="37"/>
        <v/>
      </c>
      <c r="M584" s="10" t="str">
        <f t="shared" si="38"/>
        <v/>
      </c>
      <c r="N584" s="10" t="str">
        <f t="shared" si="39"/>
        <v/>
      </c>
      <c r="O584" s="8"/>
    </row>
    <row r="585" spans="1:15" x14ac:dyDescent="0.2">
      <c r="A585" s="10" t="str">
        <f t="shared" si="36"/>
        <v/>
      </c>
      <c r="B585" s="8"/>
      <c r="C585" s="8"/>
      <c r="D585" s="8"/>
      <c r="E585" s="8" t="str">
        <f ca="1">IFERROR(_xludf.XLOOKUP(D585,STUDENTS!$A$5:$A$204,STUDENTS!$C$5:$C$204,""),"")</f>
        <v/>
      </c>
      <c r="F585" s="8" t="str">
        <f ca="1">IFERROR(_xludf.XLOOKUP(D585,STUDENTS!$A$5:$A$204,STUDENTS!$L$5:$L$204,""),"")</f>
        <v/>
      </c>
      <c r="G585" s="8"/>
      <c r="H585" s="14"/>
      <c r="I585" s="14"/>
      <c r="J585" s="15" t="str">
        <f>IF(H585="","",H585*SETTINGS!$B$9)</f>
        <v/>
      </c>
      <c r="K585" s="15" t="str">
        <f>IF(I585="","",I585*SETTINGS!$B$10)</f>
        <v/>
      </c>
      <c r="L585" s="15" t="str">
        <f t="shared" si="37"/>
        <v/>
      </c>
      <c r="M585" s="10" t="str">
        <f t="shared" si="38"/>
        <v/>
      </c>
      <c r="N585" s="10" t="str">
        <f t="shared" si="39"/>
        <v/>
      </c>
      <c r="O585" s="8"/>
    </row>
    <row r="586" spans="1:15" x14ac:dyDescent="0.2">
      <c r="A586" s="10" t="str">
        <f t="shared" si="36"/>
        <v/>
      </c>
      <c r="B586" s="8"/>
      <c r="C586" s="8"/>
      <c r="D586" s="8"/>
      <c r="E586" s="8" t="str">
        <f ca="1">IFERROR(_xludf.XLOOKUP(D586,STUDENTS!$A$5:$A$204,STUDENTS!$C$5:$C$204,""),"")</f>
        <v/>
      </c>
      <c r="F586" s="8" t="str">
        <f ca="1">IFERROR(_xludf.XLOOKUP(D586,STUDENTS!$A$5:$A$204,STUDENTS!$L$5:$L$204,""),"")</f>
        <v/>
      </c>
      <c r="G586" s="8"/>
      <c r="H586" s="14"/>
      <c r="I586" s="14"/>
      <c r="J586" s="15" t="str">
        <f>IF(H586="","",H586*SETTINGS!$B$9)</f>
        <v/>
      </c>
      <c r="K586" s="15" t="str">
        <f>IF(I586="","",I586*SETTINGS!$B$10)</f>
        <v/>
      </c>
      <c r="L586" s="15" t="str">
        <f t="shared" si="37"/>
        <v/>
      </c>
      <c r="M586" s="10" t="str">
        <f t="shared" si="38"/>
        <v/>
      </c>
      <c r="N586" s="10" t="str">
        <f t="shared" si="39"/>
        <v/>
      </c>
      <c r="O586" s="8"/>
    </row>
    <row r="587" spans="1:15" x14ac:dyDescent="0.2">
      <c r="A587" s="10" t="str">
        <f t="shared" si="36"/>
        <v/>
      </c>
      <c r="B587" s="8"/>
      <c r="C587" s="8"/>
      <c r="D587" s="8"/>
      <c r="E587" s="8" t="str">
        <f ca="1">IFERROR(_xludf.XLOOKUP(D587,STUDENTS!$A$5:$A$204,STUDENTS!$C$5:$C$204,""),"")</f>
        <v/>
      </c>
      <c r="F587" s="8" t="str">
        <f ca="1">IFERROR(_xludf.XLOOKUP(D587,STUDENTS!$A$5:$A$204,STUDENTS!$L$5:$L$204,""),"")</f>
        <v/>
      </c>
      <c r="G587" s="8"/>
      <c r="H587" s="14"/>
      <c r="I587" s="14"/>
      <c r="J587" s="15" t="str">
        <f>IF(H587="","",H587*SETTINGS!$B$9)</f>
        <v/>
      </c>
      <c r="K587" s="15" t="str">
        <f>IF(I587="","",I587*SETTINGS!$B$10)</f>
        <v/>
      </c>
      <c r="L587" s="15" t="str">
        <f t="shared" si="37"/>
        <v/>
      </c>
      <c r="M587" s="10" t="str">
        <f t="shared" si="38"/>
        <v/>
      </c>
      <c r="N587" s="10" t="str">
        <f t="shared" si="39"/>
        <v/>
      </c>
      <c r="O587" s="8"/>
    </row>
    <row r="588" spans="1:15" x14ac:dyDescent="0.2">
      <c r="A588" s="10" t="str">
        <f t="shared" si="36"/>
        <v/>
      </c>
      <c r="B588" s="8"/>
      <c r="C588" s="8"/>
      <c r="D588" s="8"/>
      <c r="E588" s="8" t="str">
        <f ca="1">IFERROR(_xludf.XLOOKUP(D588,STUDENTS!$A$5:$A$204,STUDENTS!$C$5:$C$204,""),"")</f>
        <v/>
      </c>
      <c r="F588" s="8" t="str">
        <f ca="1">IFERROR(_xludf.XLOOKUP(D588,STUDENTS!$A$5:$A$204,STUDENTS!$L$5:$L$204,""),"")</f>
        <v/>
      </c>
      <c r="G588" s="8"/>
      <c r="H588" s="14"/>
      <c r="I588" s="14"/>
      <c r="J588" s="15" t="str">
        <f>IF(H588="","",H588*SETTINGS!$B$9)</f>
        <v/>
      </c>
      <c r="K588" s="15" t="str">
        <f>IF(I588="","",I588*SETTINGS!$B$10)</f>
        <v/>
      </c>
      <c r="L588" s="15" t="str">
        <f t="shared" si="37"/>
        <v/>
      </c>
      <c r="M588" s="10" t="str">
        <f t="shared" si="38"/>
        <v/>
      </c>
      <c r="N588" s="10" t="str">
        <f t="shared" si="39"/>
        <v/>
      </c>
      <c r="O588" s="8"/>
    </row>
    <row r="589" spans="1:15" x14ac:dyDescent="0.2">
      <c r="A589" s="10" t="str">
        <f t="shared" si="36"/>
        <v/>
      </c>
      <c r="B589" s="8"/>
      <c r="C589" s="8"/>
      <c r="D589" s="8"/>
      <c r="E589" s="8" t="str">
        <f ca="1">IFERROR(_xludf.XLOOKUP(D589,STUDENTS!$A$5:$A$204,STUDENTS!$C$5:$C$204,""),"")</f>
        <v/>
      </c>
      <c r="F589" s="8" t="str">
        <f ca="1">IFERROR(_xludf.XLOOKUP(D589,STUDENTS!$A$5:$A$204,STUDENTS!$L$5:$L$204,""),"")</f>
        <v/>
      </c>
      <c r="G589" s="8"/>
      <c r="H589" s="14"/>
      <c r="I589" s="14"/>
      <c r="J589" s="15" t="str">
        <f>IF(H589="","",H589*SETTINGS!$B$9)</f>
        <v/>
      </c>
      <c r="K589" s="15" t="str">
        <f>IF(I589="","",I589*SETTINGS!$B$10)</f>
        <v/>
      </c>
      <c r="L589" s="15" t="str">
        <f t="shared" si="37"/>
        <v/>
      </c>
      <c r="M589" s="10" t="str">
        <f t="shared" si="38"/>
        <v/>
      </c>
      <c r="N589" s="10" t="str">
        <f t="shared" si="39"/>
        <v/>
      </c>
      <c r="O589" s="8"/>
    </row>
    <row r="590" spans="1:15" x14ac:dyDescent="0.2">
      <c r="A590" s="10" t="str">
        <f t="shared" si="36"/>
        <v/>
      </c>
      <c r="B590" s="8"/>
      <c r="C590" s="8"/>
      <c r="D590" s="8"/>
      <c r="E590" s="8" t="str">
        <f ca="1">IFERROR(_xludf.XLOOKUP(D590,STUDENTS!$A$5:$A$204,STUDENTS!$C$5:$C$204,""),"")</f>
        <v/>
      </c>
      <c r="F590" s="8" t="str">
        <f ca="1">IFERROR(_xludf.XLOOKUP(D590,STUDENTS!$A$5:$A$204,STUDENTS!$L$5:$L$204,""),"")</f>
        <v/>
      </c>
      <c r="G590" s="8"/>
      <c r="H590" s="14"/>
      <c r="I590" s="14"/>
      <c r="J590" s="15" t="str">
        <f>IF(H590="","",H590*SETTINGS!$B$9)</f>
        <v/>
      </c>
      <c r="K590" s="15" t="str">
        <f>IF(I590="","",I590*SETTINGS!$B$10)</f>
        <v/>
      </c>
      <c r="L590" s="15" t="str">
        <f t="shared" si="37"/>
        <v/>
      </c>
      <c r="M590" s="10" t="str">
        <f t="shared" si="38"/>
        <v/>
      </c>
      <c r="N590" s="10" t="str">
        <f t="shared" si="39"/>
        <v/>
      </c>
      <c r="O590" s="8"/>
    </row>
    <row r="591" spans="1:15" x14ac:dyDescent="0.2">
      <c r="A591" s="10" t="str">
        <f t="shared" si="36"/>
        <v/>
      </c>
      <c r="B591" s="8"/>
      <c r="C591" s="8"/>
      <c r="D591" s="8"/>
      <c r="E591" s="8" t="str">
        <f ca="1">IFERROR(_xludf.XLOOKUP(D591,STUDENTS!$A$5:$A$204,STUDENTS!$C$5:$C$204,""),"")</f>
        <v/>
      </c>
      <c r="F591" s="8" t="str">
        <f ca="1">IFERROR(_xludf.XLOOKUP(D591,STUDENTS!$A$5:$A$204,STUDENTS!$L$5:$L$204,""),"")</f>
        <v/>
      </c>
      <c r="G591" s="8"/>
      <c r="H591" s="14"/>
      <c r="I591" s="14"/>
      <c r="J591" s="15" t="str">
        <f>IF(H591="","",H591*SETTINGS!$B$9)</f>
        <v/>
      </c>
      <c r="K591" s="15" t="str">
        <f>IF(I591="","",I591*SETTINGS!$B$10)</f>
        <v/>
      </c>
      <c r="L591" s="15" t="str">
        <f t="shared" si="37"/>
        <v/>
      </c>
      <c r="M591" s="10" t="str">
        <f t="shared" si="38"/>
        <v/>
      </c>
      <c r="N591" s="10" t="str">
        <f t="shared" si="39"/>
        <v/>
      </c>
      <c r="O591" s="8"/>
    </row>
    <row r="592" spans="1:15" x14ac:dyDescent="0.2">
      <c r="A592" s="10" t="str">
        <f t="shared" si="36"/>
        <v/>
      </c>
      <c r="B592" s="8"/>
      <c r="C592" s="8"/>
      <c r="D592" s="8"/>
      <c r="E592" s="8" t="str">
        <f ca="1">IFERROR(_xludf.XLOOKUP(D592,STUDENTS!$A$5:$A$204,STUDENTS!$C$5:$C$204,""),"")</f>
        <v/>
      </c>
      <c r="F592" s="8" t="str">
        <f ca="1">IFERROR(_xludf.XLOOKUP(D592,STUDENTS!$A$5:$A$204,STUDENTS!$L$5:$L$204,""),"")</f>
        <v/>
      </c>
      <c r="G592" s="8"/>
      <c r="H592" s="14"/>
      <c r="I592" s="14"/>
      <c r="J592" s="15" t="str">
        <f>IF(H592="","",H592*SETTINGS!$B$9)</f>
        <v/>
      </c>
      <c r="K592" s="15" t="str">
        <f>IF(I592="","",I592*SETTINGS!$B$10)</f>
        <v/>
      </c>
      <c r="L592" s="15" t="str">
        <f t="shared" si="37"/>
        <v/>
      </c>
      <c r="M592" s="10" t="str">
        <f t="shared" si="38"/>
        <v/>
      </c>
      <c r="N592" s="10" t="str">
        <f t="shared" si="39"/>
        <v/>
      </c>
      <c r="O592" s="8"/>
    </row>
    <row r="593" spans="1:15" x14ac:dyDescent="0.2">
      <c r="A593" s="10" t="str">
        <f t="shared" si="36"/>
        <v/>
      </c>
      <c r="B593" s="8"/>
      <c r="C593" s="8"/>
      <c r="D593" s="8"/>
      <c r="E593" s="8" t="str">
        <f ca="1">IFERROR(_xludf.XLOOKUP(D593,STUDENTS!$A$5:$A$204,STUDENTS!$C$5:$C$204,""),"")</f>
        <v/>
      </c>
      <c r="F593" s="8" t="str">
        <f ca="1">IFERROR(_xludf.XLOOKUP(D593,STUDENTS!$A$5:$A$204,STUDENTS!$L$5:$L$204,""),"")</f>
        <v/>
      </c>
      <c r="G593" s="8"/>
      <c r="H593" s="14"/>
      <c r="I593" s="14"/>
      <c r="J593" s="15" t="str">
        <f>IF(H593="","",H593*SETTINGS!$B$9)</f>
        <v/>
      </c>
      <c r="K593" s="15" t="str">
        <f>IF(I593="","",I593*SETTINGS!$B$10)</f>
        <v/>
      </c>
      <c r="L593" s="15" t="str">
        <f t="shared" si="37"/>
        <v/>
      </c>
      <c r="M593" s="10" t="str">
        <f t="shared" si="38"/>
        <v/>
      </c>
      <c r="N593" s="10" t="str">
        <f t="shared" si="39"/>
        <v/>
      </c>
      <c r="O593" s="8"/>
    </row>
    <row r="594" spans="1:15" x14ac:dyDescent="0.2">
      <c r="A594" s="10" t="str">
        <f t="shared" si="36"/>
        <v/>
      </c>
      <c r="B594" s="8"/>
      <c r="C594" s="8"/>
      <c r="D594" s="8"/>
      <c r="E594" s="8" t="str">
        <f ca="1">IFERROR(_xludf.XLOOKUP(D594,STUDENTS!$A$5:$A$204,STUDENTS!$C$5:$C$204,""),"")</f>
        <v/>
      </c>
      <c r="F594" s="8" t="str">
        <f ca="1">IFERROR(_xludf.XLOOKUP(D594,STUDENTS!$A$5:$A$204,STUDENTS!$L$5:$L$204,""),"")</f>
        <v/>
      </c>
      <c r="G594" s="8"/>
      <c r="H594" s="14"/>
      <c r="I594" s="14"/>
      <c r="J594" s="15" t="str">
        <f>IF(H594="","",H594*SETTINGS!$B$9)</f>
        <v/>
      </c>
      <c r="K594" s="15" t="str">
        <f>IF(I594="","",I594*SETTINGS!$B$10)</f>
        <v/>
      </c>
      <c r="L594" s="15" t="str">
        <f t="shared" si="37"/>
        <v/>
      </c>
      <c r="M594" s="10" t="str">
        <f t="shared" si="38"/>
        <v/>
      </c>
      <c r="N594" s="10" t="str">
        <f t="shared" si="39"/>
        <v/>
      </c>
      <c r="O594" s="8"/>
    </row>
    <row r="595" spans="1:15" x14ac:dyDescent="0.2">
      <c r="A595" s="10" t="str">
        <f t="shared" si="36"/>
        <v/>
      </c>
      <c r="B595" s="8"/>
      <c r="C595" s="8"/>
      <c r="D595" s="8"/>
      <c r="E595" s="8" t="str">
        <f ca="1">IFERROR(_xludf.XLOOKUP(D595,STUDENTS!$A$5:$A$204,STUDENTS!$C$5:$C$204,""),"")</f>
        <v/>
      </c>
      <c r="F595" s="8" t="str">
        <f ca="1">IFERROR(_xludf.XLOOKUP(D595,STUDENTS!$A$5:$A$204,STUDENTS!$L$5:$L$204,""),"")</f>
        <v/>
      </c>
      <c r="G595" s="8"/>
      <c r="H595" s="14"/>
      <c r="I595" s="14"/>
      <c r="J595" s="15" t="str">
        <f>IF(H595="","",H595*SETTINGS!$B$9)</f>
        <v/>
      </c>
      <c r="K595" s="15" t="str">
        <f>IF(I595="","",I595*SETTINGS!$B$10)</f>
        <v/>
      </c>
      <c r="L595" s="15" t="str">
        <f t="shared" si="37"/>
        <v/>
      </c>
      <c r="M595" s="10" t="str">
        <f t="shared" si="38"/>
        <v/>
      </c>
      <c r="N595" s="10" t="str">
        <f t="shared" si="39"/>
        <v/>
      </c>
      <c r="O595" s="8"/>
    </row>
    <row r="596" spans="1:15" x14ac:dyDescent="0.2">
      <c r="A596" s="10" t="str">
        <f t="shared" si="36"/>
        <v/>
      </c>
      <c r="B596" s="8"/>
      <c r="C596" s="8"/>
      <c r="D596" s="8"/>
      <c r="E596" s="8" t="str">
        <f ca="1">IFERROR(_xludf.XLOOKUP(D596,STUDENTS!$A$5:$A$204,STUDENTS!$C$5:$C$204,""),"")</f>
        <v/>
      </c>
      <c r="F596" s="8" t="str">
        <f ca="1">IFERROR(_xludf.XLOOKUP(D596,STUDENTS!$A$5:$A$204,STUDENTS!$L$5:$L$204,""),"")</f>
        <v/>
      </c>
      <c r="G596" s="8"/>
      <c r="H596" s="14"/>
      <c r="I596" s="14"/>
      <c r="J596" s="15" t="str">
        <f>IF(H596="","",H596*SETTINGS!$B$9)</f>
        <v/>
      </c>
      <c r="K596" s="15" t="str">
        <f>IF(I596="","",I596*SETTINGS!$B$10)</f>
        <v/>
      </c>
      <c r="L596" s="15" t="str">
        <f t="shared" si="37"/>
        <v/>
      </c>
      <c r="M596" s="10" t="str">
        <f t="shared" si="38"/>
        <v/>
      </c>
      <c r="N596" s="10" t="str">
        <f t="shared" si="39"/>
        <v/>
      </c>
      <c r="O596" s="8"/>
    </row>
    <row r="597" spans="1:15" x14ac:dyDescent="0.2">
      <c r="A597" s="10" t="str">
        <f t="shared" si="36"/>
        <v/>
      </c>
      <c r="B597" s="8"/>
      <c r="C597" s="8"/>
      <c r="D597" s="8"/>
      <c r="E597" s="8" t="str">
        <f ca="1">IFERROR(_xludf.XLOOKUP(D597,STUDENTS!$A$5:$A$204,STUDENTS!$C$5:$C$204,""),"")</f>
        <v/>
      </c>
      <c r="F597" s="8" t="str">
        <f ca="1">IFERROR(_xludf.XLOOKUP(D597,STUDENTS!$A$5:$A$204,STUDENTS!$L$5:$L$204,""),"")</f>
        <v/>
      </c>
      <c r="G597" s="8"/>
      <c r="H597" s="14"/>
      <c r="I597" s="14"/>
      <c r="J597" s="15" t="str">
        <f>IF(H597="","",H597*SETTINGS!$B$9)</f>
        <v/>
      </c>
      <c r="K597" s="15" t="str">
        <f>IF(I597="","",I597*SETTINGS!$B$10)</f>
        <v/>
      </c>
      <c r="L597" s="15" t="str">
        <f t="shared" si="37"/>
        <v/>
      </c>
      <c r="M597" s="10" t="str">
        <f t="shared" si="38"/>
        <v/>
      </c>
      <c r="N597" s="10" t="str">
        <f t="shared" si="39"/>
        <v/>
      </c>
      <c r="O597" s="8"/>
    </row>
    <row r="598" spans="1:15" x14ac:dyDescent="0.2">
      <c r="A598" s="10" t="str">
        <f t="shared" si="36"/>
        <v/>
      </c>
      <c r="B598" s="8"/>
      <c r="C598" s="8"/>
      <c r="D598" s="8"/>
      <c r="E598" s="8" t="str">
        <f ca="1">IFERROR(_xludf.XLOOKUP(D598,STUDENTS!$A$5:$A$204,STUDENTS!$C$5:$C$204,""),"")</f>
        <v/>
      </c>
      <c r="F598" s="8" t="str">
        <f ca="1">IFERROR(_xludf.XLOOKUP(D598,STUDENTS!$A$5:$A$204,STUDENTS!$L$5:$L$204,""),"")</f>
        <v/>
      </c>
      <c r="G598" s="8"/>
      <c r="H598" s="14"/>
      <c r="I598" s="14"/>
      <c r="J598" s="15" t="str">
        <f>IF(H598="","",H598*SETTINGS!$B$9)</f>
        <v/>
      </c>
      <c r="K598" s="15" t="str">
        <f>IF(I598="","",I598*SETTINGS!$B$10)</f>
        <v/>
      </c>
      <c r="L598" s="15" t="str">
        <f t="shared" si="37"/>
        <v/>
      </c>
      <c r="M598" s="10" t="str">
        <f t="shared" si="38"/>
        <v/>
      </c>
      <c r="N598" s="10" t="str">
        <f t="shared" si="39"/>
        <v/>
      </c>
      <c r="O598" s="8"/>
    </row>
    <row r="599" spans="1:15" x14ac:dyDescent="0.2">
      <c r="A599" s="10" t="str">
        <f t="shared" si="36"/>
        <v/>
      </c>
      <c r="B599" s="8"/>
      <c r="C599" s="8"/>
      <c r="D599" s="8"/>
      <c r="E599" s="8" t="str">
        <f ca="1">IFERROR(_xludf.XLOOKUP(D599,STUDENTS!$A$5:$A$204,STUDENTS!$C$5:$C$204,""),"")</f>
        <v/>
      </c>
      <c r="F599" s="8" t="str">
        <f ca="1">IFERROR(_xludf.XLOOKUP(D599,STUDENTS!$A$5:$A$204,STUDENTS!$L$5:$L$204,""),"")</f>
        <v/>
      </c>
      <c r="G599" s="8"/>
      <c r="H599" s="14"/>
      <c r="I599" s="14"/>
      <c r="J599" s="15" t="str">
        <f>IF(H599="","",H599*SETTINGS!$B$9)</f>
        <v/>
      </c>
      <c r="K599" s="15" t="str">
        <f>IF(I599="","",I599*SETTINGS!$B$10)</f>
        <v/>
      </c>
      <c r="L599" s="15" t="str">
        <f t="shared" si="37"/>
        <v/>
      </c>
      <c r="M599" s="10" t="str">
        <f t="shared" si="38"/>
        <v/>
      </c>
      <c r="N599" s="10" t="str">
        <f t="shared" si="39"/>
        <v/>
      </c>
      <c r="O599" s="8"/>
    </row>
    <row r="600" spans="1:15" x14ac:dyDescent="0.2">
      <c r="A600" s="10" t="str">
        <f t="shared" si="36"/>
        <v/>
      </c>
      <c r="B600" s="8"/>
      <c r="C600" s="8"/>
      <c r="D600" s="8"/>
      <c r="E600" s="8" t="str">
        <f ca="1">IFERROR(_xludf.XLOOKUP(D600,STUDENTS!$A$5:$A$204,STUDENTS!$C$5:$C$204,""),"")</f>
        <v/>
      </c>
      <c r="F600" s="8" t="str">
        <f ca="1">IFERROR(_xludf.XLOOKUP(D600,STUDENTS!$A$5:$A$204,STUDENTS!$L$5:$L$204,""),"")</f>
        <v/>
      </c>
      <c r="G600" s="8"/>
      <c r="H600" s="14"/>
      <c r="I600" s="14"/>
      <c r="J600" s="15" t="str">
        <f>IF(H600="","",H600*SETTINGS!$B$9)</f>
        <v/>
      </c>
      <c r="K600" s="15" t="str">
        <f>IF(I600="","",I600*SETTINGS!$B$10)</f>
        <v/>
      </c>
      <c r="L600" s="15" t="str">
        <f t="shared" si="37"/>
        <v/>
      </c>
      <c r="M600" s="10" t="str">
        <f t="shared" si="38"/>
        <v/>
      </c>
      <c r="N600" s="10" t="str">
        <f t="shared" si="39"/>
        <v/>
      </c>
      <c r="O600" s="8"/>
    </row>
    <row r="601" spans="1:15" x14ac:dyDescent="0.2">
      <c r="A601" s="10" t="str">
        <f t="shared" si="36"/>
        <v/>
      </c>
      <c r="B601" s="8"/>
      <c r="C601" s="8"/>
      <c r="D601" s="8"/>
      <c r="E601" s="8" t="str">
        <f ca="1">IFERROR(_xludf.XLOOKUP(D601,STUDENTS!$A$5:$A$204,STUDENTS!$C$5:$C$204,""),"")</f>
        <v/>
      </c>
      <c r="F601" s="8" t="str">
        <f ca="1">IFERROR(_xludf.XLOOKUP(D601,STUDENTS!$A$5:$A$204,STUDENTS!$L$5:$L$204,""),"")</f>
        <v/>
      </c>
      <c r="G601" s="8"/>
      <c r="H601" s="14"/>
      <c r="I601" s="14"/>
      <c r="J601" s="15" t="str">
        <f>IF(H601="","",H601*SETTINGS!$B$9)</f>
        <v/>
      </c>
      <c r="K601" s="15" t="str">
        <f>IF(I601="","",I601*SETTINGS!$B$10)</f>
        <v/>
      </c>
      <c r="L601" s="15" t="str">
        <f t="shared" si="37"/>
        <v/>
      </c>
      <c r="M601" s="10" t="str">
        <f t="shared" si="38"/>
        <v/>
      </c>
      <c r="N601" s="10" t="str">
        <f t="shared" si="39"/>
        <v/>
      </c>
      <c r="O601" s="8"/>
    </row>
    <row r="602" spans="1:15" x14ac:dyDescent="0.2">
      <c r="A602" s="10" t="str">
        <f t="shared" si="36"/>
        <v/>
      </c>
      <c r="B602" s="8"/>
      <c r="C602" s="8"/>
      <c r="D602" s="8"/>
      <c r="E602" s="8" t="str">
        <f ca="1">IFERROR(_xludf.XLOOKUP(D602,STUDENTS!$A$5:$A$204,STUDENTS!$C$5:$C$204,""),"")</f>
        <v/>
      </c>
      <c r="F602" s="8" t="str">
        <f ca="1">IFERROR(_xludf.XLOOKUP(D602,STUDENTS!$A$5:$A$204,STUDENTS!$L$5:$L$204,""),"")</f>
        <v/>
      </c>
      <c r="G602" s="8"/>
      <c r="H602" s="14"/>
      <c r="I602" s="14"/>
      <c r="J602" s="15" t="str">
        <f>IF(H602="","",H602*SETTINGS!$B$9)</f>
        <v/>
      </c>
      <c r="K602" s="15" t="str">
        <f>IF(I602="","",I602*SETTINGS!$B$10)</f>
        <v/>
      </c>
      <c r="L602" s="15" t="str">
        <f t="shared" si="37"/>
        <v/>
      </c>
      <c r="M602" s="10" t="str">
        <f t="shared" si="38"/>
        <v/>
      </c>
      <c r="N602" s="10" t="str">
        <f t="shared" si="39"/>
        <v/>
      </c>
      <c r="O602" s="8"/>
    </row>
    <row r="603" spans="1:15" x14ac:dyDescent="0.2">
      <c r="A603" s="10" t="str">
        <f t="shared" si="36"/>
        <v/>
      </c>
      <c r="B603" s="8"/>
      <c r="C603" s="8"/>
      <c r="D603" s="8"/>
      <c r="E603" s="8" t="str">
        <f ca="1">IFERROR(_xludf.XLOOKUP(D603,STUDENTS!$A$5:$A$204,STUDENTS!$C$5:$C$204,""),"")</f>
        <v/>
      </c>
      <c r="F603" s="8" t="str">
        <f ca="1">IFERROR(_xludf.XLOOKUP(D603,STUDENTS!$A$5:$A$204,STUDENTS!$L$5:$L$204,""),"")</f>
        <v/>
      </c>
      <c r="G603" s="8"/>
      <c r="H603" s="14"/>
      <c r="I603" s="14"/>
      <c r="J603" s="15" t="str">
        <f>IF(H603="","",H603*SETTINGS!$B$9)</f>
        <v/>
      </c>
      <c r="K603" s="15" t="str">
        <f>IF(I603="","",I603*SETTINGS!$B$10)</f>
        <v/>
      </c>
      <c r="L603" s="15" t="str">
        <f t="shared" si="37"/>
        <v/>
      </c>
      <c r="M603" s="10" t="str">
        <f t="shared" si="38"/>
        <v/>
      </c>
      <c r="N603" s="10" t="str">
        <f t="shared" si="39"/>
        <v/>
      </c>
      <c r="O603" s="8"/>
    </row>
    <row r="604" spans="1:15" x14ac:dyDescent="0.2">
      <c r="A604" s="10" t="str">
        <f t="shared" si="36"/>
        <v/>
      </c>
      <c r="B604" s="8"/>
      <c r="C604" s="8"/>
      <c r="D604" s="8"/>
      <c r="E604" s="8" t="str">
        <f ca="1">IFERROR(_xludf.XLOOKUP(D604,STUDENTS!$A$5:$A$204,STUDENTS!$C$5:$C$204,""),"")</f>
        <v/>
      </c>
      <c r="F604" s="8" t="str">
        <f ca="1">IFERROR(_xludf.XLOOKUP(D604,STUDENTS!$A$5:$A$204,STUDENTS!$L$5:$L$204,""),"")</f>
        <v/>
      </c>
      <c r="G604" s="8"/>
      <c r="H604" s="14"/>
      <c r="I604" s="14"/>
      <c r="J604" s="15" t="str">
        <f>IF(H604="","",H604*SETTINGS!$B$9)</f>
        <v/>
      </c>
      <c r="K604" s="15" t="str">
        <f>IF(I604="","",I604*SETTINGS!$B$10)</f>
        <v/>
      </c>
      <c r="L604" s="15" t="str">
        <f t="shared" si="37"/>
        <v/>
      </c>
      <c r="M604" s="10" t="str">
        <f t="shared" si="38"/>
        <v/>
      </c>
      <c r="N604" s="10" t="str">
        <f t="shared" si="39"/>
        <v/>
      </c>
      <c r="O604" s="8"/>
    </row>
    <row r="605" spans="1:15" x14ac:dyDescent="0.2">
      <c r="A605" s="10" t="str">
        <f t="shared" si="36"/>
        <v/>
      </c>
      <c r="B605" s="8"/>
      <c r="C605" s="8"/>
      <c r="D605" s="8"/>
      <c r="E605" s="8" t="str">
        <f ca="1">IFERROR(_xludf.XLOOKUP(D605,STUDENTS!$A$5:$A$204,STUDENTS!$C$5:$C$204,""),"")</f>
        <v/>
      </c>
      <c r="F605" s="8" t="str">
        <f ca="1">IFERROR(_xludf.XLOOKUP(D605,STUDENTS!$A$5:$A$204,STUDENTS!$L$5:$L$204,""),"")</f>
        <v/>
      </c>
      <c r="G605" s="8"/>
      <c r="H605" s="14"/>
      <c r="I605" s="14"/>
      <c r="J605" s="15" t="str">
        <f>IF(H605="","",H605*SETTINGS!$B$9)</f>
        <v/>
      </c>
      <c r="K605" s="15" t="str">
        <f>IF(I605="","",I605*SETTINGS!$B$10)</f>
        <v/>
      </c>
      <c r="L605" s="15" t="str">
        <f t="shared" si="37"/>
        <v/>
      </c>
      <c r="M605" s="10" t="str">
        <f t="shared" si="38"/>
        <v/>
      </c>
      <c r="N605" s="10" t="str">
        <f t="shared" si="39"/>
        <v/>
      </c>
      <c r="O605" s="8"/>
    </row>
    <row r="606" spans="1:15" x14ac:dyDescent="0.2">
      <c r="A606" s="10" t="str">
        <f t="shared" si="36"/>
        <v/>
      </c>
      <c r="B606" s="8"/>
      <c r="C606" s="8"/>
      <c r="D606" s="8"/>
      <c r="E606" s="8" t="str">
        <f ca="1">IFERROR(_xludf.XLOOKUP(D606,STUDENTS!$A$5:$A$204,STUDENTS!$C$5:$C$204,""),"")</f>
        <v/>
      </c>
      <c r="F606" s="8" t="str">
        <f ca="1">IFERROR(_xludf.XLOOKUP(D606,STUDENTS!$A$5:$A$204,STUDENTS!$L$5:$L$204,""),"")</f>
        <v/>
      </c>
      <c r="G606" s="8"/>
      <c r="H606" s="14"/>
      <c r="I606" s="14"/>
      <c r="J606" s="15" t="str">
        <f>IF(H606="","",H606*SETTINGS!$B$9)</f>
        <v/>
      </c>
      <c r="K606" s="15" t="str">
        <f>IF(I606="","",I606*SETTINGS!$B$10)</f>
        <v/>
      </c>
      <c r="L606" s="15" t="str">
        <f t="shared" si="37"/>
        <v/>
      </c>
      <c r="M606" s="10" t="str">
        <f t="shared" si="38"/>
        <v/>
      </c>
      <c r="N606" s="10" t="str">
        <f t="shared" si="39"/>
        <v/>
      </c>
      <c r="O606" s="8"/>
    </row>
    <row r="607" spans="1:15" x14ac:dyDescent="0.2">
      <c r="A607" s="10" t="str">
        <f t="shared" si="36"/>
        <v/>
      </c>
      <c r="B607" s="8"/>
      <c r="C607" s="8"/>
      <c r="D607" s="8"/>
      <c r="E607" s="8" t="str">
        <f ca="1">IFERROR(_xludf.XLOOKUP(D607,STUDENTS!$A$5:$A$204,STUDENTS!$C$5:$C$204,""),"")</f>
        <v/>
      </c>
      <c r="F607" s="8" t="str">
        <f ca="1">IFERROR(_xludf.XLOOKUP(D607,STUDENTS!$A$5:$A$204,STUDENTS!$L$5:$L$204,""),"")</f>
        <v/>
      </c>
      <c r="G607" s="8"/>
      <c r="H607" s="14"/>
      <c r="I607" s="14"/>
      <c r="J607" s="15" t="str">
        <f>IF(H607="","",H607*SETTINGS!$B$9)</f>
        <v/>
      </c>
      <c r="K607" s="15" t="str">
        <f>IF(I607="","",I607*SETTINGS!$B$10)</f>
        <v/>
      </c>
      <c r="L607" s="15" t="str">
        <f t="shared" si="37"/>
        <v/>
      </c>
      <c r="M607" s="10" t="str">
        <f t="shared" si="38"/>
        <v/>
      </c>
      <c r="N607" s="10" t="str">
        <f t="shared" si="39"/>
        <v/>
      </c>
      <c r="O607" s="8"/>
    </row>
    <row r="608" spans="1:15" x14ac:dyDescent="0.2">
      <c r="A608" s="10" t="str">
        <f t="shared" si="36"/>
        <v/>
      </c>
      <c r="B608" s="8"/>
      <c r="C608" s="8"/>
      <c r="D608" s="8"/>
      <c r="E608" s="8" t="str">
        <f ca="1">IFERROR(_xludf.XLOOKUP(D608,STUDENTS!$A$5:$A$204,STUDENTS!$C$5:$C$204,""),"")</f>
        <v/>
      </c>
      <c r="F608" s="8" t="str">
        <f ca="1">IFERROR(_xludf.XLOOKUP(D608,STUDENTS!$A$5:$A$204,STUDENTS!$L$5:$L$204,""),"")</f>
        <v/>
      </c>
      <c r="G608" s="8"/>
      <c r="H608" s="14"/>
      <c r="I608" s="14"/>
      <c r="J608" s="15" t="str">
        <f>IF(H608="","",H608*SETTINGS!$B$9)</f>
        <v/>
      </c>
      <c r="K608" s="15" t="str">
        <f>IF(I608="","",I608*SETTINGS!$B$10)</f>
        <v/>
      </c>
      <c r="L608" s="15" t="str">
        <f t="shared" si="37"/>
        <v/>
      </c>
      <c r="M608" s="10" t="str">
        <f t="shared" si="38"/>
        <v/>
      </c>
      <c r="N608" s="10" t="str">
        <f t="shared" si="39"/>
        <v/>
      </c>
      <c r="O608" s="8"/>
    </row>
    <row r="609" spans="1:15" x14ac:dyDescent="0.2">
      <c r="A609" s="10" t="str">
        <f t="shared" si="36"/>
        <v/>
      </c>
      <c r="B609" s="8"/>
      <c r="C609" s="8"/>
      <c r="D609" s="8"/>
      <c r="E609" s="8" t="str">
        <f ca="1">IFERROR(_xludf.XLOOKUP(D609,STUDENTS!$A$5:$A$204,STUDENTS!$C$5:$C$204,""),"")</f>
        <v/>
      </c>
      <c r="F609" s="8" t="str">
        <f ca="1">IFERROR(_xludf.XLOOKUP(D609,STUDENTS!$A$5:$A$204,STUDENTS!$L$5:$L$204,""),"")</f>
        <v/>
      </c>
      <c r="G609" s="8"/>
      <c r="H609" s="14"/>
      <c r="I609" s="14"/>
      <c r="J609" s="15" t="str">
        <f>IF(H609="","",H609*SETTINGS!$B$9)</f>
        <v/>
      </c>
      <c r="K609" s="15" t="str">
        <f>IF(I609="","",I609*SETTINGS!$B$10)</f>
        <v/>
      </c>
      <c r="L609" s="15" t="str">
        <f t="shared" si="37"/>
        <v/>
      </c>
      <c r="M609" s="10" t="str">
        <f t="shared" si="38"/>
        <v/>
      </c>
      <c r="N609" s="10" t="str">
        <f t="shared" si="39"/>
        <v/>
      </c>
      <c r="O609" s="8"/>
    </row>
    <row r="610" spans="1:15" x14ac:dyDescent="0.2">
      <c r="A610" s="10" t="str">
        <f t="shared" si="36"/>
        <v/>
      </c>
      <c r="B610" s="8"/>
      <c r="C610" s="8"/>
      <c r="D610" s="8"/>
      <c r="E610" s="8" t="str">
        <f ca="1">IFERROR(_xludf.XLOOKUP(D610,STUDENTS!$A$5:$A$204,STUDENTS!$C$5:$C$204,""),"")</f>
        <v/>
      </c>
      <c r="F610" s="8" t="str">
        <f ca="1">IFERROR(_xludf.XLOOKUP(D610,STUDENTS!$A$5:$A$204,STUDENTS!$L$5:$L$204,""),"")</f>
        <v/>
      </c>
      <c r="G610" s="8"/>
      <c r="H610" s="14"/>
      <c r="I610" s="14"/>
      <c r="J610" s="15" t="str">
        <f>IF(H610="","",H610*SETTINGS!$B$9)</f>
        <v/>
      </c>
      <c r="K610" s="15" t="str">
        <f>IF(I610="","",I610*SETTINGS!$B$10)</f>
        <v/>
      </c>
      <c r="L610" s="15" t="str">
        <f t="shared" si="37"/>
        <v/>
      </c>
      <c r="M610" s="10" t="str">
        <f t="shared" si="38"/>
        <v/>
      </c>
      <c r="N610" s="10" t="str">
        <f t="shared" si="39"/>
        <v/>
      </c>
      <c r="O610" s="8"/>
    </row>
    <row r="611" spans="1:15" x14ac:dyDescent="0.2">
      <c r="A611" s="10" t="str">
        <f t="shared" si="36"/>
        <v/>
      </c>
      <c r="B611" s="8"/>
      <c r="C611" s="8"/>
      <c r="D611" s="8"/>
      <c r="E611" s="8" t="str">
        <f ca="1">IFERROR(_xludf.XLOOKUP(D611,STUDENTS!$A$5:$A$204,STUDENTS!$C$5:$C$204,""),"")</f>
        <v/>
      </c>
      <c r="F611" s="8" t="str">
        <f ca="1">IFERROR(_xludf.XLOOKUP(D611,STUDENTS!$A$5:$A$204,STUDENTS!$L$5:$L$204,""),"")</f>
        <v/>
      </c>
      <c r="G611" s="8"/>
      <c r="H611" s="14"/>
      <c r="I611" s="14"/>
      <c r="J611" s="15" t="str">
        <f>IF(H611="","",H611*SETTINGS!$B$9)</f>
        <v/>
      </c>
      <c r="K611" s="15" t="str">
        <f>IF(I611="","",I611*SETTINGS!$B$10)</f>
        <v/>
      </c>
      <c r="L611" s="15" t="str">
        <f t="shared" si="37"/>
        <v/>
      </c>
      <c r="M611" s="10" t="str">
        <f t="shared" si="38"/>
        <v/>
      </c>
      <c r="N611" s="10" t="str">
        <f t="shared" si="39"/>
        <v/>
      </c>
      <c r="O611" s="8"/>
    </row>
    <row r="612" spans="1:15" x14ac:dyDescent="0.2">
      <c r="A612" s="10" t="str">
        <f t="shared" si="36"/>
        <v/>
      </c>
      <c r="B612" s="8"/>
      <c r="C612" s="8"/>
      <c r="D612" s="8"/>
      <c r="E612" s="8" t="str">
        <f ca="1">IFERROR(_xludf.XLOOKUP(D612,STUDENTS!$A$5:$A$204,STUDENTS!$C$5:$C$204,""),"")</f>
        <v/>
      </c>
      <c r="F612" s="8" t="str">
        <f ca="1">IFERROR(_xludf.XLOOKUP(D612,STUDENTS!$A$5:$A$204,STUDENTS!$L$5:$L$204,""),"")</f>
        <v/>
      </c>
      <c r="G612" s="8"/>
      <c r="H612" s="14"/>
      <c r="I612" s="14"/>
      <c r="J612" s="15" t="str">
        <f>IF(H612="","",H612*SETTINGS!$B$9)</f>
        <v/>
      </c>
      <c r="K612" s="15" t="str">
        <f>IF(I612="","",I612*SETTINGS!$B$10)</f>
        <v/>
      </c>
      <c r="L612" s="15" t="str">
        <f t="shared" si="37"/>
        <v/>
      </c>
      <c r="M612" s="10" t="str">
        <f t="shared" si="38"/>
        <v/>
      </c>
      <c r="N612" s="10" t="str">
        <f t="shared" si="39"/>
        <v/>
      </c>
      <c r="O612" s="8"/>
    </row>
    <row r="613" spans="1:15" x14ac:dyDescent="0.2">
      <c r="A613" s="10" t="str">
        <f t="shared" si="36"/>
        <v/>
      </c>
      <c r="B613" s="8"/>
      <c r="C613" s="8"/>
      <c r="D613" s="8"/>
      <c r="E613" s="8" t="str">
        <f ca="1">IFERROR(_xludf.XLOOKUP(D613,STUDENTS!$A$5:$A$204,STUDENTS!$C$5:$C$204,""),"")</f>
        <v/>
      </c>
      <c r="F613" s="8" t="str">
        <f ca="1">IFERROR(_xludf.XLOOKUP(D613,STUDENTS!$A$5:$A$204,STUDENTS!$L$5:$L$204,""),"")</f>
        <v/>
      </c>
      <c r="G613" s="8"/>
      <c r="H613" s="14"/>
      <c r="I613" s="14"/>
      <c r="J613" s="15" t="str">
        <f>IF(H613="","",H613*SETTINGS!$B$9)</f>
        <v/>
      </c>
      <c r="K613" s="15" t="str">
        <f>IF(I613="","",I613*SETTINGS!$B$10)</f>
        <v/>
      </c>
      <c r="L613" s="15" t="str">
        <f t="shared" si="37"/>
        <v/>
      </c>
      <c r="M613" s="10" t="str">
        <f t="shared" si="38"/>
        <v/>
      </c>
      <c r="N613" s="10" t="str">
        <f t="shared" si="39"/>
        <v/>
      </c>
      <c r="O613" s="8"/>
    </row>
    <row r="614" spans="1:15" x14ac:dyDescent="0.2">
      <c r="A614" s="10" t="str">
        <f t="shared" si="36"/>
        <v/>
      </c>
      <c r="B614" s="8"/>
      <c r="C614" s="8"/>
      <c r="D614" s="8"/>
      <c r="E614" s="8" t="str">
        <f ca="1">IFERROR(_xludf.XLOOKUP(D614,STUDENTS!$A$5:$A$204,STUDENTS!$C$5:$C$204,""),"")</f>
        <v/>
      </c>
      <c r="F614" s="8" t="str">
        <f ca="1">IFERROR(_xludf.XLOOKUP(D614,STUDENTS!$A$5:$A$204,STUDENTS!$L$5:$L$204,""),"")</f>
        <v/>
      </c>
      <c r="G614" s="8"/>
      <c r="H614" s="14"/>
      <c r="I614" s="14"/>
      <c r="J614" s="15" t="str">
        <f>IF(H614="","",H614*SETTINGS!$B$9)</f>
        <v/>
      </c>
      <c r="K614" s="15" t="str">
        <f>IF(I614="","",I614*SETTINGS!$B$10)</f>
        <v/>
      </c>
      <c r="L614" s="15" t="str">
        <f t="shared" si="37"/>
        <v/>
      </c>
      <c r="M614" s="10" t="str">
        <f t="shared" si="38"/>
        <v/>
      </c>
      <c r="N614" s="10" t="str">
        <f t="shared" si="39"/>
        <v/>
      </c>
      <c r="O614" s="8"/>
    </row>
    <row r="615" spans="1:15" x14ac:dyDescent="0.2">
      <c r="A615" s="10" t="str">
        <f t="shared" si="36"/>
        <v/>
      </c>
      <c r="B615" s="8"/>
      <c r="C615" s="8"/>
      <c r="D615" s="8"/>
      <c r="E615" s="8" t="str">
        <f ca="1">IFERROR(_xludf.XLOOKUP(D615,STUDENTS!$A$5:$A$204,STUDENTS!$C$5:$C$204,""),"")</f>
        <v/>
      </c>
      <c r="F615" s="8" t="str">
        <f ca="1">IFERROR(_xludf.XLOOKUP(D615,STUDENTS!$A$5:$A$204,STUDENTS!$L$5:$L$204,""),"")</f>
        <v/>
      </c>
      <c r="G615" s="8"/>
      <c r="H615" s="14"/>
      <c r="I615" s="14"/>
      <c r="J615" s="15" t="str">
        <f>IF(H615="","",H615*SETTINGS!$B$9)</f>
        <v/>
      </c>
      <c r="K615" s="15" t="str">
        <f>IF(I615="","",I615*SETTINGS!$B$10)</f>
        <v/>
      </c>
      <c r="L615" s="15" t="str">
        <f t="shared" si="37"/>
        <v/>
      </c>
      <c r="M615" s="10" t="str">
        <f t="shared" si="38"/>
        <v/>
      </c>
      <c r="N615" s="10" t="str">
        <f t="shared" si="39"/>
        <v/>
      </c>
      <c r="O615" s="8"/>
    </row>
    <row r="616" spans="1:15" x14ac:dyDescent="0.2">
      <c r="A616" s="10" t="str">
        <f t="shared" si="36"/>
        <v/>
      </c>
      <c r="B616" s="8"/>
      <c r="C616" s="8"/>
      <c r="D616" s="8"/>
      <c r="E616" s="8" t="str">
        <f ca="1">IFERROR(_xludf.XLOOKUP(D616,STUDENTS!$A$5:$A$204,STUDENTS!$C$5:$C$204,""),"")</f>
        <v/>
      </c>
      <c r="F616" s="8" t="str">
        <f ca="1">IFERROR(_xludf.XLOOKUP(D616,STUDENTS!$A$5:$A$204,STUDENTS!$L$5:$L$204,""),"")</f>
        <v/>
      </c>
      <c r="G616" s="8"/>
      <c r="H616" s="14"/>
      <c r="I616" s="14"/>
      <c r="J616" s="15" t="str">
        <f>IF(H616="","",H616*SETTINGS!$B$9)</f>
        <v/>
      </c>
      <c r="K616" s="15" t="str">
        <f>IF(I616="","",I616*SETTINGS!$B$10)</f>
        <v/>
      </c>
      <c r="L616" s="15" t="str">
        <f t="shared" si="37"/>
        <v/>
      </c>
      <c r="M616" s="10" t="str">
        <f t="shared" si="38"/>
        <v/>
      </c>
      <c r="N616" s="10" t="str">
        <f t="shared" si="39"/>
        <v/>
      </c>
      <c r="O616" s="8"/>
    </row>
    <row r="617" spans="1:15" x14ac:dyDescent="0.2">
      <c r="A617" s="10" t="str">
        <f t="shared" si="36"/>
        <v/>
      </c>
      <c r="B617" s="8"/>
      <c r="C617" s="8"/>
      <c r="D617" s="8"/>
      <c r="E617" s="8" t="str">
        <f ca="1">IFERROR(_xludf.XLOOKUP(D617,STUDENTS!$A$5:$A$204,STUDENTS!$C$5:$C$204,""),"")</f>
        <v/>
      </c>
      <c r="F617" s="8" t="str">
        <f ca="1">IFERROR(_xludf.XLOOKUP(D617,STUDENTS!$A$5:$A$204,STUDENTS!$L$5:$L$204,""),"")</f>
        <v/>
      </c>
      <c r="G617" s="8"/>
      <c r="H617" s="14"/>
      <c r="I617" s="14"/>
      <c r="J617" s="15" t="str">
        <f>IF(H617="","",H617*SETTINGS!$B$9)</f>
        <v/>
      </c>
      <c r="K617" s="15" t="str">
        <f>IF(I617="","",I617*SETTINGS!$B$10)</f>
        <v/>
      </c>
      <c r="L617" s="15" t="str">
        <f t="shared" si="37"/>
        <v/>
      </c>
      <c r="M617" s="10" t="str">
        <f t="shared" si="38"/>
        <v/>
      </c>
      <c r="N617" s="10" t="str">
        <f t="shared" si="39"/>
        <v/>
      </c>
      <c r="O617" s="8"/>
    </row>
    <row r="618" spans="1:15" x14ac:dyDescent="0.2">
      <c r="A618" s="10" t="str">
        <f t="shared" si="36"/>
        <v/>
      </c>
      <c r="B618" s="8"/>
      <c r="C618" s="8"/>
      <c r="D618" s="8"/>
      <c r="E618" s="8" t="str">
        <f ca="1">IFERROR(_xludf.XLOOKUP(D618,STUDENTS!$A$5:$A$204,STUDENTS!$C$5:$C$204,""),"")</f>
        <v/>
      </c>
      <c r="F618" s="8" t="str">
        <f ca="1">IFERROR(_xludf.XLOOKUP(D618,STUDENTS!$A$5:$A$204,STUDENTS!$L$5:$L$204,""),"")</f>
        <v/>
      </c>
      <c r="G618" s="8"/>
      <c r="H618" s="14"/>
      <c r="I618" s="14"/>
      <c r="J618" s="15" t="str">
        <f>IF(H618="","",H618*SETTINGS!$B$9)</f>
        <v/>
      </c>
      <c r="K618" s="15" t="str">
        <f>IF(I618="","",I618*SETTINGS!$B$10)</f>
        <v/>
      </c>
      <c r="L618" s="15" t="str">
        <f t="shared" si="37"/>
        <v/>
      </c>
      <c r="M618" s="10" t="str">
        <f t="shared" si="38"/>
        <v/>
      </c>
      <c r="N618" s="10" t="str">
        <f t="shared" si="39"/>
        <v/>
      </c>
      <c r="O618" s="8"/>
    </row>
    <row r="619" spans="1:15" x14ac:dyDescent="0.2">
      <c r="A619" s="10" t="str">
        <f t="shared" si="36"/>
        <v/>
      </c>
      <c r="B619" s="8"/>
      <c r="C619" s="8"/>
      <c r="D619" s="8"/>
      <c r="E619" s="8" t="str">
        <f ca="1">IFERROR(_xludf.XLOOKUP(D619,STUDENTS!$A$5:$A$204,STUDENTS!$C$5:$C$204,""),"")</f>
        <v/>
      </c>
      <c r="F619" s="8" t="str">
        <f ca="1">IFERROR(_xludf.XLOOKUP(D619,STUDENTS!$A$5:$A$204,STUDENTS!$L$5:$L$204,""),"")</f>
        <v/>
      </c>
      <c r="G619" s="8"/>
      <c r="H619" s="14"/>
      <c r="I619" s="14"/>
      <c r="J619" s="15" t="str">
        <f>IF(H619="","",H619*SETTINGS!$B$9)</f>
        <v/>
      </c>
      <c r="K619" s="15" t="str">
        <f>IF(I619="","",I619*SETTINGS!$B$10)</f>
        <v/>
      </c>
      <c r="L619" s="15" t="str">
        <f t="shared" si="37"/>
        <v/>
      </c>
      <c r="M619" s="10" t="str">
        <f t="shared" si="38"/>
        <v/>
      </c>
      <c r="N619" s="10" t="str">
        <f t="shared" si="39"/>
        <v/>
      </c>
      <c r="O619" s="8"/>
    </row>
    <row r="620" spans="1:15" x14ac:dyDescent="0.2">
      <c r="A620" s="10" t="str">
        <f t="shared" si="36"/>
        <v/>
      </c>
      <c r="B620" s="8"/>
      <c r="C620" s="8"/>
      <c r="D620" s="8"/>
      <c r="E620" s="8" t="str">
        <f ca="1">IFERROR(_xludf.XLOOKUP(D620,STUDENTS!$A$5:$A$204,STUDENTS!$C$5:$C$204,""),"")</f>
        <v/>
      </c>
      <c r="F620" s="8" t="str">
        <f ca="1">IFERROR(_xludf.XLOOKUP(D620,STUDENTS!$A$5:$A$204,STUDENTS!$L$5:$L$204,""),"")</f>
        <v/>
      </c>
      <c r="G620" s="8"/>
      <c r="H620" s="14"/>
      <c r="I620" s="14"/>
      <c r="J620" s="15" t="str">
        <f>IF(H620="","",H620*SETTINGS!$B$9)</f>
        <v/>
      </c>
      <c r="K620" s="15" t="str">
        <f>IF(I620="","",I620*SETTINGS!$B$10)</f>
        <v/>
      </c>
      <c r="L620" s="15" t="str">
        <f t="shared" si="37"/>
        <v/>
      </c>
      <c r="M620" s="10" t="str">
        <f t="shared" si="38"/>
        <v/>
      </c>
      <c r="N620" s="10" t="str">
        <f t="shared" si="39"/>
        <v/>
      </c>
      <c r="O620" s="8"/>
    </row>
    <row r="621" spans="1:15" x14ac:dyDescent="0.2">
      <c r="A621" s="10" t="str">
        <f t="shared" si="36"/>
        <v/>
      </c>
      <c r="B621" s="8"/>
      <c r="C621" s="8"/>
      <c r="D621" s="8"/>
      <c r="E621" s="8" t="str">
        <f ca="1">IFERROR(_xludf.XLOOKUP(D621,STUDENTS!$A$5:$A$204,STUDENTS!$C$5:$C$204,""),"")</f>
        <v/>
      </c>
      <c r="F621" s="8" t="str">
        <f ca="1">IFERROR(_xludf.XLOOKUP(D621,STUDENTS!$A$5:$A$204,STUDENTS!$L$5:$L$204,""),"")</f>
        <v/>
      </c>
      <c r="G621" s="8"/>
      <c r="H621" s="14"/>
      <c r="I621" s="14"/>
      <c r="J621" s="15" t="str">
        <f>IF(H621="","",H621*SETTINGS!$B$9)</f>
        <v/>
      </c>
      <c r="K621" s="15" t="str">
        <f>IF(I621="","",I621*SETTINGS!$B$10)</f>
        <v/>
      </c>
      <c r="L621" s="15" t="str">
        <f t="shared" si="37"/>
        <v/>
      </c>
      <c r="M621" s="10" t="str">
        <f t="shared" si="38"/>
        <v/>
      </c>
      <c r="N621" s="10" t="str">
        <f t="shared" si="39"/>
        <v/>
      </c>
      <c r="O621" s="8"/>
    </row>
    <row r="622" spans="1:15" x14ac:dyDescent="0.2">
      <c r="A622" s="10" t="str">
        <f t="shared" si="36"/>
        <v/>
      </c>
      <c r="B622" s="8"/>
      <c r="C622" s="8"/>
      <c r="D622" s="8"/>
      <c r="E622" s="8" t="str">
        <f ca="1">IFERROR(_xludf.XLOOKUP(D622,STUDENTS!$A$5:$A$204,STUDENTS!$C$5:$C$204,""),"")</f>
        <v/>
      </c>
      <c r="F622" s="8" t="str">
        <f ca="1">IFERROR(_xludf.XLOOKUP(D622,STUDENTS!$A$5:$A$204,STUDENTS!$L$5:$L$204,""),"")</f>
        <v/>
      </c>
      <c r="G622" s="8"/>
      <c r="H622" s="14"/>
      <c r="I622" s="14"/>
      <c r="J622" s="15" t="str">
        <f>IF(H622="","",H622*SETTINGS!$B$9)</f>
        <v/>
      </c>
      <c r="K622" s="15" t="str">
        <f>IF(I622="","",I622*SETTINGS!$B$10)</f>
        <v/>
      </c>
      <c r="L622" s="15" t="str">
        <f t="shared" si="37"/>
        <v/>
      </c>
      <c r="M622" s="10" t="str">
        <f t="shared" si="38"/>
        <v/>
      </c>
      <c r="N622" s="10" t="str">
        <f t="shared" si="39"/>
        <v/>
      </c>
      <c r="O622" s="8"/>
    </row>
    <row r="623" spans="1:15" x14ac:dyDescent="0.2">
      <c r="A623" s="10" t="str">
        <f t="shared" si="36"/>
        <v/>
      </c>
      <c r="B623" s="8"/>
      <c r="C623" s="8"/>
      <c r="D623" s="8"/>
      <c r="E623" s="8" t="str">
        <f ca="1">IFERROR(_xludf.XLOOKUP(D623,STUDENTS!$A$5:$A$204,STUDENTS!$C$5:$C$204,""),"")</f>
        <v/>
      </c>
      <c r="F623" s="8" t="str">
        <f ca="1">IFERROR(_xludf.XLOOKUP(D623,STUDENTS!$A$5:$A$204,STUDENTS!$L$5:$L$204,""),"")</f>
        <v/>
      </c>
      <c r="G623" s="8"/>
      <c r="H623" s="14"/>
      <c r="I623" s="14"/>
      <c r="J623" s="15" t="str">
        <f>IF(H623="","",H623*SETTINGS!$B$9)</f>
        <v/>
      </c>
      <c r="K623" s="15" t="str">
        <f>IF(I623="","",I623*SETTINGS!$B$10)</f>
        <v/>
      </c>
      <c r="L623" s="15" t="str">
        <f t="shared" si="37"/>
        <v/>
      </c>
      <c r="M623" s="10" t="str">
        <f t="shared" si="38"/>
        <v/>
      </c>
      <c r="N623" s="10" t="str">
        <f t="shared" si="39"/>
        <v/>
      </c>
      <c r="O623" s="8"/>
    </row>
    <row r="624" spans="1:15" x14ac:dyDescent="0.2">
      <c r="A624" s="10" t="str">
        <f t="shared" si="36"/>
        <v/>
      </c>
      <c r="B624" s="8"/>
      <c r="C624" s="8"/>
      <c r="D624" s="8"/>
      <c r="E624" s="8" t="str">
        <f ca="1">IFERROR(_xludf.XLOOKUP(D624,STUDENTS!$A$5:$A$204,STUDENTS!$C$5:$C$204,""),"")</f>
        <v/>
      </c>
      <c r="F624" s="8" t="str">
        <f ca="1">IFERROR(_xludf.XLOOKUP(D624,STUDENTS!$A$5:$A$204,STUDENTS!$L$5:$L$204,""),"")</f>
        <v/>
      </c>
      <c r="G624" s="8"/>
      <c r="H624" s="14"/>
      <c r="I624" s="14"/>
      <c r="J624" s="15" t="str">
        <f>IF(H624="","",H624*SETTINGS!$B$9)</f>
        <v/>
      </c>
      <c r="K624" s="15" t="str">
        <f>IF(I624="","",I624*SETTINGS!$B$10)</f>
        <v/>
      </c>
      <c r="L624" s="15" t="str">
        <f t="shared" si="37"/>
        <v/>
      </c>
      <c r="M624" s="10" t="str">
        <f t="shared" si="38"/>
        <v/>
      </c>
      <c r="N624" s="10" t="str">
        <f t="shared" si="39"/>
        <v/>
      </c>
      <c r="O624" s="8"/>
    </row>
    <row r="625" spans="1:15" x14ac:dyDescent="0.2">
      <c r="A625" s="10" t="str">
        <f t="shared" si="36"/>
        <v/>
      </c>
      <c r="B625" s="8"/>
      <c r="C625" s="8"/>
      <c r="D625" s="8"/>
      <c r="E625" s="8" t="str">
        <f ca="1">IFERROR(_xludf.XLOOKUP(D625,STUDENTS!$A$5:$A$204,STUDENTS!$C$5:$C$204,""),"")</f>
        <v/>
      </c>
      <c r="F625" s="8" t="str">
        <f ca="1">IFERROR(_xludf.XLOOKUP(D625,STUDENTS!$A$5:$A$204,STUDENTS!$L$5:$L$204,""),"")</f>
        <v/>
      </c>
      <c r="G625" s="8"/>
      <c r="H625" s="14"/>
      <c r="I625" s="14"/>
      <c r="J625" s="15" t="str">
        <f>IF(H625="","",H625*SETTINGS!$B$9)</f>
        <v/>
      </c>
      <c r="K625" s="15" t="str">
        <f>IF(I625="","",I625*SETTINGS!$B$10)</f>
        <v/>
      </c>
      <c r="L625" s="15" t="str">
        <f t="shared" si="37"/>
        <v/>
      </c>
      <c r="M625" s="10" t="str">
        <f t="shared" si="38"/>
        <v/>
      </c>
      <c r="N625" s="10" t="str">
        <f t="shared" si="39"/>
        <v/>
      </c>
      <c r="O625" s="8"/>
    </row>
    <row r="626" spans="1:15" x14ac:dyDescent="0.2">
      <c r="A626" s="10" t="str">
        <f t="shared" si="36"/>
        <v/>
      </c>
      <c r="B626" s="8"/>
      <c r="C626" s="8"/>
      <c r="D626" s="8"/>
      <c r="E626" s="8" t="str">
        <f ca="1">IFERROR(_xludf.XLOOKUP(D626,STUDENTS!$A$5:$A$204,STUDENTS!$C$5:$C$204,""),"")</f>
        <v/>
      </c>
      <c r="F626" s="8" t="str">
        <f ca="1">IFERROR(_xludf.XLOOKUP(D626,STUDENTS!$A$5:$A$204,STUDENTS!$L$5:$L$204,""),"")</f>
        <v/>
      </c>
      <c r="G626" s="8"/>
      <c r="H626" s="14"/>
      <c r="I626" s="14"/>
      <c r="J626" s="15" t="str">
        <f>IF(H626="","",H626*SETTINGS!$B$9)</f>
        <v/>
      </c>
      <c r="K626" s="15" t="str">
        <f>IF(I626="","",I626*SETTINGS!$B$10)</f>
        <v/>
      </c>
      <c r="L626" s="15" t="str">
        <f t="shared" si="37"/>
        <v/>
      </c>
      <c r="M626" s="10" t="str">
        <f t="shared" si="38"/>
        <v/>
      </c>
      <c r="N626" s="10" t="str">
        <f t="shared" si="39"/>
        <v/>
      </c>
      <c r="O626" s="8"/>
    </row>
    <row r="627" spans="1:15" x14ac:dyDescent="0.2">
      <c r="A627" s="10" t="str">
        <f t="shared" si="36"/>
        <v/>
      </c>
      <c r="B627" s="8"/>
      <c r="C627" s="8"/>
      <c r="D627" s="8"/>
      <c r="E627" s="8" t="str">
        <f ca="1">IFERROR(_xludf.XLOOKUP(D627,STUDENTS!$A$5:$A$204,STUDENTS!$C$5:$C$204,""),"")</f>
        <v/>
      </c>
      <c r="F627" s="8" t="str">
        <f ca="1">IFERROR(_xludf.XLOOKUP(D627,STUDENTS!$A$5:$A$204,STUDENTS!$L$5:$L$204,""),"")</f>
        <v/>
      </c>
      <c r="G627" s="8"/>
      <c r="H627" s="14"/>
      <c r="I627" s="14"/>
      <c r="J627" s="15" t="str">
        <f>IF(H627="","",H627*SETTINGS!$B$9)</f>
        <v/>
      </c>
      <c r="K627" s="15" t="str">
        <f>IF(I627="","",I627*SETTINGS!$B$10)</f>
        <v/>
      </c>
      <c r="L627" s="15" t="str">
        <f t="shared" si="37"/>
        <v/>
      </c>
      <c r="M627" s="10" t="str">
        <f t="shared" si="38"/>
        <v/>
      </c>
      <c r="N627" s="10" t="str">
        <f t="shared" si="39"/>
        <v/>
      </c>
      <c r="O627" s="8"/>
    </row>
    <row r="628" spans="1:15" x14ac:dyDescent="0.2">
      <c r="A628" s="10" t="str">
        <f t="shared" si="36"/>
        <v/>
      </c>
      <c r="B628" s="8"/>
      <c r="C628" s="8"/>
      <c r="D628" s="8"/>
      <c r="E628" s="8" t="str">
        <f ca="1">IFERROR(_xludf.XLOOKUP(D628,STUDENTS!$A$5:$A$204,STUDENTS!$C$5:$C$204,""),"")</f>
        <v/>
      </c>
      <c r="F628" s="8" t="str">
        <f ca="1">IFERROR(_xludf.XLOOKUP(D628,STUDENTS!$A$5:$A$204,STUDENTS!$L$5:$L$204,""),"")</f>
        <v/>
      </c>
      <c r="G628" s="8"/>
      <c r="H628" s="14"/>
      <c r="I628" s="14"/>
      <c r="J628" s="15" t="str">
        <f>IF(H628="","",H628*SETTINGS!$B$9)</f>
        <v/>
      </c>
      <c r="K628" s="15" t="str">
        <f>IF(I628="","",I628*SETTINGS!$B$10)</f>
        <v/>
      </c>
      <c r="L628" s="15" t="str">
        <f t="shared" si="37"/>
        <v/>
      </c>
      <c r="M628" s="10" t="str">
        <f t="shared" si="38"/>
        <v/>
      </c>
      <c r="N628" s="10" t="str">
        <f t="shared" si="39"/>
        <v/>
      </c>
      <c r="O628" s="8"/>
    </row>
    <row r="629" spans="1:15" x14ac:dyDescent="0.2">
      <c r="A629" s="10" t="str">
        <f t="shared" si="36"/>
        <v/>
      </c>
      <c r="B629" s="8"/>
      <c r="C629" s="8"/>
      <c r="D629" s="8"/>
      <c r="E629" s="8" t="str">
        <f ca="1">IFERROR(_xludf.XLOOKUP(D629,STUDENTS!$A$5:$A$204,STUDENTS!$C$5:$C$204,""),"")</f>
        <v/>
      </c>
      <c r="F629" s="8" t="str">
        <f ca="1">IFERROR(_xludf.XLOOKUP(D629,STUDENTS!$A$5:$A$204,STUDENTS!$L$5:$L$204,""),"")</f>
        <v/>
      </c>
      <c r="G629" s="8"/>
      <c r="H629" s="14"/>
      <c r="I629" s="14"/>
      <c r="J629" s="15" t="str">
        <f>IF(H629="","",H629*SETTINGS!$B$9)</f>
        <v/>
      </c>
      <c r="K629" s="15" t="str">
        <f>IF(I629="","",I629*SETTINGS!$B$10)</f>
        <v/>
      </c>
      <c r="L629" s="15" t="str">
        <f t="shared" si="37"/>
        <v/>
      </c>
      <c r="M629" s="10" t="str">
        <f t="shared" si="38"/>
        <v/>
      </c>
      <c r="N629" s="10" t="str">
        <f t="shared" si="39"/>
        <v/>
      </c>
      <c r="O629" s="8"/>
    </row>
    <row r="630" spans="1:15" x14ac:dyDescent="0.2">
      <c r="A630" s="10" t="str">
        <f t="shared" si="36"/>
        <v/>
      </c>
      <c r="B630" s="8"/>
      <c r="C630" s="8"/>
      <c r="D630" s="8"/>
      <c r="E630" s="8" t="str">
        <f ca="1">IFERROR(_xludf.XLOOKUP(D630,STUDENTS!$A$5:$A$204,STUDENTS!$C$5:$C$204,""),"")</f>
        <v/>
      </c>
      <c r="F630" s="8" t="str">
        <f ca="1">IFERROR(_xludf.XLOOKUP(D630,STUDENTS!$A$5:$A$204,STUDENTS!$L$5:$L$204,""),"")</f>
        <v/>
      </c>
      <c r="G630" s="8"/>
      <c r="H630" s="14"/>
      <c r="I630" s="14"/>
      <c r="J630" s="15" t="str">
        <f>IF(H630="","",H630*SETTINGS!$B$9)</f>
        <v/>
      </c>
      <c r="K630" s="15" t="str">
        <f>IF(I630="","",I630*SETTINGS!$B$10)</f>
        <v/>
      </c>
      <c r="L630" s="15" t="str">
        <f t="shared" si="37"/>
        <v/>
      </c>
      <c r="M630" s="10" t="str">
        <f t="shared" si="38"/>
        <v/>
      </c>
      <c r="N630" s="10" t="str">
        <f t="shared" si="39"/>
        <v/>
      </c>
      <c r="O630" s="8"/>
    </row>
    <row r="631" spans="1:15" x14ac:dyDescent="0.2">
      <c r="A631" s="10" t="str">
        <f t="shared" si="36"/>
        <v/>
      </c>
      <c r="B631" s="8"/>
      <c r="C631" s="8"/>
      <c r="D631" s="8"/>
      <c r="E631" s="8" t="str">
        <f ca="1">IFERROR(_xludf.XLOOKUP(D631,STUDENTS!$A$5:$A$204,STUDENTS!$C$5:$C$204,""),"")</f>
        <v/>
      </c>
      <c r="F631" s="8" t="str">
        <f ca="1">IFERROR(_xludf.XLOOKUP(D631,STUDENTS!$A$5:$A$204,STUDENTS!$L$5:$L$204,""),"")</f>
        <v/>
      </c>
      <c r="G631" s="8"/>
      <c r="H631" s="14"/>
      <c r="I631" s="14"/>
      <c r="J631" s="15" t="str">
        <f>IF(H631="","",H631*SETTINGS!$B$9)</f>
        <v/>
      </c>
      <c r="K631" s="15" t="str">
        <f>IF(I631="","",I631*SETTINGS!$B$10)</f>
        <v/>
      </c>
      <c r="L631" s="15" t="str">
        <f t="shared" si="37"/>
        <v/>
      </c>
      <c r="M631" s="10" t="str">
        <f t="shared" si="38"/>
        <v/>
      </c>
      <c r="N631" s="10" t="str">
        <f t="shared" si="39"/>
        <v/>
      </c>
      <c r="O631" s="8"/>
    </row>
    <row r="632" spans="1:15" x14ac:dyDescent="0.2">
      <c r="A632" s="10" t="str">
        <f t="shared" si="36"/>
        <v/>
      </c>
      <c r="B632" s="8"/>
      <c r="C632" s="8"/>
      <c r="D632" s="8"/>
      <c r="E632" s="8" t="str">
        <f ca="1">IFERROR(_xludf.XLOOKUP(D632,STUDENTS!$A$5:$A$204,STUDENTS!$C$5:$C$204,""),"")</f>
        <v/>
      </c>
      <c r="F632" s="8" t="str">
        <f ca="1">IFERROR(_xludf.XLOOKUP(D632,STUDENTS!$A$5:$A$204,STUDENTS!$L$5:$L$204,""),"")</f>
        <v/>
      </c>
      <c r="G632" s="8"/>
      <c r="H632" s="14"/>
      <c r="I632" s="14"/>
      <c r="J632" s="15" t="str">
        <f>IF(H632="","",H632*SETTINGS!$B$9)</f>
        <v/>
      </c>
      <c r="K632" s="15" t="str">
        <f>IF(I632="","",I632*SETTINGS!$B$10)</f>
        <v/>
      </c>
      <c r="L632" s="15" t="str">
        <f t="shared" si="37"/>
        <v/>
      </c>
      <c r="M632" s="10" t="str">
        <f t="shared" si="38"/>
        <v/>
      </c>
      <c r="N632" s="10" t="str">
        <f t="shared" si="39"/>
        <v/>
      </c>
      <c r="O632" s="8"/>
    </row>
    <row r="633" spans="1:15" x14ac:dyDescent="0.2">
      <c r="A633" s="10" t="str">
        <f t="shared" si="36"/>
        <v/>
      </c>
      <c r="B633" s="8"/>
      <c r="C633" s="8"/>
      <c r="D633" s="8"/>
      <c r="E633" s="8" t="str">
        <f ca="1">IFERROR(_xludf.XLOOKUP(D633,STUDENTS!$A$5:$A$204,STUDENTS!$C$5:$C$204,""),"")</f>
        <v/>
      </c>
      <c r="F633" s="8" t="str">
        <f ca="1">IFERROR(_xludf.XLOOKUP(D633,STUDENTS!$A$5:$A$204,STUDENTS!$L$5:$L$204,""),"")</f>
        <v/>
      </c>
      <c r="G633" s="8"/>
      <c r="H633" s="14"/>
      <c r="I633" s="14"/>
      <c r="J633" s="15" t="str">
        <f>IF(H633="","",H633*SETTINGS!$B$9)</f>
        <v/>
      </c>
      <c r="K633" s="15" t="str">
        <f>IF(I633="","",I633*SETTINGS!$B$10)</f>
        <v/>
      </c>
      <c r="L633" s="15" t="str">
        <f t="shared" si="37"/>
        <v/>
      </c>
      <c r="M633" s="10" t="str">
        <f t="shared" si="38"/>
        <v/>
      </c>
      <c r="N633" s="10" t="str">
        <f t="shared" si="39"/>
        <v/>
      </c>
      <c r="O633" s="8"/>
    </row>
    <row r="634" spans="1:15" x14ac:dyDescent="0.2">
      <c r="A634" s="10" t="str">
        <f t="shared" si="36"/>
        <v/>
      </c>
      <c r="B634" s="8"/>
      <c r="C634" s="8"/>
      <c r="D634" s="8"/>
      <c r="E634" s="8" t="str">
        <f ca="1">IFERROR(_xludf.XLOOKUP(D634,STUDENTS!$A$5:$A$204,STUDENTS!$C$5:$C$204,""),"")</f>
        <v/>
      </c>
      <c r="F634" s="8" t="str">
        <f ca="1">IFERROR(_xludf.XLOOKUP(D634,STUDENTS!$A$5:$A$204,STUDENTS!$L$5:$L$204,""),"")</f>
        <v/>
      </c>
      <c r="G634" s="8"/>
      <c r="H634" s="14"/>
      <c r="I634" s="14"/>
      <c r="J634" s="15" t="str">
        <f>IF(H634="","",H634*SETTINGS!$B$9)</f>
        <v/>
      </c>
      <c r="K634" s="15" t="str">
        <f>IF(I634="","",I634*SETTINGS!$B$10)</f>
        <v/>
      </c>
      <c r="L634" s="15" t="str">
        <f t="shared" si="37"/>
        <v/>
      </c>
      <c r="M634" s="10" t="str">
        <f t="shared" si="38"/>
        <v/>
      </c>
      <c r="N634" s="10" t="str">
        <f t="shared" si="39"/>
        <v/>
      </c>
      <c r="O634" s="8"/>
    </row>
    <row r="635" spans="1:15" x14ac:dyDescent="0.2">
      <c r="A635" s="10" t="str">
        <f t="shared" si="36"/>
        <v/>
      </c>
      <c r="B635" s="8"/>
      <c r="C635" s="8"/>
      <c r="D635" s="8"/>
      <c r="E635" s="8" t="str">
        <f ca="1">IFERROR(_xludf.XLOOKUP(D635,STUDENTS!$A$5:$A$204,STUDENTS!$C$5:$C$204,""),"")</f>
        <v/>
      </c>
      <c r="F635" s="8" t="str">
        <f ca="1">IFERROR(_xludf.XLOOKUP(D635,STUDENTS!$A$5:$A$204,STUDENTS!$L$5:$L$204,""),"")</f>
        <v/>
      </c>
      <c r="G635" s="8"/>
      <c r="H635" s="14"/>
      <c r="I635" s="14"/>
      <c r="J635" s="15" t="str">
        <f>IF(H635="","",H635*SETTINGS!$B$9)</f>
        <v/>
      </c>
      <c r="K635" s="15" t="str">
        <f>IF(I635="","",I635*SETTINGS!$B$10)</f>
        <v/>
      </c>
      <c r="L635" s="15" t="str">
        <f t="shared" si="37"/>
        <v/>
      </c>
      <c r="M635" s="10" t="str">
        <f t="shared" si="38"/>
        <v/>
      </c>
      <c r="N635" s="10" t="str">
        <f t="shared" si="39"/>
        <v/>
      </c>
      <c r="O635" s="8"/>
    </row>
    <row r="636" spans="1:15" x14ac:dyDescent="0.2">
      <c r="A636" s="10" t="str">
        <f t="shared" si="36"/>
        <v/>
      </c>
      <c r="B636" s="8"/>
      <c r="C636" s="8"/>
      <c r="D636" s="8"/>
      <c r="E636" s="8" t="str">
        <f ca="1">IFERROR(_xludf.XLOOKUP(D636,STUDENTS!$A$5:$A$204,STUDENTS!$C$5:$C$204,""),"")</f>
        <v/>
      </c>
      <c r="F636" s="8" t="str">
        <f ca="1">IFERROR(_xludf.XLOOKUP(D636,STUDENTS!$A$5:$A$204,STUDENTS!$L$5:$L$204,""),"")</f>
        <v/>
      </c>
      <c r="G636" s="8"/>
      <c r="H636" s="14"/>
      <c r="I636" s="14"/>
      <c r="J636" s="15" t="str">
        <f>IF(H636="","",H636*SETTINGS!$B$9)</f>
        <v/>
      </c>
      <c r="K636" s="15" t="str">
        <f>IF(I636="","",I636*SETTINGS!$B$10)</f>
        <v/>
      </c>
      <c r="L636" s="15" t="str">
        <f t="shared" si="37"/>
        <v/>
      </c>
      <c r="M636" s="10" t="str">
        <f t="shared" si="38"/>
        <v/>
      </c>
      <c r="N636" s="10" t="str">
        <f t="shared" si="39"/>
        <v/>
      </c>
      <c r="O636" s="8"/>
    </row>
    <row r="637" spans="1:15" x14ac:dyDescent="0.2">
      <c r="A637" s="10" t="str">
        <f t="shared" si="36"/>
        <v/>
      </c>
      <c r="B637" s="8"/>
      <c r="C637" s="8"/>
      <c r="D637" s="8"/>
      <c r="E637" s="8" t="str">
        <f ca="1">IFERROR(_xludf.XLOOKUP(D637,STUDENTS!$A$5:$A$204,STUDENTS!$C$5:$C$204,""),"")</f>
        <v/>
      </c>
      <c r="F637" s="8" t="str">
        <f ca="1">IFERROR(_xludf.XLOOKUP(D637,STUDENTS!$A$5:$A$204,STUDENTS!$L$5:$L$204,""),"")</f>
        <v/>
      </c>
      <c r="G637" s="8"/>
      <c r="H637" s="14"/>
      <c r="I637" s="14"/>
      <c r="J637" s="15" t="str">
        <f>IF(H637="","",H637*SETTINGS!$B$9)</f>
        <v/>
      </c>
      <c r="K637" s="15" t="str">
        <f>IF(I637="","",I637*SETTINGS!$B$10)</f>
        <v/>
      </c>
      <c r="L637" s="15" t="str">
        <f t="shared" si="37"/>
        <v/>
      </c>
      <c r="M637" s="10" t="str">
        <f t="shared" si="38"/>
        <v/>
      </c>
      <c r="N637" s="10" t="str">
        <f t="shared" si="39"/>
        <v/>
      </c>
      <c r="O637" s="8"/>
    </row>
    <row r="638" spans="1:15" x14ac:dyDescent="0.2">
      <c r="A638" s="10" t="str">
        <f t="shared" si="36"/>
        <v/>
      </c>
      <c r="B638" s="8"/>
      <c r="C638" s="8"/>
      <c r="D638" s="8"/>
      <c r="E638" s="8" t="str">
        <f ca="1">IFERROR(_xludf.XLOOKUP(D638,STUDENTS!$A$5:$A$204,STUDENTS!$C$5:$C$204,""),"")</f>
        <v/>
      </c>
      <c r="F638" s="8" t="str">
        <f ca="1">IFERROR(_xludf.XLOOKUP(D638,STUDENTS!$A$5:$A$204,STUDENTS!$L$5:$L$204,""),"")</f>
        <v/>
      </c>
      <c r="G638" s="8"/>
      <c r="H638" s="14"/>
      <c r="I638" s="14"/>
      <c r="J638" s="15" t="str">
        <f>IF(H638="","",H638*SETTINGS!$B$9)</f>
        <v/>
      </c>
      <c r="K638" s="15" t="str">
        <f>IF(I638="","",I638*SETTINGS!$B$10)</f>
        <v/>
      </c>
      <c r="L638" s="15" t="str">
        <f t="shared" si="37"/>
        <v/>
      </c>
      <c r="M638" s="10" t="str">
        <f t="shared" si="38"/>
        <v/>
      </c>
      <c r="N638" s="10" t="str">
        <f t="shared" si="39"/>
        <v/>
      </c>
      <c r="O638" s="8"/>
    </row>
    <row r="639" spans="1:15" x14ac:dyDescent="0.2">
      <c r="A639" s="10" t="str">
        <f t="shared" si="36"/>
        <v/>
      </c>
      <c r="B639" s="8"/>
      <c r="C639" s="8"/>
      <c r="D639" s="8"/>
      <c r="E639" s="8" t="str">
        <f ca="1">IFERROR(_xludf.XLOOKUP(D639,STUDENTS!$A$5:$A$204,STUDENTS!$C$5:$C$204,""),"")</f>
        <v/>
      </c>
      <c r="F639" s="8" t="str">
        <f ca="1">IFERROR(_xludf.XLOOKUP(D639,STUDENTS!$A$5:$A$204,STUDENTS!$L$5:$L$204,""),"")</f>
        <v/>
      </c>
      <c r="G639" s="8"/>
      <c r="H639" s="14"/>
      <c r="I639" s="14"/>
      <c r="J639" s="15" t="str">
        <f>IF(H639="","",H639*SETTINGS!$B$9)</f>
        <v/>
      </c>
      <c r="K639" s="15" t="str">
        <f>IF(I639="","",I639*SETTINGS!$B$10)</f>
        <v/>
      </c>
      <c r="L639" s="15" t="str">
        <f t="shared" si="37"/>
        <v/>
      </c>
      <c r="M639" s="10" t="str">
        <f t="shared" si="38"/>
        <v/>
      </c>
      <c r="N639" s="10" t="str">
        <f t="shared" si="39"/>
        <v/>
      </c>
      <c r="O639" s="8"/>
    </row>
    <row r="640" spans="1:15" x14ac:dyDescent="0.2">
      <c r="A640" s="10" t="str">
        <f t="shared" si="36"/>
        <v/>
      </c>
      <c r="B640" s="8"/>
      <c r="C640" s="8"/>
      <c r="D640" s="8"/>
      <c r="E640" s="8" t="str">
        <f ca="1">IFERROR(_xludf.XLOOKUP(D640,STUDENTS!$A$5:$A$204,STUDENTS!$C$5:$C$204,""),"")</f>
        <v/>
      </c>
      <c r="F640" s="8" t="str">
        <f ca="1">IFERROR(_xludf.XLOOKUP(D640,STUDENTS!$A$5:$A$204,STUDENTS!$L$5:$L$204,""),"")</f>
        <v/>
      </c>
      <c r="G640" s="8"/>
      <c r="H640" s="14"/>
      <c r="I640" s="14"/>
      <c r="J640" s="15" t="str">
        <f>IF(H640="","",H640*SETTINGS!$B$9)</f>
        <v/>
      </c>
      <c r="K640" s="15" t="str">
        <f>IF(I640="","",I640*SETTINGS!$B$10)</f>
        <v/>
      </c>
      <c r="L640" s="15" t="str">
        <f t="shared" si="37"/>
        <v/>
      </c>
      <c r="M640" s="10" t="str">
        <f t="shared" si="38"/>
        <v/>
      </c>
      <c r="N640" s="10" t="str">
        <f t="shared" si="39"/>
        <v/>
      </c>
      <c r="O640" s="8"/>
    </row>
    <row r="641" spans="1:15" x14ac:dyDescent="0.2">
      <c r="A641" s="10" t="str">
        <f t="shared" si="36"/>
        <v/>
      </c>
      <c r="B641" s="8"/>
      <c r="C641" s="8"/>
      <c r="D641" s="8"/>
      <c r="E641" s="8" t="str">
        <f ca="1">IFERROR(_xludf.XLOOKUP(D641,STUDENTS!$A$5:$A$204,STUDENTS!$C$5:$C$204,""),"")</f>
        <v/>
      </c>
      <c r="F641" s="8" t="str">
        <f ca="1">IFERROR(_xludf.XLOOKUP(D641,STUDENTS!$A$5:$A$204,STUDENTS!$L$5:$L$204,""),"")</f>
        <v/>
      </c>
      <c r="G641" s="8"/>
      <c r="H641" s="14"/>
      <c r="I641" s="14"/>
      <c r="J641" s="15" t="str">
        <f>IF(H641="","",H641*SETTINGS!$B$9)</f>
        <v/>
      </c>
      <c r="K641" s="15" t="str">
        <f>IF(I641="","",I641*SETTINGS!$B$10)</f>
        <v/>
      </c>
      <c r="L641" s="15" t="str">
        <f t="shared" si="37"/>
        <v/>
      </c>
      <c r="M641" s="10" t="str">
        <f t="shared" si="38"/>
        <v/>
      </c>
      <c r="N641" s="10" t="str">
        <f t="shared" si="39"/>
        <v/>
      </c>
      <c r="O641" s="8"/>
    </row>
    <row r="642" spans="1:15" x14ac:dyDescent="0.2">
      <c r="A642" s="10" t="str">
        <f t="shared" si="36"/>
        <v/>
      </c>
      <c r="B642" s="8"/>
      <c r="C642" s="8"/>
      <c r="D642" s="8"/>
      <c r="E642" s="8" t="str">
        <f ca="1">IFERROR(_xludf.XLOOKUP(D642,STUDENTS!$A$5:$A$204,STUDENTS!$C$5:$C$204,""),"")</f>
        <v/>
      </c>
      <c r="F642" s="8" t="str">
        <f ca="1">IFERROR(_xludf.XLOOKUP(D642,STUDENTS!$A$5:$A$204,STUDENTS!$L$5:$L$204,""),"")</f>
        <v/>
      </c>
      <c r="G642" s="8"/>
      <c r="H642" s="14"/>
      <c r="I642" s="14"/>
      <c r="J642" s="15" t="str">
        <f>IF(H642="","",H642*SETTINGS!$B$9)</f>
        <v/>
      </c>
      <c r="K642" s="15" t="str">
        <f>IF(I642="","",I642*SETTINGS!$B$10)</f>
        <v/>
      </c>
      <c r="L642" s="15" t="str">
        <f t="shared" si="37"/>
        <v/>
      </c>
      <c r="M642" s="10" t="str">
        <f t="shared" si="38"/>
        <v/>
      </c>
      <c r="N642" s="10" t="str">
        <f t="shared" si="39"/>
        <v/>
      </c>
      <c r="O642" s="8"/>
    </row>
    <row r="643" spans="1:15" x14ac:dyDescent="0.2">
      <c r="A643" s="10" t="str">
        <f t="shared" si="36"/>
        <v/>
      </c>
      <c r="B643" s="8"/>
      <c r="C643" s="8"/>
      <c r="D643" s="8"/>
      <c r="E643" s="8" t="str">
        <f ca="1">IFERROR(_xludf.XLOOKUP(D643,STUDENTS!$A$5:$A$204,STUDENTS!$C$5:$C$204,""),"")</f>
        <v/>
      </c>
      <c r="F643" s="8" t="str">
        <f ca="1">IFERROR(_xludf.XLOOKUP(D643,STUDENTS!$A$5:$A$204,STUDENTS!$L$5:$L$204,""),"")</f>
        <v/>
      </c>
      <c r="G643" s="8"/>
      <c r="H643" s="14"/>
      <c r="I643" s="14"/>
      <c r="J643" s="15" t="str">
        <f>IF(H643="","",H643*SETTINGS!$B$9)</f>
        <v/>
      </c>
      <c r="K643" s="15" t="str">
        <f>IF(I643="","",I643*SETTINGS!$B$10)</f>
        <v/>
      </c>
      <c r="L643" s="15" t="str">
        <f t="shared" si="37"/>
        <v/>
      </c>
      <c r="M643" s="10" t="str">
        <f t="shared" si="38"/>
        <v/>
      </c>
      <c r="N643" s="10" t="str">
        <f t="shared" si="39"/>
        <v/>
      </c>
      <c r="O643" s="8"/>
    </row>
    <row r="644" spans="1:15" x14ac:dyDescent="0.2">
      <c r="A644" s="10" t="str">
        <f t="shared" si="36"/>
        <v/>
      </c>
      <c r="B644" s="8"/>
      <c r="C644" s="8"/>
      <c r="D644" s="8"/>
      <c r="E644" s="8" t="str">
        <f ca="1">IFERROR(_xludf.XLOOKUP(D644,STUDENTS!$A$5:$A$204,STUDENTS!$C$5:$C$204,""),"")</f>
        <v/>
      </c>
      <c r="F644" s="8" t="str">
        <f ca="1">IFERROR(_xludf.XLOOKUP(D644,STUDENTS!$A$5:$A$204,STUDENTS!$L$5:$L$204,""),"")</f>
        <v/>
      </c>
      <c r="G644" s="8"/>
      <c r="H644" s="14"/>
      <c r="I644" s="14"/>
      <c r="J644" s="15" t="str">
        <f>IF(H644="","",H644*SETTINGS!$B$9)</f>
        <v/>
      </c>
      <c r="K644" s="15" t="str">
        <f>IF(I644="","",I644*SETTINGS!$B$10)</f>
        <v/>
      </c>
      <c r="L644" s="15" t="str">
        <f t="shared" si="37"/>
        <v/>
      </c>
      <c r="M644" s="10" t="str">
        <f t="shared" si="38"/>
        <v/>
      </c>
      <c r="N644" s="10" t="str">
        <f t="shared" si="39"/>
        <v/>
      </c>
      <c r="O644" s="8"/>
    </row>
    <row r="645" spans="1:15" x14ac:dyDescent="0.2">
      <c r="A645" s="10" t="str">
        <f t="shared" ref="A645:A708" si="40">IF(D645="","","R-"&amp;TEXT(ROW()-4,"00000"))</f>
        <v/>
      </c>
      <c r="B645" s="8"/>
      <c r="C645" s="8"/>
      <c r="D645" s="8"/>
      <c r="E645" s="8" t="str">
        <f ca="1">IFERROR(_xludf.XLOOKUP(D645,STUDENTS!$A$5:$A$204,STUDENTS!$C$5:$C$204,""),"")</f>
        <v/>
      </c>
      <c r="F645" s="8" t="str">
        <f ca="1">IFERROR(_xludf.XLOOKUP(D645,STUDENTS!$A$5:$A$204,STUDENTS!$L$5:$L$204,""),"")</f>
        <v/>
      </c>
      <c r="G645" s="8"/>
      <c r="H645" s="14"/>
      <c r="I645" s="14"/>
      <c r="J645" s="15" t="str">
        <f>IF(H645="","",H645*SETTINGS!$B$9)</f>
        <v/>
      </c>
      <c r="K645" s="15" t="str">
        <f>IF(I645="","",I645*SETTINGS!$B$10)</f>
        <v/>
      </c>
      <c r="L645" s="15" t="str">
        <f t="shared" ref="L645:L708" si="41">IF(OR(H645="",I645=""),"",J645+K645)</f>
        <v/>
      </c>
      <c r="M645" s="10" t="str">
        <f t="shared" ref="M645:M708" si="42">IF(L645="","",IF(L645&gt;=80,"A",IF(L645&gt;=70,"B",IF(L645&gt;=60,"C",IF(L645&gt;=50,"D","F")))))</f>
        <v/>
      </c>
      <c r="N645" s="10" t="str">
        <f t="shared" ref="N645:N708" si="43">IF(L645="","",1+COUNTIFS($F$5:$F$1004,F645,$C$5:$C$1004,C645,$G$5:$G$1004,G645,$L$5:$L$1004,"&gt;"&amp;L645))</f>
        <v/>
      </c>
      <c r="O645" s="8"/>
    </row>
    <row r="646" spans="1:15" x14ac:dyDescent="0.2">
      <c r="A646" s="10" t="str">
        <f t="shared" si="40"/>
        <v/>
      </c>
      <c r="B646" s="8"/>
      <c r="C646" s="8"/>
      <c r="D646" s="8"/>
      <c r="E646" s="8" t="str">
        <f ca="1">IFERROR(_xludf.XLOOKUP(D646,STUDENTS!$A$5:$A$204,STUDENTS!$C$5:$C$204,""),"")</f>
        <v/>
      </c>
      <c r="F646" s="8" t="str">
        <f ca="1">IFERROR(_xludf.XLOOKUP(D646,STUDENTS!$A$5:$A$204,STUDENTS!$L$5:$L$204,""),"")</f>
        <v/>
      </c>
      <c r="G646" s="8"/>
      <c r="H646" s="14"/>
      <c r="I646" s="14"/>
      <c r="J646" s="15" t="str">
        <f>IF(H646="","",H646*SETTINGS!$B$9)</f>
        <v/>
      </c>
      <c r="K646" s="15" t="str">
        <f>IF(I646="","",I646*SETTINGS!$B$10)</f>
        <v/>
      </c>
      <c r="L646" s="15" t="str">
        <f t="shared" si="41"/>
        <v/>
      </c>
      <c r="M646" s="10" t="str">
        <f t="shared" si="42"/>
        <v/>
      </c>
      <c r="N646" s="10" t="str">
        <f t="shared" si="43"/>
        <v/>
      </c>
      <c r="O646" s="8"/>
    </row>
    <row r="647" spans="1:15" x14ac:dyDescent="0.2">
      <c r="A647" s="10" t="str">
        <f t="shared" si="40"/>
        <v/>
      </c>
      <c r="B647" s="8"/>
      <c r="C647" s="8"/>
      <c r="D647" s="8"/>
      <c r="E647" s="8" t="str">
        <f ca="1">IFERROR(_xludf.XLOOKUP(D647,STUDENTS!$A$5:$A$204,STUDENTS!$C$5:$C$204,""),"")</f>
        <v/>
      </c>
      <c r="F647" s="8" t="str">
        <f ca="1">IFERROR(_xludf.XLOOKUP(D647,STUDENTS!$A$5:$A$204,STUDENTS!$L$5:$L$204,""),"")</f>
        <v/>
      </c>
      <c r="G647" s="8"/>
      <c r="H647" s="14"/>
      <c r="I647" s="14"/>
      <c r="J647" s="15" t="str">
        <f>IF(H647="","",H647*SETTINGS!$B$9)</f>
        <v/>
      </c>
      <c r="K647" s="15" t="str">
        <f>IF(I647="","",I647*SETTINGS!$B$10)</f>
        <v/>
      </c>
      <c r="L647" s="15" t="str">
        <f t="shared" si="41"/>
        <v/>
      </c>
      <c r="M647" s="10" t="str">
        <f t="shared" si="42"/>
        <v/>
      </c>
      <c r="N647" s="10" t="str">
        <f t="shared" si="43"/>
        <v/>
      </c>
      <c r="O647" s="8"/>
    </row>
    <row r="648" spans="1:15" x14ac:dyDescent="0.2">
      <c r="A648" s="10" t="str">
        <f t="shared" si="40"/>
        <v/>
      </c>
      <c r="B648" s="8"/>
      <c r="C648" s="8"/>
      <c r="D648" s="8"/>
      <c r="E648" s="8" t="str">
        <f ca="1">IFERROR(_xludf.XLOOKUP(D648,STUDENTS!$A$5:$A$204,STUDENTS!$C$5:$C$204,""),"")</f>
        <v/>
      </c>
      <c r="F648" s="8" t="str">
        <f ca="1">IFERROR(_xludf.XLOOKUP(D648,STUDENTS!$A$5:$A$204,STUDENTS!$L$5:$L$204,""),"")</f>
        <v/>
      </c>
      <c r="G648" s="8"/>
      <c r="H648" s="14"/>
      <c r="I648" s="14"/>
      <c r="J648" s="15" t="str">
        <f>IF(H648="","",H648*SETTINGS!$B$9)</f>
        <v/>
      </c>
      <c r="K648" s="15" t="str">
        <f>IF(I648="","",I648*SETTINGS!$B$10)</f>
        <v/>
      </c>
      <c r="L648" s="15" t="str">
        <f t="shared" si="41"/>
        <v/>
      </c>
      <c r="M648" s="10" t="str">
        <f t="shared" si="42"/>
        <v/>
      </c>
      <c r="N648" s="10" t="str">
        <f t="shared" si="43"/>
        <v/>
      </c>
      <c r="O648" s="8"/>
    </row>
    <row r="649" spans="1:15" x14ac:dyDescent="0.2">
      <c r="A649" s="10" t="str">
        <f t="shared" si="40"/>
        <v/>
      </c>
      <c r="B649" s="8"/>
      <c r="C649" s="8"/>
      <c r="D649" s="8"/>
      <c r="E649" s="8" t="str">
        <f ca="1">IFERROR(_xludf.XLOOKUP(D649,STUDENTS!$A$5:$A$204,STUDENTS!$C$5:$C$204,""),"")</f>
        <v/>
      </c>
      <c r="F649" s="8" t="str">
        <f ca="1">IFERROR(_xludf.XLOOKUP(D649,STUDENTS!$A$5:$A$204,STUDENTS!$L$5:$L$204,""),"")</f>
        <v/>
      </c>
      <c r="G649" s="8"/>
      <c r="H649" s="14"/>
      <c r="I649" s="14"/>
      <c r="J649" s="15" t="str">
        <f>IF(H649="","",H649*SETTINGS!$B$9)</f>
        <v/>
      </c>
      <c r="K649" s="15" t="str">
        <f>IF(I649="","",I649*SETTINGS!$B$10)</f>
        <v/>
      </c>
      <c r="L649" s="15" t="str">
        <f t="shared" si="41"/>
        <v/>
      </c>
      <c r="M649" s="10" t="str">
        <f t="shared" si="42"/>
        <v/>
      </c>
      <c r="N649" s="10" t="str">
        <f t="shared" si="43"/>
        <v/>
      </c>
      <c r="O649" s="8"/>
    </row>
    <row r="650" spans="1:15" x14ac:dyDescent="0.2">
      <c r="A650" s="10" t="str">
        <f t="shared" si="40"/>
        <v/>
      </c>
      <c r="B650" s="8"/>
      <c r="C650" s="8"/>
      <c r="D650" s="8"/>
      <c r="E650" s="8" t="str">
        <f ca="1">IFERROR(_xludf.XLOOKUP(D650,STUDENTS!$A$5:$A$204,STUDENTS!$C$5:$C$204,""),"")</f>
        <v/>
      </c>
      <c r="F650" s="8" t="str">
        <f ca="1">IFERROR(_xludf.XLOOKUP(D650,STUDENTS!$A$5:$A$204,STUDENTS!$L$5:$L$204,""),"")</f>
        <v/>
      </c>
      <c r="G650" s="8"/>
      <c r="H650" s="14"/>
      <c r="I650" s="14"/>
      <c r="J650" s="15" t="str">
        <f>IF(H650="","",H650*SETTINGS!$B$9)</f>
        <v/>
      </c>
      <c r="K650" s="15" t="str">
        <f>IF(I650="","",I650*SETTINGS!$B$10)</f>
        <v/>
      </c>
      <c r="L650" s="15" t="str">
        <f t="shared" si="41"/>
        <v/>
      </c>
      <c r="M650" s="10" t="str">
        <f t="shared" si="42"/>
        <v/>
      </c>
      <c r="N650" s="10" t="str">
        <f t="shared" si="43"/>
        <v/>
      </c>
      <c r="O650" s="8"/>
    </row>
    <row r="651" spans="1:15" x14ac:dyDescent="0.2">
      <c r="A651" s="10" t="str">
        <f t="shared" si="40"/>
        <v/>
      </c>
      <c r="B651" s="8"/>
      <c r="C651" s="8"/>
      <c r="D651" s="8"/>
      <c r="E651" s="8" t="str">
        <f ca="1">IFERROR(_xludf.XLOOKUP(D651,STUDENTS!$A$5:$A$204,STUDENTS!$C$5:$C$204,""),"")</f>
        <v/>
      </c>
      <c r="F651" s="8" t="str">
        <f ca="1">IFERROR(_xludf.XLOOKUP(D651,STUDENTS!$A$5:$A$204,STUDENTS!$L$5:$L$204,""),"")</f>
        <v/>
      </c>
      <c r="G651" s="8"/>
      <c r="H651" s="14"/>
      <c r="I651" s="14"/>
      <c r="J651" s="15" t="str">
        <f>IF(H651="","",H651*SETTINGS!$B$9)</f>
        <v/>
      </c>
      <c r="K651" s="15" t="str">
        <f>IF(I651="","",I651*SETTINGS!$B$10)</f>
        <v/>
      </c>
      <c r="L651" s="15" t="str">
        <f t="shared" si="41"/>
        <v/>
      </c>
      <c r="M651" s="10" t="str">
        <f t="shared" si="42"/>
        <v/>
      </c>
      <c r="N651" s="10" t="str">
        <f t="shared" si="43"/>
        <v/>
      </c>
      <c r="O651" s="8"/>
    </row>
    <row r="652" spans="1:15" x14ac:dyDescent="0.2">
      <c r="A652" s="10" t="str">
        <f t="shared" si="40"/>
        <v/>
      </c>
      <c r="B652" s="8"/>
      <c r="C652" s="8"/>
      <c r="D652" s="8"/>
      <c r="E652" s="8" t="str">
        <f ca="1">IFERROR(_xludf.XLOOKUP(D652,STUDENTS!$A$5:$A$204,STUDENTS!$C$5:$C$204,""),"")</f>
        <v/>
      </c>
      <c r="F652" s="8" t="str">
        <f ca="1">IFERROR(_xludf.XLOOKUP(D652,STUDENTS!$A$5:$A$204,STUDENTS!$L$5:$L$204,""),"")</f>
        <v/>
      </c>
      <c r="G652" s="8"/>
      <c r="H652" s="14"/>
      <c r="I652" s="14"/>
      <c r="J652" s="15" t="str">
        <f>IF(H652="","",H652*SETTINGS!$B$9)</f>
        <v/>
      </c>
      <c r="K652" s="15" t="str">
        <f>IF(I652="","",I652*SETTINGS!$B$10)</f>
        <v/>
      </c>
      <c r="L652" s="15" t="str">
        <f t="shared" si="41"/>
        <v/>
      </c>
      <c r="M652" s="10" t="str">
        <f t="shared" si="42"/>
        <v/>
      </c>
      <c r="N652" s="10" t="str">
        <f t="shared" si="43"/>
        <v/>
      </c>
      <c r="O652" s="8"/>
    </row>
    <row r="653" spans="1:15" x14ac:dyDescent="0.2">
      <c r="A653" s="10" t="str">
        <f t="shared" si="40"/>
        <v/>
      </c>
      <c r="B653" s="8"/>
      <c r="C653" s="8"/>
      <c r="D653" s="8"/>
      <c r="E653" s="8" t="str">
        <f ca="1">IFERROR(_xludf.XLOOKUP(D653,STUDENTS!$A$5:$A$204,STUDENTS!$C$5:$C$204,""),"")</f>
        <v/>
      </c>
      <c r="F653" s="8" t="str">
        <f ca="1">IFERROR(_xludf.XLOOKUP(D653,STUDENTS!$A$5:$A$204,STUDENTS!$L$5:$L$204,""),"")</f>
        <v/>
      </c>
      <c r="G653" s="8"/>
      <c r="H653" s="14"/>
      <c r="I653" s="14"/>
      <c r="J653" s="15" t="str">
        <f>IF(H653="","",H653*SETTINGS!$B$9)</f>
        <v/>
      </c>
      <c r="K653" s="15" t="str">
        <f>IF(I653="","",I653*SETTINGS!$B$10)</f>
        <v/>
      </c>
      <c r="L653" s="15" t="str">
        <f t="shared" si="41"/>
        <v/>
      </c>
      <c r="M653" s="10" t="str">
        <f t="shared" si="42"/>
        <v/>
      </c>
      <c r="N653" s="10" t="str">
        <f t="shared" si="43"/>
        <v/>
      </c>
      <c r="O653" s="8"/>
    </row>
    <row r="654" spans="1:15" x14ac:dyDescent="0.2">
      <c r="A654" s="10" t="str">
        <f t="shared" si="40"/>
        <v/>
      </c>
      <c r="B654" s="8"/>
      <c r="C654" s="8"/>
      <c r="D654" s="8"/>
      <c r="E654" s="8" t="str">
        <f ca="1">IFERROR(_xludf.XLOOKUP(D654,STUDENTS!$A$5:$A$204,STUDENTS!$C$5:$C$204,""),"")</f>
        <v/>
      </c>
      <c r="F654" s="8" t="str">
        <f ca="1">IFERROR(_xludf.XLOOKUP(D654,STUDENTS!$A$5:$A$204,STUDENTS!$L$5:$L$204,""),"")</f>
        <v/>
      </c>
      <c r="G654" s="8"/>
      <c r="H654" s="14"/>
      <c r="I654" s="14"/>
      <c r="J654" s="15" t="str">
        <f>IF(H654="","",H654*SETTINGS!$B$9)</f>
        <v/>
      </c>
      <c r="K654" s="15" t="str">
        <f>IF(I654="","",I654*SETTINGS!$B$10)</f>
        <v/>
      </c>
      <c r="L654" s="15" t="str">
        <f t="shared" si="41"/>
        <v/>
      </c>
      <c r="M654" s="10" t="str">
        <f t="shared" si="42"/>
        <v/>
      </c>
      <c r="N654" s="10" t="str">
        <f t="shared" si="43"/>
        <v/>
      </c>
      <c r="O654" s="8"/>
    </row>
    <row r="655" spans="1:15" x14ac:dyDescent="0.2">
      <c r="A655" s="10" t="str">
        <f t="shared" si="40"/>
        <v/>
      </c>
      <c r="B655" s="8"/>
      <c r="C655" s="8"/>
      <c r="D655" s="8"/>
      <c r="E655" s="8" t="str">
        <f ca="1">IFERROR(_xludf.XLOOKUP(D655,STUDENTS!$A$5:$A$204,STUDENTS!$C$5:$C$204,""),"")</f>
        <v/>
      </c>
      <c r="F655" s="8" t="str">
        <f ca="1">IFERROR(_xludf.XLOOKUP(D655,STUDENTS!$A$5:$A$204,STUDENTS!$L$5:$L$204,""),"")</f>
        <v/>
      </c>
      <c r="G655" s="8"/>
      <c r="H655" s="14"/>
      <c r="I655" s="14"/>
      <c r="J655" s="15" t="str">
        <f>IF(H655="","",H655*SETTINGS!$B$9)</f>
        <v/>
      </c>
      <c r="K655" s="15" t="str">
        <f>IF(I655="","",I655*SETTINGS!$B$10)</f>
        <v/>
      </c>
      <c r="L655" s="15" t="str">
        <f t="shared" si="41"/>
        <v/>
      </c>
      <c r="M655" s="10" t="str">
        <f t="shared" si="42"/>
        <v/>
      </c>
      <c r="N655" s="10" t="str">
        <f t="shared" si="43"/>
        <v/>
      </c>
      <c r="O655" s="8"/>
    </row>
    <row r="656" spans="1:15" x14ac:dyDescent="0.2">
      <c r="A656" s="10" t="str">
        <f t="shared" si="40"/>
        <v/>
      </c>
      <c r="B656" s="8"/>
      <c r="C656" s="8"/>
      <c r="D656" s="8"/>
      <c r="E656" s="8" t="str">
        <f ca="1">IFERROR(_xludf.XLOOKUP(D656,STUDENTS!$A$5:$A$204,STUDENTS!$C$5:$C$204,""),"")</f>
        <v/>
      </c>
      <c r="F656" s="8" t="str">
        <f ca="1">IFERROR(_xludf.XLOOKUP(D656,STUDENTS!$A$5:$A$204,STUDENTS!$L$5:$L$204,""),"")</f>
        <v/>
      </c>
      <c r="G656" s="8"/>
      <c r="H656" s="14"/>
      <c r="I656" s="14"/>
      <c r="J656" s="15" t="str">
        <f>IF(H656="","",H656*SETTINGS!$B$9)</f>
        <v/>
      </c>
      <c r="K656" s="15" t="str">
        <f>IF(I656="","",I656*SETTINGS!$B$10)</f>
        <v/>
      </c>
      <c r="L656" s="15" t="str">
        <f t="shared" si="41"/>
        <v/>
      </c>
      <c r="M656" s="10" t="str">
        <f t="shared" si="42"/>
        <v/>
      </c>
      <c r="N656" s="10" t="str">
        <f t="shared" si="43"/>
        <v/>
      </c>
      <c r="O656" s="8"/>
    </row>
    <row r="657" spans="1:15" x14ac:dyDescent="0.2">
      <c r="A657" s="10" t="str">
        <f t="shared" si="40"/>
        <v/>
      </c>
      <c r="B657" s="8"/>
      <c r="C657" s="8"/>
      <c r="D657" s="8"/>
      <c r="E657" s="8" t="str">
        <f ca="1">IFERROR(_xludf.XLOOKUP(D657,STUDENTS!$A$5:$A$204,STUDENTS!$C$5:$C$204,""),"")</f>
        <v/>
      </c>
      <c r="F657" s="8" t="str">
        <f ca="1">IFERROR(_xludf.XLOOKUP(D657,STUDENTS!$A$5:$A$204,STUDENTS!$L$5:$L$204,""),"")</f>
        <v/>
      </c>
      <c r="G657" s="8"/>
      <c r="H657" s="14"/>
      <c r="I657" s="14"/>
      <c r="J657" s="15" t="str">
        <f>IF(H657="","",H657*SETTINGS!$B$9)</f>
        <v/>
      </c>
      <c r="K657" s="15" t="str">
        <f>IF(I657="","",I657*SETTINGS!$B$10)</f>
        <v/>
      </c>
      <c r="L657" s="15" t="str">
        <f t="shared" si="41"/>
        <v/>
      </c>
      <c r="M657" s="10" t="str">
        <f t="shared" si="42"/>
        <v/>
      </c>
      <c r="N657" s="10" t="str">
        <f t="shared" si="43"/>
        <v/>
      </c>
      <c r="O657" s="8"/>
    </row>
    <row r="658" spans="1:15" x14ac:dyDescent="0.2">
      <c r="A658" s="10" t="str">
        <f t="shared" si="40"/>
        <v/>
      </c>
      <c r="B658" s="8"/>
      <c r="C658" s="8"/>
      <c r="D658" s="8"/>
      <c r="E658" s="8" t="str">
        <f ca="1">IFERROR(_xludf.XLOOKUP(D658,STUDENTS!$A$5:$A$204,STUDENTS!$C$5:$C$204,""),"")</f>
        <v/>
      </c>
      <c r="F658" s="8" t="str">
        <f ca="1">IFERROR(_xludf.XLOOKUP(D658,STUDENTS!$A$5:$A$204,STUDENTS!$L$5:$L$204,""),"")</f>
        <v/>
      </c>
      <c r="G658" s="8"/>
      <c r="H658" s="14"/>
      <c r="I658" s="14"/>
      <c r="J658" s="15" t="str">
        <f>IF(H658="","",H658*SETTINGS!$B$9)</f>
        <v/>
      </c>
      <c r="K658" s="15" t="str">
        <f>IF(I658="","",I658*SETTINGS!$B$10)</f>
        <v/>
      </c>
      <c r="L658" s="15" t="str">
        <f t="shared" si="41"/>
        <v/>
      </c>
      <c r="M658" s="10" t="str">
        <f t="shared" si="42"/>
        <v/>
      </c>
      <c r="N658" s="10" t="str">
        <f t="shared" si="43"/>
        <v/>
      </c>
      <c r="O658" s="8"/>
    </row>
    <row r="659" spans="1:15" x14ac:dyDescent="0.2">
      <c r="A659" s="10" t="str">
        <f t="shared" si="40"/>
        <v/>
      </c>
      <c r="B659" s="8"/>
      <c r="C659" s="8"/>
      <c r="D659" s="8"/>
      <c r="E659" s="8" t="str">
        <f ca="1">IFERROR(_xludf.XLOOKUP(D659,STUDENTS!$A$5:$A$204,STUDENTS!$C$5:$C$204,""),"")</f>
        <v/>
      </c>
      <c r="F659" s="8" t="str">
        <f ca="1">IFERROR(_xludf.XLOOKUP(D659,STUDENTS!$A$5:$A$204,STUDENTS!$L$5:$L$204,""),"")</f>
        <v/>
      </c>
      <c r="G659" s="8"/>
      <c r="H659" s="14"/>
      <c r="I659" s="14"/>
      <c r="J659" s="15" t="str">
        <f>IF(H659="","",H659*SETTINGS!$B$9)</f>
        <v/>
      </c>
      <c r="K659" s="15" t="str">
        <f>IF(I659="","",I659*SETTINGS!$B$10)</f>
        <v/>
      </c>
      <c r="L659" s="15" t="str">
        <f t="shared" si="41"/>
        <v/>
      </c>
      <c r="M659" s="10" t="str">
        <f t="shared" si="42"/>
        <v/>
      </c>
      <c r="N659" s="10" t="str">
        <f t="shared" si="43"/>
        <v/>
      </c>
      <c r="O659" s="8"/>
    </row>
    <row r="660" spans="1:15" x14ac:dyDescent="0.2">
      <c r="A660" s="10" t="str">
        <f t="shared" si="40"/>
        <v/>
      </c>
      <c r="B660" s="8"/>
      <c r="C660" s="8"/>
      <c r="D660" s="8"/>
      <c r="E660" s="8" t="str">
        <f ca="1">IFERROR(_xludf.XLOOKUP(D660,STUDENTS!$A$5:$A$204,STUDENTS!$C$5:$C$204,""),"")</f>
        <v/>
      </c>
      <c r="F660" s="8" t="str">
        <f ca="1">IFERROR(_xludf.XLOOKUP(D660,STUDENTS!$A$5:$A$204,STUDENTS!$L$5:$L$204,""),"")</f>
        <v/>
      </c>
      <c r="G660" s="8"/>
      <c r="H660" s="14"/>
      <c r="I660" s="14"/>
      <c r="J660" s="15" t="str">
        <f>IF(H660="","",H660*SETTINGS!$B$9)</f>
        <v/>
      </c>
      <c r="K660" s="15" t="str">
        <f>IF(I660="","",I660*SETTINGS!$B$10)</f>
        <v/>
      </c>
      <c r="L660" s="15" t="str">
        <f t="shared" si="41"/>
        <v/>
      </c>
      <c r="M660" s="10" t="str">
        <f t="shared" si="42"/>
        <v/>
      </c>
      <c r="N660" s="10" t="str">
        <f t="shared" si="43"/>
        <v/>
      </c>
      <c r="O660" s="8"/>
    </row>
    <row r="661" spans="1:15" x14ac:dyDescent="0.2">
      <c r="A661" s="10" t="str">
        <f t="shared" si="40"/>
        <v/>
      </c>
      <c r="B661" s="8"/>
      <c r="C661" s="8"/>
      <c r="D661" s="8"/>
      <c r="E661" s="8" t="str">
        <f ca="1">IFERROR(_xludf.XLOOKUP(D661,STUDENTS!$A$5:$A$204,STUDENTS!$C$5:$C$204,""),"")</f>
        <v/>
      </c>
      <c r="F661" s="8" t="str">
        <f ca="1">IFERROR(_xludf.XLOOKUP(D661,STUDENTS!$A$5:$A$204,STUDENTS!$L$5:$L$204,""),"")</f>
        <v/>
      </c>
      <c r="G661" s="8"/>
      <c r="H661" s="14"/>
      <c r="I661" s="14"/>
      <c r="J661" s="15" t="str">
        <f>IF(H661="","",H661*SETTINGS!$B$9)</f>
        <v/>
      </c>
      <c r="K661" s="15" t="str">
        <f>IF(I661="","",I661*SETTINGS!$B$10)</f>
        <v/>
      </c>
      <c r="L661" s="15" t="str">
        <f t="shared" si="41"/>
        <v/>
      </c>
      <c r="M661" s="10" t="str">
        <f t="shared" si="42"/>
        <v/>
      </c>
      <c r="N661" s="10" t="str">
        <f t="shared" si="43"/>
        <v/>
      </c>
      <c r="O661" s="8"/>
    </row>
    <row r="662" spans="1:15" x14ac:dyDescent="0.2">
      <c r="A662" s="10" t="str">
        <f t="shared" si="40"/>
        <v/>
      </c>
      <c r="B662" s="8"/>
      <c r="C662" s="8"/>
      <c r="D662" s="8"/>
      <c r="E662" s="8" t="str">
        <f ca="1">IFERROR(_xludf.XLOOKUP(D662,STUDENTS!$A$5:$A$204,STUDENTS!$C$5:$C$204,""),"")</f>
        <v/>
      </c>
      <c r="F662" s="8" t="str">
        <f ca="1">IFERROR(_xludf.XLOOKUP(D662,STUDENTS!$A$5:$A$204,STUDENTS!$L$5:$L$204,""),"")</f>
        <v/>
      </c>
      <c r="G662" s="8"/>
      <c r="H662" s="14"/>
      <c r="I662" s="14"/>
      <c r="J662" s="15" t="str">
        <f>IF(H662="","",H662*SETTINGS!$B$9)</f>
        <v/>
      </c>
      <c r="K662" s="15" t="str">
        <f>IF(I662="","",I662*SETTINGS!$B$10)</f>
        <v/>
      </c>
      <c r="L662" s="15" t="str">
        <f t="shared" si="41"/>
        <v/>
      </c>
      <c r="M662" s="10" t="str">
        <f t="shared" si="42"/>
        <v/>
      </c>
      <c r="N662" s="10" t="str">
        <f t="shared" si="43"/>
        <v/>
      </c>
      <c r="O662" s="8"/>
    </row>
    <row r="663" spans="1:15" x14ac:dyDescent="0.2">
      <c r="A663" s="10" t="str">
        <f t="shared" si="40"/>
        <v/>
      </c>
      <c r="B663" s="8"/>
      <c r="C663" s="8"/>
      <c r="D663" s="8"/>
      <c r="E663" s="8" t="str">
        <f ca="1">IFERROR(_xludf.XLOOKUP(D663,STUDENTS!$A$5:$A$204,STUDENTS!$C$5:$C$204,""),"")</f>
        <v/>
      </c>
      <c r="F663" s="8" t="str">
        <f ca="1">IFERROR(_xludf.XLOOKUP(D663,STUDENTS!$A$5:$A$204,STUDENTS!$L$5:$L$204,""),"")</f>
        <v/>
      </c>
      <c r="G663" s="8"/>
      <c r="H663" s="14"/>
      <c r="I663" s="14"/>
      <c r="J663" s="15" t="str">
        <f>IF(H663="","",H663*SETTINGS!$B$9)</f>
        <v/>
      </c>
      <c r="K663" s="15" t="str">
        <f>IF(I663="","",I663*SETTINGS!$B$10)</f>
        <v/>
      </c>
      <c r="L663" s="15" t="str">
        <f t="shared" si="41"/>
        <v/>
      </c>
      <c r="M663" s="10" t="str">
        <f t="shared" si="42"/>
        <v/>
      </c>
      <c r="N663" s="10" t="str">
        <f t="shared" si="43"/>
        <v/>
      </c>
      <c r="O663" s="8"/>
    </row>
    <row r="664" spans="1:15" x14ac:dyDescent="0.2">
      <c r="A664" s="10" t="str">
        <f t="shared" si="40"/>
        <v/>
      </c>
      <c r="B664" s="8"/>
      <c r="C664" s="8"/>
      <c r="D664" s="8"/>
      <c r="E664" s="8" t="str">
        <f ca="1">IFERROR(_xludf.XLOOKUP(D664,STUDENTS!$A$5:$A$204,STUDENTS!$C$5:$C$204,""),"")</f>
        <v/>
      </c>
      <c r="F664" s="8" t="str">
        <f ca="1">IFERROR(_xludf.XLOOKUP(D664,STUDENTS!$A$5:$A$204,STUDENTS!$L$5:$L$204,""),"")</f>
        <v/>
      </c>
      <c r="G664" s="8"/>
      <c r="H664" s="14"/>
      <c r="I664" s="14"/>
      <c r="J664" s="15" t="str">
        <f>IF(H664="","",H664*SETTINGS!$B$9)</f>
        <v/>
      </c>
      <c r="K664" s="15" t="str">
        <f>IF(I664="","",I664*SETTINGS!$B$10)</f>
        <v/>
      </c>
      <c r="L664" s="15" t="str">
        <f t="shared" si="41"/>
        <v/>
      </c>
      <c r="M664" s="10" t="str">
        <f t="shared" si="42"/>
        <v/>
      </c>
      <c r="N664" s="10" t="str">
        <f t="shared" si="43"/>
        <v/>
      </c>
      <c r="O664" s="8"/>
    </row>
    <row r="665" spans="1:15" x14ac:dyDescent="0.2">
      <c r="A665" s="10" t="str">
        <f t="shared" si="40"/>
        <v/>
      </c>
      <c r="B665" s="8"/>
      <c r="C665" s="8"/>
      <c r="D665" s="8"/>
      <c r="E665" s="8" t="str">
        <f ca="1">IFERROR(_xludf.XLOOKUP(D665,STUDENTS!$A$5:$A$204,STUDENTS!$C$5:$C$204,""),"")</f>
        <v/>
      </c>
      <c r="F665" s="8" t="str">
        <f ca="1">IFERROR(_xludf.XLOOKUP(D665,STUDENTS!$A$5:$A$204,STUDENTS!$L$5:$L$204,""),"")</f>
        <v/>
      </c>
      <c r="G665" s="8"/>
      <c r="H665" s="14"/>
      <c r="I665" s="14"/>
      <c r="J665" s="15" t="str">
        <f>IF(H665="","",H665*SETTINGS!$B$9)</f>
        <v/>
      </c>
      <c r="K665" s="15" t="str">
        <f>IF(I665="","",I665*SETTINGS!$B$10)</f>
        <v/>
      </c>
      <c r="L665" s="15" t="str">
        <f t="shared" si="41"/>
        <v/>
      </c>
      <c r="M665" s="10" t="str">
        <f t="shared" si="42"/>
        <v/>
      </c>
      <c r="N665" s="10" t="str">
        <f t="shared" si="43"/>
        <v/>
      </c>
      <c r="O665" s="8"/>
    </row>
    <row r="666" spans="1:15" x14ac:dyDescent="0.2">
      <c r="A666" s="10" t="str">
        <f t="shared" si="40"/>
        <v/>
      </c>
      <c r="B666" s="8"/>
      <c r="C666" s="8"/>
      <c r="D666" s="8"/>
      <c r="E666" s="8" t="str">
        <f ca="1">IFERROR(_xludf.XLOOKUP(D666,STUDENTS!$A$5:$A$204,STUDENTS!$C$5:$C$204,""),"")</f>
        <v/>
      </c>
      <c r="F666" s="8" t="str">
        <f ca="1">IFERROR(_xludf.XLOOKUP(D666,STUDENTS!$A$5:$A$204,STUDENTS!$L$5:$L$204,""),"")</f>
        <v/>
      </c>
      <c r="G666" s="8"/>
      <c r="H666" s="14"/>
      <c r="I666" s="14"/>
      <c r="J666" s="15" t="str">
        <f>IF(H666="","",H666*SETTINGS!$B$9)</f>
        <v/>
      </c>
      <c r="K666" s="15" t="str">
        <f>IF(I666="","",I666*SETTINGS!$B$10)</f>
        <v/>
      </c>
      <c r="L666" s="15" t="str">
        <f t="shared" si="41"/>
        <v/>
      </c>
      <c r="M666" s="10" t="str">
        <f t="shared" si="42"/>
        <v/>
      </c>
      <c r="N666" s="10" t="str">
        <f t="shared" si="43"/>
        <v/>
      </c>
      <c r="O666" s="8"/>
    </row>
    <row r="667" spans="1:15" x14ac:dyDescent="0.2">
      <c r="A667" s="10" t="str">
        <f t="shared" si="40"/>
        <v/>
      </c>
      <c r="B667" s="8"/>
      <c r="C667" s="8"/>
      <c r="D667" s="8"/>
      <c r="E667" s="8" t="str">
        <f ca="1">IFERROR(_xludf.XLOOKUP(D667,STUDENTS!$A$5:$A$204,STUDENTS!$C$5:$C$204,""),"")</f>
        <v/>
      </c>
      <c r="F667" s="8" t="str">
        <f ca="1">IFERROR(_xludf.XLOOKUP(D667,STUDENTS!$A$5:$A$204,STUDENTS!$L$5:$L$204,""),"")</f>
        <v/>
      </c>
      <c r="G667" s="8"/>
      <c r="H667" s="14"/>
      <c r="I667" s="14"/>
      <c r="J667" s="15" t="str">
        <f>IF(H667="","",H667*SETTINGS!$B$9)</f>
        <v/>
      </c>
      <c r="K667" s="15" t="str">
        <f>IF(I667="","",I667*SETTINGS!$B$10)</f>
        <v/>
      </c>
      <c r="L667" s="15" t="str">
        <f t="shared" si="41"/>
        <v/>
      </c>
      <c r="M667" s="10" t="str">
        <f t="shared" si="42"/>
        <v/>
      </c>
      <c r="N667" s="10" t="str">
        <f t="shared" si="43"/>
        <v/>
      </c>
      <c r="O667" s="8"/>
    </row>
    <row r="668" spans="1:15" x14ac:dyDescent="0.2">
      <c r="A668" s="10" t="str">
        <f t="shared" si="40"/>
        <v/>
      </c>
      <c r="B668" s="8"/>
      <c r="C668" s="8"/>
      <c r="D668" s="8"/>
      <c r="E668" s="8" t="str">
        <f ca="1">IFERROR(_xludf.XLOOKUP(D668,STUDENTS!$A$5:$A$204,STUDENTS!$C$5:$C$204,""),"")</f>
        <v/>
      </c>
      <c r="F668" s="8" t="str">
        <f ca="1">IFERROR(_xludf.XLOOKUP(D668,STUDENTS!$A$5:$A$204,STUDENTS!$L$5:$L$204,""),"")</f>
        <v/>
      </c>
      <c r="G668" s="8"/>
      <c r="H668" s="14"/>
      <c r="I668" s="14"/>
      <c r="J668" s="15" t="str">
        <f>IF(H668="","",H668*SETTINGS!$B$9)</f>
        <v/>
      </c>
      <c r="K668" s="15" t="str">
        <f>IF(I668="","",I668*SETTINGS!$B$10)</f>
        <v/>
      </c>
      <c r="L668" s="15" t="str">
        <f t="shared" si="41"/>
        <v/>
      </c>
      <c r="M668" s="10" t="str">
        <f t="shared" si="42"/>
        <v/>
      </c>
      <c r="N668" s="10" t="str">
        <f t="shared" si="43"/>
        <v/>
      </c>
      <c r="O668" s="8"/>
    </row>
    <row r="669" spans="1:15" x14ac:dyDescent="0.2">
      <c r="A669" s="10" t="str">
        <f t="shared" si="40"/>
        <v/>
      </c>
      <c r="B669" s="8"/>
      <c r="C669" s="8"/>
      <c r="D669" s="8"/>
      <c r="E669" s="8" t="str">
        <f ca="1">IFERROR(_xludf.XLOOKUP(D669,STUDENTS!$A$5:$A$204,STUDENTS!$C$5:$C$204,""),"")</f>
        <v/>
      </c>
      <c r="F669" s="8" t="str">
        <f ca="1">IFERROR(_xludf.XLOOKUP(D669,STUDENTS!$A$5:$A$204,STUDENTS!$L$5:$L$204,""),"")</f>
        <v/>
      </c>
      <c r="G669" s="8"/>
      <c r="H669" s="14"/>
      <c r="I669" s="14"/>
      <c r="J669" s="15" t="str">
        <f>IF(H669="","",H669*SETTINGS!$B$9)</f>
        <v/>
      </c>
      <c r="K669" s="15" t="str">
        <f>IF(I669="","",I669*SETTINGS!$B$10)</f>
        <v/>
      </c>
      <c r="L669" s="15" t="str">
        <f t="shared" si="41"/>
        <v/>
      </c>
      <c r="M669" s="10" t="str">
        <f t="shared" si="42"/>
        <v/>
      </c>
      <c r="N669" s="10" t="str">
        <f t="shared" si="43"/>
        <v/>
      </c>
      <c r="O669" s="8"/>
    </row>
    <row r="670" spans="1:15" x14ac:dyDescent="0.2">
      <c r="A670" s="10" t="str">
        <f t="shared" si="40"/>
        <v/>
      </c>
      <c r="B670" s="8"/>
      <c r="C670" s="8"/>
      <c r="D670" s="8"/>
      <c r="E670" s="8" t="str">
        <f ca="1">IFERROR(_xludf.XLOOKUP(D670,STUDENTS!$A$5:$A$204,STUDENTS!$C$5:$C$204,""),"")</f>
        <v/>
      </c>
      <c r="F670" s="8" t="str">
        <f ca="1">IFERROR(_xludf.XLOOKUP(D670,STUDENTS!$A$5:$A$204,STUDENTS!$L$5:$L$204,""),"")</f>
        <v/>
      </c>
      <c r="G670" s="8"/>
      <c r="H670" s="14"/>
      <c r="I670" s="14"/>
      <c r="J670" s="15" t="str">
        <f>IF(H670="","",H670*SETTINGS!$B$9)</f>
        <v/>
      </c>
      <c r="K670" s="15" t="str">
        <f>IF(I670="","",I670*SETTINGS!$B$10)</f>
        <v/>
      </c>
      <c r="L670" s="15" t="str">
        <f t="shared" si="41"/>
        <v/>
      </c>
      <c r="M670" s="10" t="str">
        <f t="shared" si="42"/>
        <v/>
      </c>
      <c r="N670" s="10" t="str">
        <f t="shared" si="43"/>
        <v/>
      </c>
      <c r="O670" s="8"/>
    </row>
    <row r="671" spans="1:15" x14ac:dyDescent="0.2">
      <c r="A671" s="10" t="str">
        <f t="shared" si="40"/>
        <v/>
      </c>
      <c r="B671" s="8"/>
      <c r="C671" s="8"/>
      <c r="D671" s="8"/>
      <c r="E671" s="8" t="str">
        <f ca="1">IFERROR(_xludf.XLOOKUP(D671,STUDENTS!$A$5:$A$204,STUDENTS!$C$5:$C$204,""),"")</f>
        <v/>
      </c>
      <c r="F671" s="8" t="str">
        <f ca="1">IFERROR(_xludf.XLOOKUP(D671,STUDENTS!$A$5:$A$204,STUDENTS!$L$5:$L$204,""),"")</f>
        <v/>
      </c>
      <c r="G671" s="8"/>
      <c r="H671" s="14"/>
      <c r="I671" s="14"/>
      <c r="J671" s="15" t="str">
        <f>IF(H671="","",H671*SETTINGS!$B$9)</f>
        <v/>
      </c>
      <c r="K671" s="15" t="str">
        <f>IF(I671="","",I671*SETTINGS!$B$10)</f>
        <v/>
      </c>
      <c r="L671" s="15" t="str">
        <f t="shared" si="41"/>
        <v/>
      </c>
      <c r="M671" s="10" t="str">
        <f t="shared" si="42"/>
        <v/>
      </c>
      <c r="N671" s="10" t="str">
        <f t="shared" si="43"/>
        <v/>
      </c>
      <c r="O671" s="8"/>
    </row>
    <row r="672" spans="1:15" x14ac:dyDescent="0.2">
      <c r="A672" s="10" t="str">
        <f t="shared" si="40"/>
        <v/>
      </c>
      <c r="B672" s="8"/>
      <c r="C672" s="8"/>
      <c r="D672" s="8"/>
      <c r="E672" s="8" t="str">
        <f ca="1">IFERROR(_xludf.XLOOKUP(D672,STUDENTS!$A$5:$A$204,STUDENTS!$C$5:$C$204,""),"")</f>
        <v/>
      </c>
      <c r="F672" s="8" t="str">
        <f ca="1">IFERROR(_xludf.XLOOKUP(D672,STUDENTS!$A$5:$A$204,STUDENTS!$L$5:$L$204,""),"")</f>
        <v/>
      </c>
      <c r="G672" s="8"/>
      <c r="H672" s="14"/>
      <c r="I672" s="14"/>
      <c r="J672" s="15" t="str">
        <f>IF(H672="","",H672*SETTINGS!$B$9)</f>
        <v/>
      </c>
      <c r="K672" s="15" t="str">
        <f>IF(I672="","",I672*SETTINGS!$B$10)</f>
        <v/>
      </c>
      <c r="L672" s="15" t="str">
        <f t="shared" si="41"/>
        <v/>
      </c>
      <c r="M672" s="10" t="str">
        <f t="shared" si="42"/>
        <v/>
      </c>
      <c r="N672" s="10" t="str">
        <f t="shared" si="43"/>
        <v/>
      </c>
      <c r="O672" s="8"/>
    </row>
    <row r="673" spans="1:15" x14ac:dyDescent="0.2">
      <c r="A673" s="10" t="str">
        <f t="shared" si="40"/>
        <v/>
      </c>
      <c r="B673" s="8"/>
      <c r="C673" s="8"/>
      <c r="D673" s="8"/>
      <c r="E673" s="8" t="str">
        <f ca="1">IFERROR(_xludf.XLOOKUP(D673,STUDENTS!$A$5:$A$204,STUDENTS!$C$5:$C$204,""),"")</f>
        <v/>
      </c>
      <c r="F673" s="8" t="str">
        <f ca="1">IFERROR(_xludf.XLOOKUP(D673,STUDENTS!$A$5:$A$204,STUDENTS!$L$5:$L$204,""),"")</f>
        <v/>
      </c>
      <c r="G673" s="8"/>
      <c r="H673" s="14"/>
      <c r="I673" s="14"/>
      <c r="J673" s="15" t="str">
        <f>IF(H673="","",H673*SETTINGS!$B$9)</f>
        <v/>
      </c>
      <c r="K673" s="15" t="str">
        <f>IF(I673="","",I673*SETTINGS!$B$10)</f>
        <v/>
      </c>
      <c r="L673" s="15" t="str">
        <f t="shared" si="41"/>
        <v/>
      </c>
      <c r="M673" s="10" t="str">
        <f t="shared" si="42"/>
        <v/>
      </c>
      <c r="N673" s="10" t="str">
        <f t="shared" si="43"/>
        <v/>
      </c>
      <c r="O673" s="8"/>
    </row>
    <row r="674" spans="1:15" x14ac:dyDescent="0.2">
      <c r="A674" s="10" t="str">
        <f t="shared" si="40"/>
        <v/>
      </c>
      <c r="B674" s="8"/>
      <c r="C674" s="8"/>
      <c r="D674" s="8"/>
      <c r="E674" s="8" t="str">
        <f ca="1">IFERROR(_xludf.XLOOKUP(D674,STUDENTS!$A$5:$A$204,STUDENTS!$C$5:$C$204,""),"")</f>
        <v/>
      </c>
      <c r="F674" s="8" t="str">
        <f ca="1">IFERROR(_xludf.XLOOKUP(D674,STUDENTS!$A$5:$A$204,STUDENTS!$L$5:$L$204,""),"")</f>
        <v/>
      </c>
      <c r="G674" s="8"/>
      <c r="H674" s="14"/>
      <c r="I674" s="14"/>
      <c r="J674" s="15" t="str">
        <f>IF(H674="","",H674*SETTINGS!$B$9)</f>
        <v/>
      </c>
      <c r="K674" s="15" t="str">
        <f>IF(I674="","",I674*SETTINGS!$B$10)</f>
        <v/>
      </c>
      <c r="L674" s="15" t="str">
        <f t="shared" si="41"/>
        <v/>
      </c>
      <c r="M674" s="10" t="str">
        <f t="shared" si="42"/>
        <v/>
      </c>
      <c r="N674" s="10" t="str">
        <f t="shared" si="43"/>
        <v/>
      </c>
      <c r="O674" s="8"/>
    </row>
    <row r="675" spans="1:15" x14ac:dyDescent="0.2">
      <c r="A675" s="10" t="str">
        <f t="shared" si="40"/>
        <v/>
      </c>
      <c r="B675" s="8"/>
      <c r="C675" s="8"/>
      <c r="D675" s="8"/>
      <c r="E675" s="8" t="str">
        <f ca="1">IFERROR(_xludf.XLOOKUP(D675,STUDENTS!$A$5:$A$204,STUDENTS!$C$5:$C$204,""),"")</f>
        <v/>
      </c>
      <c r="F675" s="8" t="str">
        <f ca="1">IFERROR(_xludf.XLOOKUP(D675,STUDENTS!$A$5:$A$204,STUDENTS!$L$5:$L$204,""),"")</f>
        <v/>
      </c>
      <c r="G675" s="8"/>
      <c r="H675" s="14"/>
      <c r="I675" s="14"/>
      <c r="J675" s="15" t="str">
        <f>IF(H675="","",H675*SETTINGS!$B$9)</f>
        <v/>
      </c>
      <c r="K675" s="15" t="str">
        <f>IF(I675="","",I675*SETTINGS!$B$10)</f>
        <v/>
      </c>
      <c r="L675" s="15" t="str">
        <f t="shared" si="41"/>
        <v/>
      </c>
      <c r="M675" s="10" t="str">
        <f t="shared" si="42"/>
        <v/>
      </c>
      <c r="N675" s="10" t="str">
        <f t="shared" si="43"/>
        <v/>
      </c>
      <c r="O675" s="8"/>
    </row>
    <row r="676" spans="1:15" x14ac:dyDescent="0.2">
      <c r="A676" s="10" t="str">
        <f t="shared" si="40"/>
        <v/>
      </c>
      <c r="B676" s="8"/>
      <c r="C676" s="8"/>
      <c r="D676" s="8"/>
      <c r="E676" s="8" t="str">
        <f ca="1">IFERROR(_xludf.XLOOKUP(D676,STUDENTS!$A$5:$A$204,STUDENTS!$C$5:$C$204,""),"")</f>
        <v/>
      </c>
      <c r="F676" s="8" t="str">
        <f ca="1">IFERROR(_xludf.XLOOKUP(D676,STUDENTS!$A$5:$A$204,STUDENTS!$L$5:$L$204,""),"")</f>
        <v/>
      </c>
      <c r="G676" s="8"/>
      <c r="H676" s="14"/>
      <c r="I676" s="14"/>
      <c r="J676" s="15" t="str">
        <f>IF(H676="","",H676*SETTINGS!$B$9)</f>
        <v/>
      </c>
      <c r="K676" s="15" t="str">
        <f>IF(I676="","",I676*SETTINGS!$B$10)</f>
        <v/>
      </c>
      <c r="L676" s="15" t="str">
        <f t="shared" si="41"/>
        <v/>
      </c>
      <c r="M676" s="10" t="str">
        <f t="shared" si="42"/>
        <v/>
      </c>
      <c r="N676" s="10" t="str">
        <f t="shared" si="43"/>
        <v/>
      </c>
      <c r="O676" s="8"/>
    </row>
    <row r="677" spans="1:15" x14ac:dyDescent="0.2">
      <c r="A677" s="10" t="str">
        <f t="shared" si="40"/>
        <v/>
      </c>
      <c r="B677" s="8"/>
      <c r="C677" s="8"/>
      <c r="D677" s="8"/>
      <c r="E677" s="8" t="str">
        <f ca="1">IFERROR(_xludf.XLOOKUP(D677,STUDENTS!$A$5:$A$204,STUDENTS!$C$5:$C$204,""),"")</f>
        <v/>
      </c>
      <c r="F677" s="8" t="str">
        <f ca="1">IFERROR(_xludf.XLOOKUP(D677,STUDENTS!$A$5:$A$204,STUDENTS!$L$5:$L$204,""),"")</f>
        <v/>
      </c>
      <c r="G677" s="8"/>
      <c r="H677" s="14"/>
      <c r="I677" s="14"/>
      <c r="J677" s="15" t="str">
        <f>IF(H677="","",H677*SETTINGS!$B$9)</f>
        <v/>
      </c>
      <c r="K677" s="15" t="str">
        <f>IF(I677="","",I677*SETTINGS!$B$10)</f>
        <v/>
      </c>
      <c r="L677" s="15" t="str">
        <f t="shared" si="41"/>
        <v/>
      </c>
      <c r="M677" s="10" t="str">
        <f t="shared" si="42"/>
        <v/>
      </c>
      <c r="N677" s="10" t="str">
        <f t="shared" si="43"/>
        <v/>
      </c>
      <c r="O677" s="8"/>
    </row>
    <row r="678" spans="1:15" x14ac:dyDescent="0.2">
      <c r="A678" s="10" t="str">
        <f t="shared" si="40"/>
        <v/>
      </c>
      <c r="B678" s="8"/>
      <c r="C678" s="8"/>
      <c r="D678" s="8"/>
      <c r="E678" s="8" t="str">
        <f ca="1">IFERROR(_xludf.XLOOKUP(D678,STUDENTS!$A$5:$A$204,STUDENTS!$C$5:$C$204,""),"")</f>
        <v/>
      </c>
      <c r="F678" s="8" t="str">
        <f ca="1">IFERROR(_xludf.XLOOKUP(D678,STUDENTS!$A$5:$A$204,STUDENTS!$L$5:$L$204,""),"")</f>
        <v/>
      </c>
      <c r="G678" s="8"/>
      <c r="H678" s="14"/>
      <c r="I678" s="14"/>
      <c r="J678" s="15" t="str">
        <f>IF(H678="","",H678*SETTINGS!$B$9)</f>
        <v/>
      </c>
      <c r="K678" s="15" t="str">
        <f>IF(I678="","",I678*SETTINGS!$B$10)</f>
        <v/>
      </c>
      <c r="L678" s="15" t="str">
        <f t="shared" si="41"/>
        <v/>
      </c>
      <c r="M678" s="10" t="str">
        <f t="shared" si="42"/>
        <v/>
      </c>
      <c r="N678" s="10" t="str">
        <f t="shared" si="43"/>
        <v/>
      </c>
      <c r="O678" s="8"/>
    </row>
    <row r="679" spans="1:15" x14ac:dyDescent="0.2">
      <c r="A679" s="10" t="str">
        <f t="shared" si="40"/>
        <v/>
      </c>
      <c r="B679" s="8"/>
      <c r="C679" s="8"/>
      <c r="D679" s="8"/>
      <c r="E679" s="8" t="str">
        <f ca="1">IFERROR(_xludf.XLOOKUP(D679,STUDENTS!$A$5:$A$204,STUDENTS!$C$5:$C$204,""),"")</f>
        <v/>
      </c>
      <c r="F679" s="8" t="str">
        <f ca="1">IFERROR(_xludf.XLOOKUP(D679,STUDENTS!$A$5:$A$204,STUDENTS!$L$5:$L$204,""),"")</f>
        <v/>
      </c>
      <c r="G679" s="8"/>
      <c r="H679" s="14"/>
      <c r="I679" s="14"/>
      <c r="J679" s="15" t="str">
        <f>IF(H679="","",H679*SETTINGS!$B$9)</f>
        <v/>
      </c>
      <c r="K679" s="15" t="str">
        <f>IF(I679="","",I679*SETTINGS!$B$10)</f>
        <v/>
      </c>
      <c r="L679" s="15" t="str">
        <f t="shared" si="41"/>
        <v/>
      </c>
      <c r="M679" s="10" t="str">
        <f t="shared" si="42"/>
        <v/>
      </c>
      <c r="N679" s="10" t="str">
        <f t="shared" si="43"/>
        <v/>
      </c>
      <c r="O679" s="8"/>
    </row>
    <row r="680" spans="1:15" x14ac:dyDescent="0.2">
      <c r="A680" s="10" t="str">
        <f t="shared" si="40"/>
        <v/>
      </c>
      <c r="B680" s="8"/>
      <c r="C680" s="8"/>
      <c r="D680" s="8"/>
      <c r="E680" s="8" t="str">
        <f ca="1">IFERROR(_xludf.XLOOKUP(D680,STUDENTS!$A$5:$A$204,STUDENTS!$C$5:$C$204,""),"")</f>
        <v/>
      </c>
      <c r="F680" s="8" t="str">
        <f ca="1">IFERROR(_xludf.XLOOKUP(D680,STUDENTS!$A$5:$A$204,STUDENTS!$L$5:$L$204,""),"")</f>
        <v/>
      </c>
      <c r="G680" s="8"/>
      <c r="H680" s="14"/>
      <c r="I680" s="14"/>
      <c r="J680" s="15" t="str">
        <f>IF(H680="","",H680*SETTINGS!$B$9)</f>
        <v/>
      </c>
      <c r="K680" s="15" t="str">
        <f>IF(I680="","",I680*SETTINGS!$B$10)</f>
        <v/>
      </c>
      <c r="L680" s="15" t="str">
        <f t="shared" si="41"/>
        <v/>
      </c>
      <c r="M680" s="10" t="str">
        <f t="shared" si="42"/>
        <v/>
      </c>
      <c r="N680" s="10" t="str">
        <f t="shared" si="43"/>
        <v/>
      </c>
      <c r="O680" s="8"/>
    </row>
    <row r="681" spans="1:15" x14ac:dyDescent="0.2">
      <c r="A681" s="10" t="str">
        <f t="shared" si="40"/>
        <v/>
      </c>
      <c r="B681" s="8"/>
      <c r="C681" s="8"/>
      <c r="D681" s="8"/>
      <c r="E681" s="8" t="str">
        <f ca="1">IFERROR(_xludf.XLOOKUP(D681,STUDENTS!$A$5:$A$204,STUDENTS!$C$5:$C$204,""),"")</f>
        <v/>
      </c>
      <c r="F681" s="8" t="str">
        <f ca="1">IFERROR(_xludf.XLOOKUP(D681,STUDENTS!$A$5:$A$204,STUDENTS!$L$5:$L$204,""),"")</f>
        <v/>
      </c>
      <c r="G681" s="8"/>
      <c r="H681" s="14"/>
      <c r="I681" s="14"/>
      <c r="J681" s="15" t="str">
        <f>IF(H681="","",H681*SETTINGS!$B$9)</f>
        <v/>
      </c>
      <c r="K681" s="15" t="str">
        <f>IF(I681="","",I681*SETTINGS!$B$10)</f>
        <v/>
      </c>
      <c r="L681" s="15" t="str">
        <f t="shared" si="41"/>
        <v/>
      </c>
      <c r="M681" s="10" t="str">
        <f t="shared" si="42"/>
        <v/>
      </c>
      <c r="N681" s="10" t="str">
        <f t="shared" si="43"/>
        <v/>
      </c>
      <c r="O681" s="8"/>
    </row>
    <row r="682" spans="1:15" x14ac:dyDescent="0.2">
      <c r="A682" s="10" t="str">
        <f t="shared" si="40"/>
        <v/>
      </c>
      <c r="B682" s="8"/>
      <c r="C682" s="8"/>
      <c r="D682" s="8"/>
      <c r="E682" s="8" t="str">
        <f ca="1">IFERROR(_xludf.XLOOKUP(D682,STUDENTS!$A$5:$A$204,STUDENTS!$C$5:$C$204,""),"")</f>
        <v/>
      </c>
      <c r="F682" s="8" t="str">
        <f ca="1">IFERROR(_xludf.XLOOKUP(D682,STUDENTS!$A$5:$A$204,STUDENTS!$L$5:$L$204,""),"")</f>
        <v/>
      </c>
      <c r="G682" s="8"/>
      <c r="H682" s="14"/>
      <c r="I682" s="14"/>
      <c r="J682" s="15" t="str">
        <f>IF(H682="","",H682*SETTINGS!$B$9)</f>
        <v/>
      </c>
      <c r="K682" s="15" t="str">
        <f>IF(I682="","",I682*SETTINGS!$B$10)</f>
        <v/>
      </c>
      <c r="L682" s="15" t="str">
        <f t="shared" si="41"/>
        <v/>
      </c>
      <c r="M682" s="10" t="str">
        <f t="shared" si="42"/>
        <v/>
      </c>
      <c r="N682" s="10" t="str">
        <f t="shared" si="43"/>
        <v/>
      </c>
      <c r="O682" s="8"/>
    </row>
    <row r="683" spans="1:15" x14ac:dyDescent="0.2">
      <c r="A683" s="10" t="str">
        <f t="shared" si="40"/>
        <v/>
      </c>
      <c r="B683" s="8"/>
      <c r="C683" s="8"/>
      <c r="D683" s="8"/>
      <c r="E683" s="8" t="str">
        <f ca="1">IFERROR(_xludf.XLOOKUP(D683,STUDENTS!$A$5:$A$204,STUDENTS!$C$5:$C$204,""),"")</f>
        <v/>
      </c>
      <c r="F683" s="8" t="str">
        <f ca="1">IFERROR(_xludf.XLOOKUP(D683,STUDENTS!$A$5:$A$204,STUDENTS!$L$5:$L$204,""),"")</f>
        <v/>
      </c>
      <c r="G683" s="8"/>
      <c r="H683" s="14"/>
      <c r="I683" s="14"/>
      <c r="J683" s="15" t="str">
        <f>IF(H683="","",H683*SETTINGS!$B$9)</f>
        <v/>
      </c>
      <c r="K683" s="15" t="str">
        <f>IF(I683="","",I683*SETTINGS!$B$10)</f>
        <v/>
      </c>
      <c r="L683" s="15" t="str">
        <f t="shared" si="41"/>
        <v/>
      </c>
      <c r="M683" s="10" t="str">
        <f t="shared" si="42"/>
        <v/>
      </c>
      <c r="N683" s="10" t="str">
        <f t="shared" si="43"/>
        <v/>
      </c>
      <c r="O683" s="8"/>
    </row>
    <row r="684" spans="1:15" x14ac:dyDescent="0.2">
      <c r="A684" s="10" t="str">
        <f t="shared" si="40"/>
        <v/>
      </c>
      <c r="B684" s="8"/>
      <c r="C684" s="8"/>
      <c r="D684" s="8"/>
      <c r="E684" s="8" t="str">
        <f ca="1">IFERROR(_xludf.XLOOKUP(D684,STUDENTS!$A$5:$A$204,STUDENTS!$C$5:$C$204,""),"")</f>
        <v/>
      </c>
      <c r="F684" s="8" t="str">
        <f ca="1">IFERROR(_xludf.XLOOKUP(D684,STUDENTS!$A$5:$A$204,STUDENTS!$L$5:$L$204,""),"")</f>
        <v/>
      </c>
      <c r="G684" s="8"/>
      <c r="H684" s="14"/>
      <c r="I684" s="14"/>
      <c r="J684" s="15" t="str">
        <f>IF(H684="","",H684*SETTINGS!$B$9)</f>
        <v/>
      </c>
      <c r="K684" s="15" t="str">
        <f>IF(I684="","",I684*SETTINGS!$B$10)</f>
        <v/>
      </c>
      <c r="L684" s="15" t="str">
        <f t="shared" si="41"/>
        <v/>
      </c>
      <c r="M684" s="10" t="str">
        <f t="shared" si="42"/>
        <v/>
      </c>
      <c r="N684" s="10" t="str">
        <f t="shared" si="43"/>
        <v/>
      </c>
      <c r="O684" s="8"/>
    </row>
    <row r="685" spans="1:15" x14ac:dyDescent="0.2">
      <c r="A685" s="10" t="str">
        <f t="shared" si="40"/>
        <v/>
      </c>
      <c r="B685" s="8"/>
      <c r="C685" s="8"/>
      <c r="D685" s="8"/>
      <c r="E685" s="8" t="str">
        <f ca="1">IFERROR(_xludf.XLOOKUP(D685,STUDENTS!$A$5:$A$204,STUDENTS!$C$5:$C$204,""),"")</f>
        <v/>
      </c>
      <c r="F685" s="8" t="str">
        <f ca="1">IFERROR(_xludf.XLOOKUP(D685,STUDENTS!$A$5:$A$204,STUDENTS!$L$5:$L$204,""),"")</f>
        <v/>
      </c>
      <c r="G685" s="8"/>
      <c r="H685" s="14"/>
      <c r="I685" s="14"/>
      <c r="J685" s="15" t="str">
        <f>IF(H685="","",H685*SETTINGS!$B$9)</f>
        <v/>
      </c>
      <c r="K685" s="15" t="str">
        <f>IF(I685="","",I685*SETTINGS!$B$10)</f>
        <v/>
      </c>
      <c r="L685" s="15" t="str">
        <f t="shared" si="41"/>
        <v/>
      </c>
      <c r="M685" s="10" t="str">
        <f t="shared" si="42"/>
        <v/>
      </c>
      <c r="N685" s="10" t="str">
        <f t="shared" si="43"/>
        <v/>
      </c>
      <c r="O685" s="8"/>
    </row>
    <row r="686" spans="1:15" x14ac:dyDescent="0.2">
      <c r="A686" s="10" t="str">
        <f t="shared" si="40"/>
        <v/>
      </c>
      <c r="B686" s="8"/>
      <c r="C686" s="8"/>
      <c r="D686" s="8"/>
      <c r="E686" s="8" t="str">
        <f ca="1">IFERROR(_xludf.XLOOKUP(D686,STUDENTS!$A$5:$A$204,STUDENTS!$C$5:$C$204,""),"")</f>
        <v/>
      </c>
      <c r="F686" s="8" t="str">
        <f ca="1">IFERROR(_xludf.XLOOKUP(D686,STUDENTS!$A$5:$A$204,STUDENTS!$L$5:$L$204,""),"")</f>
        <v/>
      </c>
      <c r="G686" s="8"/>
      <c r="H686" s="14"/>
      <c r="I686" s="14"/>
      <c r="J686" s="15" t="str">
        <f>IF(H686="","",H686*SETTINGS!$B$9)</f>
        <v/>
      </c>
      <c r="K686" s="15" t="str">
        <f>IF(I686="","",I686*SETTINGS!$B$10)</f>
        <v/>
      </c>
      <c r="L686" s="15" t="str">
        <f t="shared" si="41"/>
        <v/>
      </c>
      <c r="M686" s="10" t="str">
        <f t="shared" si="42"/>
        <v/>
      </c>
      <c r="N686" s="10" t="str">
        <f t="shared" si="43"/>
        <v/>
      </c>
      <c r="O686" s="8"/>
    </row>
    <row r="687" spans="1:15" x14ac:dyDescent="0.2">
      <c r="A687" s="10" t="str">
        <f t="shared" si="40"/>
        <v/>
      </c>
      <c r="B687" s="8"/>
      <c r="C687" s="8"/>
      <c r="D687" s="8"/>
      <c r="E687" s="8" t="str">
        <f ca="1">IFERROR(_xludf.XLOOKUP(D687,STUDENTS!$A$5:$A$204,STUDENTS!$C$5:$C$204,""),"")</f>
        <v/>
      </c>
      <c r="F687" s="8" t="str">
        <f ca="1">IFERROR(_xludf.XLOOKUP(D687,STUDENTS!$A$5:$A$204,STUDENTS!$L$5:$L$204,""),"")</f>
        <v/>
      </c>
      <c r="G687" s="8"/>
      <c r="H687" s="14"/>
      <c r="I687" s="14"/>
      <c r="J687" s="15" t="str">
        <f>IF(H687="","",H687*SETTINGS!$B$9)</f>
        <v/>
      </c>
      <c r="K687" s="15" t="str">
        <f>IF(I687="","",I687*SETTINGS!$B$10)</f>
        <v/>
      </c>
      <c r="L687" s="15" t="str">
        <f t="shared" si="41"/>
        <v/>
      </c>
      <c r="M687" s="10" t="str">
        <f t="shared" si="42"/>
        <v/>
      </c>
      <c r="N687" s="10" t="str">
        <f t="shared" si="43"/>
        <v/>
      </c>
      <c r="O687" s="8"/>
    </row>
    <row r="688" spans="1:15" x14ac:dyDescent="0.2">
      <c r="A688" s="10" t="str">
        <f t="shared" si="40"/>
        <v/>
      </c>
      <c r="B688" s="8"/>
      <c r="C688" s="8"/>
      <c r="D688" s="8"/>
      <c r="E688" s="8" t="str">
        <f ca="1">IFERROR(_xludf.XLOOKUP(D688,STUDENTS!$A$5:$A$204,STUDENTS!$C$5:$C$204,""),"")</f>
        <v/>
      </c>
      <c r="F688" s="8" t="str">
        <f ca="1">IFERROR(_xludf.XLOOKUP(D688,STUDENTS!$A$5:$A$204,STUDENTS!$L$5:$L$204,""),"")</f>
        <v/>
      </c>
      <c r="G688" s="8"/>
      <c r="H688" s="14"/>
      <c r="I688" s="14"/>
      <c r="J688" s="15" t="str">
        <f>IF(H688="","",H688*SETTINGS!$B$9)</f>
        <v/>
      </c>
      <c r="K688" s="15" t="str">
        <f>IF(I688="","",I688*SETTINGS!$B$10)</f>
        <v/>
      </c>
      <c r="L688" s="15" t="str">
        <f t="shared" si="41"/>
        <v/>
      </c>
      <c r="M688" s="10" t="str">
        <f t="shared" si="42"/>
        <v/>
      </c>
      <c r="N688" s="10" t="str">
        <f t="shared" si="43"/>
        <v/>
      </c>
      <c r="O688" s="8"/>
    </row>
    <row r="689" spans="1:15" x14ac:dyDescent="0.2">
      <c r="A689" s="10" t="str">
        <f t="shared" si="40"/>
        <v/>
      </c>
      <c r="B689" s="8"/>
      <c r="C689" s="8"/>
      <c r="D689" s="8"/>
      <c r="E689" s="8" t="str">
        <f ca="1">IFERROR(_xludf.XLOOKUP(D689,STUDENTS!$A$5:$A$204,STUDENTS!$C$5:$C$204,""),"")</f>
        <v/>
      </c>
      <c r="F689" s="8" t="str">
        <f ca="1">IFERROR(_xludf.XLOOKUP(D689,STUDENTS!$A$5:$A$204,STUDENTS!$L$5:$L$204,""),"")</f>
        <v/>
      </c>
      <c r="G689" s="8"/>
      <c r="H689" s="14"/>
      <c r="I689" s="14"/>
      <c r="J689" s="15" t="str">
        <f>IF(H689="","",H689*SETTINGS!$B$9)</f>
        <v/>
      </c>
      <c r="K689" s="15" t="str">
        <f>IF(I689="","",I689*SETTINGS!$B$10)</f>
        <v/>
      </c>
      <c r="L689" s="15" t="str">
        <f t="shared" si="41"/>
        <v/>
      </c>
      <c r="M689" s="10" t="str">
        <f t="shared" si="42"/>
        <v/>
      </c>
      <c r="N689" s="10" t="str">
        <f t="shared" si="43"/>
        <v/>
      </c>
      <c r="O689" s="8"/>
    </row>
    <row r="690" spans="1:15" x14ac:dyDescent="0.2">
      <c r="A690" s="10" t="str">
        <f t="shared" si="40"/>
        <v/>
      </c>
      <c r="B690" s="8"/>
      <c r="C690" s="8"/>
      <c r="D690" s="8"/>
      <c r="E690" s="8" t="str">
        <f ca="1">IFERROR(_xludf.XLOOKUP(D690,STUDENTS!$A$5:$A$204,STUDENTS!$C$5:$C$204,""),"")</f>
        <v/>
      </c>
      <c r="F690" s="8" t="str">
        <f ca="1">IFERROR(_xludf.XLOOKUP(D690,STUDENTS!$A$5:$A$204,STUDENTS!$L$5:$L$204,""),"")</f>
        <v/>
      </c>
      <c r="G690" s="8"/>
      <c r="H690" s="14"/>
      <c r="I690" s="14"/>
      <c r="J690" s="15" t="str">
        <f>IF(H690="","",H690*SETTINGS!$B$9)</f>
        <v/>
      </c>
      <c r="K690" s="15" t="str">
        <f>IF(I690="","",I690*SETTINGS!$B$10)</f>
        <v/>
      </c>
      <c r="L690" s="15" t="str">
        <f t="shared" si="41"/>
        <v/>
      </c>
      <c r="M690" s="10" t="str">
        <f t="shared" si="42"/>
        <v/>
      </c>
      <c r="N690" s="10" t="str">
        <f t="shared" si="43"/>
        <v/>
      </c>
      <c r="O690" s="8"/>
    </row>
    <row r="691" spans="1:15" x14ac:dyDescent="0.2">
      <c r="A691" s="10" t="str">
        <f t="shared" si="40"/>
        <v/>
      </c>
      <c r="B691" s="8"/>
      <c r="C691" s="8"/>
      <c r="D691" s="8"/>
      <c r="E691" s="8" t="str">
        <f ca="1">IFERROR(_xludf.XLOOKUP(D691,STUDENTS!$A$5:$A$204,STUDENTS!$C$5:$C$204,""),"")</f>
        <v/>
      </c>
      <c r="F691" s="8" t="str">
        <f ca="1">IFERROR(_xludf.XLOOKUP(D691,STUDENTS!$A$5:$A$204,STUDENTS!$L$5:$L$204,""),"")</f>
        <v/>
      </c>
      <c r="G691" s="8"/>
      <c r="H691" s="14"/>
      <c r="I691" s="14"/>
      <c r="J691" s="15" t="str">
        <f>IF(H691="","",H691*SETTINGS!$B$9)</f>
        <v/>
      </c>
      <c r="K691" s="15" t="str">
        <f>IF(I691="","",I691*SETTINGS!$B$10)</f>
        <v/>
      </c>
      <c r="L691" s="15" t="str">
        <f t="shared" si="41"/>
        <v/>
      </c>
      <c r="M691" s="10" t="str">
        <f t="shared" si="42"/>
        <v/>
      </c>
      <c r="N691" s="10" t="str">
        <f t="shared" si="43"/>
        <v/>
      </c>
      <c r="O691" s="8"/>
    </row>
    <row r="692" spans="1:15" x14ac:dyDescent="0.2">
      <c r="A692" s="10" t="str">
        <f t="shared" si="40"/>
        <v/>
      </c>
      <c r="B692" s="8"/>
      <c r="C692" s="8"/>
      <c r="D692" s="8"/>
      <c r="E692" s="8" t="str">
        <f ca="1">IFERROR(_xludf.XLOOKUP(D692,STUDENTS!$A$5:$A$204,STUDENTS!$C$5:$C$204,""),"")</f>
        <v/>
      </c>
      <c r="F692" s="8" t="str">
        <f ca="1">IFERROR(_xludf.XLOOKUP(D692,STUDENTS!$A$5:$A$204,STUDENTS!$L$5:$L$204,""),"")</f>
        <v/>
      </c>
      <c r="G692" s="8"/>
      <c r="H692" s="14"/>
      <c r="I692" s="14"/>
      <c r="J692" s="15" t="str">
        <f>IF(H692="","",H692*SETTINGS!$B$9)</f>
        <v/>
      </c>
      <c r="K692" s="15" t="str">
        <f>IF(I692="","",I692*SETTINGS!$B$10)</f>
        <v/>
      </c>
      <c r="L692" s="15" t="str">
        <f t="shared" si="41"/>
        <v/>
      </c>
      <c r="M692" s="10" t="str">
        <f t="shared" si="42"/>
        <v/>
      </c>
      <c r="N692" s="10" t="str">
        <f t="shared" si="43"/>
        <v/>
      </c>
      <c r="O692" s="8"/>
    </row>
    <row r="693" spans="1:15" x14ac:dyDescent="0.2">
      <c r="A693" s="10" t="str">
        <f t="shared" si="40"/>
        <v/>
      </c>
      <c r="B693" s="8"/>
      <c r="C693" s="8"/>
      <c r="D693" s="8"/>
      <c r="E693" s="8" t="str">
        <f ca="1">IFERROR(_xludf.XLOOKUP(D693,STUDENTS!$A$5:$A$204,STUDENTS!$C$5:$C$204,""),"")</f>
        <v/>
      </c>
      <c r="F693" s="8" t="str">
        <f ca="1">IFERROR(_xludf.XLOOKUP(D693,STUDENTS!$A$5:$A$204,STUDENTS!$L$5:$L$204,""),"")</f>
        <v/>
      </c>
      <c r="G693" s="8"/>
      <c r="H693" s="14"/>
      <c r="I693" s="14"/>
      <c r="J693" s="15" t="str">
        <f>IF(H693="","",H693*SETTINGS!$B$9)</f>
        <v/>
      </c>
      <c r="K693" s="15" t="str">
        <f>IF(I693="","",I693*SETTINGS!$B$10)</f>
        <v/>
      </c>
      <c r="L693" s="15" t="str">
        <f t="shared" si="41"/>
        <v/>
      </c>
      <c r="M693" s="10" t="str">
        <f t="shared" si="42"/>
        <v/>
      </c>
      <c r="N693" s="10" t="str">
        <f t="shared" si="43"/>
        <v/>
      </c>
      <c r="O693" s="8"/>
    </row>
    <row r="694" spans="1:15" x14ac:dyDescent="0.2">
      <c r="A694" s="10" t="str">
        <f t="shared" si="40"/>
        <v/>
      </c>
      <c r="B694" s="8"/>
      <c r="C694" s="8"/>
      <c r="D694" s="8"/>
      <c r="E694" s="8" t="str">
        <f ca="1">IFERROR(_xludf.XLOOKUP(D694,STUDENTS!$A$5:$A$204,STUDENTS!$C$5:$C$204,""),"")</f>
        <v/>
      </c>
      <c r="F694" s="8" t="str">
        <f ca="1">IFERROR(_xludf.XLOOKUP(D694,STUDENTS!$A$5:$A$204,STUDENTS!$L$5:$L$204,""),"")</f>
        <v/>
      </c>
      <c r="G694" s="8"/>
      <c r="H694" s="14"/>
      <c r="I694" s="14"/>
      <c r="J694" s="15" t="str">
        <f>IF(H694="","",H694*SETTINGS!$B$9)</f>
        <v/>
      </c>
      <c r="K694" s="15" t="str">
        <f>IF(I694="","",I694*SETTINGS!$B$10)</f>
        <v/>
      </c>
      <c r="L694" s="15" t="str">
        <f t="shared" si="41"/>
        <v/>
      </c>
      <c r="M694" s="10" t="str">
        <f t="shared" si="42"/>
        <v/>
      </c>
      <c r="N694" s="10" t="str">
        <f t="shared" si="43"/>
        <v/>
      </c>
      <c r="O694" s="8"/>
    </row>
    <row r="695" spans="1:15" x14ac:dyDescent="0.2">
      <c r="A695" s="10" t="str">
        <f t="shared" si="40"/>
        <v/>
      </c>
      <c r="B695" s="8"/>
      <c r="C695" s="8"/>
      <c r="D695" s="8"/>
      <c r="E695" s="8" t="str">
        <f ca="1">IFERROR(_xludf.XLOOKUP(D695,STUDENTS!$A$5:$A$204,STUDENTS!$C$5:$C$204,""),"")</f>
        <v/>
      </c>
      <c r="F695" s="8" t="str">
        <f ca="1">IFERROR(_xludf.XLOOKUP(D695,STUDENTS!$A$5:$A$204,STUDENTS!$L$5:$L$204,""),"")</f>
        <v/>
      </c>
      <c r="G695" s="8"/>
      <c r="H695" s="14"/>
      <c r="I695" s="14"/>
      <c r="J695" s="15" t="str">
        <f>IF(H695="","",H695*SETTINGS!$B$9)</f>
        <v/>
      </c>
      <c r="K695" s="15" t="str">
        <f>IF(I695="","",I695*SETTINGS!$B$10)</f>
        <v/>
      </c>
      <c r="L695" s="15" t="str">
        <f t="shared" si="41"/>
        <v/>
      </c>
      <c r="M695" s="10" t="str">
        <f t="shared" si="42"/>
        <v/>
      </c>
      <c r="N695" s="10" t="str">
        <f t="shared" si="43"/>
        <v/>
      </c>
      <c r="O695" s="8"/>
    </row>
    <row r="696" spans="1:15" x14ac:dyDescent="0.2">
      <c r="A696" s="10" t="str">
        <f t="shared" si="40"/>
        <v/>
      </c>
      <c r="B696" s="8"/>
      <c r="C696" s="8"/>
      <c r="D696" s="8"/>
      <c r="E696" s="8" t="str">
        <f ca="1">IFERROR(_xludf.XLOOKUP(D696,STUDENTS!$A$5:$A$204,STUDENTS!$C$5:$C$204,""),"")</f>
        <v/>
      </c>
      <c r="F696" s="8" t="str">
        <f ca="1">IFERROR(_xludf.XLOOKUP(D696,STUDENTS!$A$5:$A$204,STUDENTS!$L$5:$L$204,""),"")</f>
        <v/>
      </c>
      <c r="G696" s="8"/>
      <c r="H696" s="14"/>
      <c r="I696" s="14"/>
      <c r="J696" s="15" t="str">
        <f>IF(H696="","",H696*SETTINGS!$B$9)</f>
        <v/>
      </c>
      <c r="K696" s="15" t="str">
        <f>IF(I696="","",I696*SETTINGS!$B$10)</f>
        <v/>
      </c>
      <c r="L696" s="15" t="str">
        <f t="shared" si="41"/>
        <v/>
      </c>
      <c r="M696" s="10" t="str">
        <f t="shared" si="42"/>
        <v/>
      </c>
      <c r="N696" s="10" t="str">
        <f t="shared" si="43"/>
        <v/>
      </c>
      <c r="O696" s="8"/>
    </row>
    <row r="697" spans="1:15" x14ac:dyDescent="0.2">
      <c r="A697" s="10" t="str">
        <f t="shared" si="40"/>
        <v/>
      </c>
      <c r="B697" s="8"/>
      <c r="C697" s="8"/>
      <c r="D697" s="8"/>
      <c r="E697" s="8" t="str">
        <f ca="1">IFERROR(_xludf.XLOOKUP(D697,STUDENTS!$A$5:$A$204,STUDENTS!$C$5:$C$204,""),"")</f>
        <v/>
      </c>
      <c r="F697" s="8" t="str">
        <f ca="1">IFERROR(_xludf.XLOOKUP(D697,STUDENTS!$A$5:$A$204,STUDENTS!$L$5:$L$204,""),"")</f>
        <v/>
      </c>
      <c r="G697" s="8"/>
      <c r="H697" s="14"/>
      <c r="I697" s="14"/>
      <c r="J697" s="15" t="str">
        <f>IF(H697="","",H697*SETTINGS!$B$9)</f>
        <v/>
      </c>
      <c r="K697" s="15" t="str">
        <f>IF(I697="","",I697*SETTINGS!$B$10)</f>
        <v/>
      </c>
      <c r="L697" s="15" t="str">
        <f t="shared" si="41"/>
        <v/>
      </c>
      <c r="M697" s="10" t="str">
        <f t="shared" si="42"/>
        <v/>
      </c>
      <c r="N697" s="10" t="str">
        <f t="shared" si="43"/>
        <v/>
      </c>
      <c r="O697" s="8"/>
    </row>
    <row r="698" spans="1:15" x14ac:dyDescent="0.2">
      <c r="A698" s="10" t="str">
        <f t="shared" si="40"/>
        <v/>
      </c>
      <c r="B698" s="8"/>
      <c r="C698" s="8"/>
      <c r="D698" s="8"/>
      <c r="E698" s="8" t="str">
        <f ca="1">IFERROR(_xludf.XLOOKUP(D698,STUDENTS!$A$5:$A$204,STUDENTS!$C$5:$C$204,""),"")</f>
        <v/>
      </c>
      <c r="F698" s="8" t="str">
        <f ca="1">IFERROR(_xludf.XLOOKUP(D698,STUDENTS!$A$5:$A$204,STUDENTS!$L$5:$L$204,""),"")</f>
        <v/>
      </c>
      <c r="G698" s="8"/>
      <c r="H698" s="14"/>
      <c r="I698" s="14"/>
      <c r="J698" s="15" t="str">
        <f>IF(H698="","",H698*SETTINGS!$B$9)</f>
        <v/>
      </c>
      <c r="K698" s="15" t="str">
        <f>IF(I698="","",I698*SETTINGS!$B$10)</f>
        <v/>
      </c>
      <c r="L698" s="15" t="str">
        <f t="shared" si="41"/>
        <v/>
      </c>
      <c r="M698" s="10" t="str">
        <f t="shared" si="42"/>
        <v/>
      </c>
      <c r="N698" s="10" t="str">
        <f t="shared" si="43"/>
        <v/>
      </c>
      <c r="O698" s="8"/>
    </row>
    <row r="699" spans="1:15" x14ac:dyDescent="0.2">
      <c r="A699" s="10" t="str">
        <f t="shared" si="40"/>
        <v/>
      </c>
      <c r="B699" s="8"/>
      <c r="C699" s="8"/>
      <c r="D699" s="8"/>
      <c r="E699" s="8" t="str">
        <f ca="1">IFERROR(_xludf.XLOOKUP(D699,STUDENTS!$A$5:$A$204,STUDENTS!$C$5:$C$204,""),"")</f>
        <v/>
      </c>
      <c r="F699" s="8" t="str">
        <f ca="1">IFERROR(_xludf.XLOOKUP(D699,STUDENTS!$A$5:$A$204,STUDENTS!$L$5:$L$204,""),"")</f>
        <v/>
      </c>
      <c r="G699" s="8"/>
      <c r="H699" s="14"/>
      <c r="I699" s="14"/>
      <c r="J699" s="15" t="str">
        <f>IF(H699="","",H699*SETTINGS!$B$9)</f>
        <v/>
      </c>
      <c r="K699" s="15" t="str">
        <f>IF(I699="","",I699*SETTINGS!$B$10)</f>
        <v/>
      </c>
      <c r="L699" s="15" t="str">
        <f t="shared" si="41"/>
        <v/>
      </c>
      <c r="M699" s="10" t="str">
        <f t="shared" si="42"/>
        <v/>
      </c>
      <c r="N699" s="10" t="str">
        <f t="shared" si="43"/>
        <v/>
      </c>
      <c r="O699" s="8"/>
    </row>
    <row r="700" spans="1:15" x14ac:dyDescent="0.2">
      <c r="A700" s="10" t="str">
        <f t="shared" si="40"/>
        <v/>
      </c>
      <c r="B700" s="8"/>
      <c r="C700" s="8"/>
      <c r="D700" s="8"/>
      <c r="E700" s="8" t="str">
        <f ca="1">IFERROR(_xludf.XLOOKUP(D700,STUDENTS!$A$5:$A$204,STUDENTS!$C$5:$C$204,""),"")</f>
        <v/>
      </c>
      <c r="F700" s="8" t="str">
        <f ca="1">IFERROR(_xludf.XLOOKUP(D700,STUDENTS!$A$5:$A$204,STUDENTS!$L$5:$L$204,""),"")</f>
        <v/>
      </c>
      <c r="G700" s="8"/>
      <c r="H700" s="14"/>
      <c r="I700" s="14"/>
      <c r="J700" s="15" t="str">
        <f>IF(H700="","",H700*SETTINGS!$B$9)</f>
        <v/>
      </c>
      <c r="K700" s="15" t="str">
        <f>IF(I700="","",I700*SETTINGS!$B$10)</f>
        <v/>
      </c>
      <c r="L700" s="15" t="str">
        <f t="shared" si="41"/>
        <v/>
      </c>
      <c r="M700" s="10" t="str">
        <f t="shared" si="42"/>
        <v/>
      </c>
      <c r="N700" s="10" t="str">
        <f t="shared" si="43"/>
        <v/>
      </c>
      <c r="O700" s="8"/>
    </row>
    <row r="701" spans="1:15" x14ac:dyDescent="0.2">
      <c r="A701" s="10" t="str">
        <f t="shared" si="40"/>
        <v/>
      </c>
      <c r="B701" s="8"/>
      <c r="C701" s="8"/>
      <c r="D701" s="8"/>
      <c r="E701" s="8" t="str">
        <f ca="1">IFERROR(_xludf.XLOOKUP(D701,STUDENTS!$A$5:$A$204,STUDENTS!$C$5:$C$204,""),"")</f>
        <v/>
      </c>
      <c r="F701" s="8" t="str">
        <f ca="1">IFERROR(_xludf.XLOOKUP(D701,STUDENTS!$A$5:$A$204,STUDENTS!$L$5:$L$204,""),"")</f>
        <v/>
      </c>
      <c r="G701" s="8"/>
      <c r="H701" s="14"/>
      <c r="I701" s="14"/>
      <c r="J701" s="15" t="str">
        <f>IF(H701="","",H701*SETTINGS!$B$9)</f>
        <v/>
      </c>
      <c r="K701" s="15" t="str">
        <f>IF(I701="","",I701*SETTINGS!$B$10)</f>
        <v/>
      </c>
      <c r="L701" s="15" t="str">
        <f t="shared" si="41"/>
        <v/>
      </c>
      <c r="M701" s="10" t="str">
        <f t="shared" si="42"/>
        <v/>
      </c>
      <c r="N701" s="10" t="str">
        <f t="shared" si="43"/>
        <v/>
      </c>
      <c r="O701" s="8"/>
    </row>
    <row r="702" spans="1:15" x14ac:dyDescent="0.2">
      <c r="A702" s="10" t="str">
        <f t="shared" si="40"/>
        <v/>
      </c>
      <c r="B702" s="8"/>
      <c r="C702" s="8"/>
      <c r="D702" s="8"/>
      <c r="E702" s="8" t="str">
        <f ca="1">IFERROR(_xludf.XLOOKUP(D702,STUDENTS!$A$5:$A$204,STUDENTS!$C$5:$C$204,""),"")</f>
        <v/>
      </c>
      <c r="F702" s="8" t="str">
        <f ca="1">IFERROR(_xludf.XLOOKUP(D702,STUDENTS!$A$5:$A$204,STUDENTS!$L$5:$L$204,""),"")</f>
        <v/>
      </c>
      <c r="G702" s="8"/>
      <c r="H702" s="14"/>
      <c r="I702" s="14"/>
      <c r="J702" s="15" t="str">
        <f>IF(H702="","",H702*SETTINGS!$B$9)</f>
        <v/>
      </c>
      <c r="K702" s="15" t="str">
        <f>IF(I702="","",I702*SETTINGS!$B$10)</f>
        <v/>
      </c>
      <c r="L702" s="15" t="str">
        <f t="shared" si="41"/>
        <v/>
      </c>
      <c r="M702" s="10" t="str">
        <f t="shared" si="42"/>
        <v/>
      </c>
      <c r="N702" s="10" t="str">
        <f t="shared" si="43"/>
        <v/>
      </c>
      <c r="O702" s="8"/>
    </row>
    <row r="703" spans="1:15" x14ac:dyDescent="0.2">
      <c r="A703" s="10" t="str">
        <f t="shared" si="40"/>
        <v/>
      </c>
      <c r="B703" s="8"/>
      <c r="C703" s="8"/>
      <c r="D703" s="8"/>
      <c r="E703" s="8" t="str">
        <f ca="1">IFERROR(_xludf.XLOOKUP(D703,STUDENTS!$A$5:$A$204,STUDENTS!$C$5:$C$204,""),"")</f>
        <v/>
      </c>
      <c r="F703" s="8" t="str">
        <f ca="1">IFERROR(_xludf.XLOOKUP(D703,STUDENTS!$A$5:$A$204,STUDENTS!$L$5:$L$204,""),"")</f>
        <v/>
      </c>
      <c r="G703" s="8"/>
      <c r="H703" s="14"/>
      <c r="I703" s="14"/>
      <c r="J703" s="15" t="str">
        <f>IF(H703="","",H703*SETTINGS!$B$9)</f>
        <v/>
      </c>
      <c r="K703" s="15" t="str">
        <f>IF(I703="","",I703*SETTINGS!$B$10)</f>
        <v/>
      </c>
      <c r="L703" s="15" t="str">
        <f t="shared" si="41"/>
        <v/>
      </c>
      <c r="M703" s="10" t="str">
        <f t="shared" si="42"/>
        <v/>
      </c>
      <c r="N703" s="10" t="str">
        <f t="shared" si="43"/>
        <v/>
      </c>
      <c r="O703" s="8"/>
    </row>
    <row r="704" spans="1:15" x14ac:dyDescent="0.2">
      <c r="A704" s="10" t="str">
        <f t="shared" si="40"/>
        <v/>
      </c>
      <c r="B704" s="8"/>
      <c r="C704" s="8"/>
      <c r="D704" s="8"/>
      <c r="E704" s="8" t="str">
        <f ca="1">IFERROR(_xludf.XLOOKUP(D704,STUDENTS!$A$5:$A$204,STUDENTS!$C$5:$C$204,""),"")</f>
        <v/>
      </c>
      <c r="F704" s="8" t="str">
        <f ca="1">IFERROR(_xludf.XLOOKUP(D704,STUDENTS!$A$5:$A$204,STUDENTS!$L$5:$L$204,""),"")</f>
        <v/>
      </c>
      <c r="G704" s="8"/>
      <c r="H704" s="14"/>
      <c r="I704" s="14"/>
      <c r="J704" s="15" t="str">
        <f>IF(H704="","",H704*SETTINGS!$B$9)</f>
        <v/>
      </c>
      <c r="K704" s="15" t="str">
        <f>IF(I704="","",I704*SETTINGS!$B$10)</f>
        <v/>
      </c>
      <c r="L704" s="15" t="str">
        <f t="shared" si="41"/>
        <v/>
      </c>
      <c r="M704" s="10" t="str">
        <f t="shared" si="42"/>
        <v/>
      </c>
      <c r="N704" s="10" t="str">
        <f t="shared" si="43"/>
        <v/>
      </c>
      <c r="O704" s="8"/>
    </row>
    <row r="705" spans="1:15" x14ac:dyDescent="0.2">
      <c r="A705" s="10" t="str">
        <f t="shared" si="40"/>
        <v/>
      </c>
      <c r="B705" s="8"/>
      <c r="C705" s="8"/>
      <c r="D705" s="8"/>
      <c r="E705" s="8" t="str">
        <f ca="1">IFERROR(_xludf.XLOOKUP(D705,STUDENTS!$A$5:$A$204,STUDENTS!$C$5:$C$204,""),"")</f>
        <v/>
      </c>
      <c r="F705" s="8" t="str">
        <f ca="1">IFERROR(_xludf.XLOOKUP(D705,STUDENTS!$A$5:$A$204,STUDENTS!$L$5:$L$204,""),"")</f>
        <v/>
      </c>
      <c r="G705" s="8"/>
      <c r="H705" s="14"/>
      <c r="I705" s="14"/>
      <c r="J705" s="15" t="str">
        <f>IF(H705="","",H705*SETTINGS!$B$9)</f>
        <v/>
      </c>
      <c r="K705" s="15" t="str">
        <f>IF(I705="","",I705*SETTINGS!$B$10)</f>
        <v/>
      </c>
      <c r="L705" s="15" t="str">
        <f t="shared" si="41"/>
        <v/>
      </c>
      <c r="M705" s="10" t="str">
        <f t="shared" si="42"/>
        <v/>
      </c>
      <c r="N705" s="10" t="str">
        <f t="shared" si="43"/>
        <v/>
      </c>
      <c r="O705" s="8"/>
    </row>
    <row r="706" spans="1:15" x14ac:dyDescent="0.2">
      <c r="A706" s="10" t="str">
        <f t="shared" si="40"/>
        <v/>
      </c>
      <c r="B706" s="8"/>
      <c r="C706" s="8"/>
      <c r="D706" s="8"/>
      <c r="E706" s="8" t="str">
        <f ca="1">IFERROR(_xludf.XLOOKUP(D706,STUDENTS!$A$5:$A$204,STUDENTS!$C$5:$C$204,""),"")</f>
        <v/>
      </c>
      <c r="F706" s="8" t="str">
        <f ca="1">IFERROR(_xludf.XLOOKUP(D706,STUDENTS!$A$5:$A$204,STUDENTS!$L$5:$L$204,""),"")</f>
        <v/>
      </c>
      <c r="G706" s="8"/>
      <c r="H706" s="14"/>
      <c r="I706" s="14"/>
      <c r="J706" s="15" t="str">
        <f>IF(H706="","",H706*SETTINGS!$B$9)</f>
        <v/>
      </c>
      <c r="K706" s="15" t="str">
        <f>IF(I706="","",I706*SETTINGS!$B$10)</f>
        <v/>
      </c>
      <c r="L706" s="15" t="str">
        <f t="shared" si="41"/>
        <v/>
      </c>
      <c r="M706" s="10" t="str">
        <f t="shared" si="42"/>
        <v/>
      </c>
      <c r="N706" s="10" t="str">
        <f t="shared" si="43"/>
        <v/>
      </c>
      <c r="O706" s="8"/>
    </row>
    <row r="707" spans="1:15" x14ac:dyDescent="0.2">
      <c r="A707" s="10" t="str">
        <f t="shared" si="40"/>
        <v/>
      </c>
      <c r="B707" s="8"/>
      <c r="C707" s="8"/>
      <c r="D707" s="8"/>
      <c r="E707" s="8" t="str">
        <f ca="1">IFERROR(_xludf.XLOOKUP(D707,STUDENTS!$A$5:$A$204,STUDENTS!$C$5:$C$204,""),"")</f>
        <v/>
      </c>
      <c r="F707" s="8" t="str">
        <f ca="1">IFERROR(_xludf.XLOOKUP(D707,STUDENTS!$A$5:$A$204,STUDENTS!$L$5:$L$204,""),"")</f>
        <v/>
      </c>
      <c r="G707" s="8"/>
      <c r="H707" s="14"/>
      <c r="I707" s="14"/>
      <c r="J707" s="15" t="str">
        <f>IF(H707="","",H707*SETTINGS!$B$9)</f>
        <v/>
      </c>
      <c r="K707" s="15" t="str">
        <f>IF(I707="","",I707*SETTINGS!$B$10)</f>
        <v/>
      </c>
      <c r="L707" s="15" t="str">
        <f t="shared" si="41"/>
        <v/>
      </c>
      <c r="M707" s="10" t="str">
        <f t="shared" si="42"/>
        <v/>
      </c>
      <c r="N707" s="10" t="str">
        <f t="shared" si="43"/>
        <v/>
      </c>
      <c r="O707" s="8"/>
    </row>
    <row r="708" spans="1:15" x14ac:dyDescent="0.2">
      <c r="A708" s="10" t="str">
        <f t="shared" si="40"/>
        <v/>
      </c>
      <c r="B708" s="8"/>
      <c r="C708" s="8"/>
      <c r="D708" s="8"/>
      <c r="E708" s="8" t="str">
        <f ca="1">IFERROR(_xludf.XLOOKUP(D708,STUDENTS!$A$5:$A$204,STUDENTS!$C$5:$C$204,""),"")</f>
        <v/>
      </c>
      <c r="F708" s="8" t="str">
        <f ca="1">IFERROR(_xludf.XLOOKUP(D708,STUDENTS!$A$5:$A$204,STUDENTS!$L$5:$L$204,""),"")</f>
        <v/>
      </c>
      <c r="G708" s="8"/>
      <c r="H708" s="14"/>
      <c r="I708" s="14"/>
      <c r="J708" s="15" t="str">
        <f>IF(H708="","",H708*SETTINGS!$B$9)</f>
        <v/>
      </c>
      <c r="K708" s="15" t="str">
        <f>IF(I708="","",I708*SETTINGS!$B$10)</f>
        <v/>
      </c>
      <c r="L708" s="15" t="str">
        <f t="shared" si="41"/>
        <v/>
      </c>
      <c r="M708" s="10" t="str">
        <f t="shared" si="42"/>
        <v/>
      </c>
      <c r="N708" s="10" t="str">
        <f t="shared" si="43"/>
        <v/>
      </c>
      <c r="O708" s="8"/>
    </row>
    <row r="709" spans="1:15" x14ac:dyDescent="0.2">
      <c r="A709" s="10" t="str">
        <f t="shared" ref="A709:A772" si="44">IF(D709="","","R-"&amp;TEXT(ROW()-4,"00000"))</f>
        <v/>
      </c>
      <c r="B709" s="8"/>
      <c r="C709" s="8"/>
      <c r="D709" s="8"/>
      <c r="E709" s="8" t="str">
        <f ca="1">IFERROR(_xludf.XLOOKUP(D709,STUDENTS!$A$5:$A$204,STUDENTS!$C$5:$C$204,""),"")</f>
        <v/>
      </c>
      <c r="F709" s="8" t="str">
        <f ca="1">IFERROR(_xludf.XLOOKUP(D709,STUDENTS!$A$5:$A$204,STUDENTS!$L$5:$L$204,""),"")</f>
        <v/>
      </c>
      <c r="G709" s="8"/>
      <c r="H709" s="14"/>
      <c r="I709" s="14"/>
      <c r="J709" s="15" t="str">
        <f>IF(H709="","",H709*SETTINGS!$B$9)</f>
        <v/>
      </c>
      <c r="K709" s="15" t="str">
        <f>IF(I709="","",I709*SETTINGS!$B$10)</f>
        <v/>
      </c>
      <c r="L709" s="15" t="str">
        <f t="shared" ref="L709:L772" si="45">IF(OR(H709="",I709=""),"",J709+K709)</f>
        <v/>
      </c>
      <c r="M709" s="10" t="str">
        <f t="shared" ref="M709:M772" si="46">IF(L709="","",IF(L709&gt;=80,"A",IF(L709&gt;=70,"B",IF(L709&gt;=60,"C",IF(L709&gt;=50,"D","F")))))</f>
        <v/>
      </c>
      <c r="N709" s="10" t="str">
        <f t="shared" ref="N709:N772" si="47">IF(L709="","",1+COUNTIFS($F$5:$F$1004,F709,$C$5:$C$1004,C709,$G$5:$G$1004,G709,$L$5:$L$1004,"&gt;"&amp;L709))</f>
        <v/>
      </c>
      <c r="O709" s="8"/>
    </row>
    <row r="710" spans="1:15" x14ac:dyDescent="0.2">
      <c r="A710" s="10" t="str">
        <f t="shared" si="44"/>
        <v/>
      </c>
      <c r="B710" s="8"/>
      <c r="C710" s="8"/>
      <c r="D710" s="8"/>
      <c r="E710" s="8" t="str">
        <f ca="1">IFERROR(_xludf.XLOOKUP(D710,STUDENTS!$A$5:$A$204,STUDENTS!$C$5:$C$204,""),"")</f>
        <v/>
      </c>
      <c r="F710" s="8" t="str">
        <f ca="1">IFERROR(_xludf.XLOOKUP(D710,STUDENTS!$A$5:$A$204,STUDENTS!$L$5:$L$204,""),"")</f>
        <v/>
      </c>
      <c r="G710" s="8"/>
      <c r="H710" s="14"/>
      <c r="I710" s="14"/>
      <c r="J710" s="15" t="str">
        <f>IF(H710="","",H710*SETTINGS!$B$9)</f>
        <v/>
      </c>
      <c r="K710" s="15" t="str">
        <f>IF(I710="","",I710*SETTINGS!$B$10)</f>
        <v/>
      </c>
      <c r="L710" s="15" t="str">
        <f t="shared" si="45"/>
        <v/>
      </c>
      <c r="M710" s="10" t="str">
        <f t="shared" si="46"/>
        <v/>
      </c>
      <c r="N710" s="10" t="str">
        <f t="shared" si="47"/>
        <v/>
      </c>
      <c r="O710" s="8"/>
    </row>
    <row r="711" spans="1:15" x14ac:dyDescent="0.2">
      <c r="A711" s="10" t="str">
        <f t="shared" si="44"/>
        <v/>
      </c>
      <c r="B711" s="8"/>
      <c r="C711" s="8"/>
      <c r="D711" s="8"/>
      <c r="E711" s="8" t="str">
        <f ca="1">IFERROR(_xludf.XLOOKUP(D711,STUDENTS!$A$5:$A$204,STUDENTS!$C$5:$C$204,""),"")</f>
        <v/>
      </c>
      <c r="F711" s="8" t="str">
        <f ca="1">IFERROR(_xludf.XLOOKUP(D711,STUDENTS!$A$5:$A$204,STUDENTS!$L$5:$L$204,""),"")</f>
        <v/>
      </c>
      <c r="G711" s="8"/>
      <c r="H711" s="14"/>
      <c r="I711" s="14"/>
      <c r="J711" s="15" t="str">
        <f>IF(H711="","",H711*SETTINGS!$B$9)</f>
        <v/>
      </c>
      <c r="K711" s="15" t="str">
        <f>IF(I711="","",I711*SETTINGS!$B$10)</f>
        <v/>
      </c>
      <c r="L711" s="15" t="str">
        <f t="shared" si="45"/>
        <v/>
      </c>
      <c r="M711" s="10" t="str">
        <f t="shared" si="46"/>
        <v/>
      </c>
      <c r="N711" s="10" t="str">
        <f t="shared" si="47"/>
        <v/>
      </c>
      <c r="O711" s="8"/>
    </row>
    <row r="712" spans="1:15" x14ac:dyDescent="0.2">
      <c r="A712" s="10" t="str">
        <f t="shared" si="44"/>
        <v/>
      </c>
      <c r="B712" s="8"/>
      <c r="C712" s="8"/>
      <c r="D712" s="8"/>
      <c r="E712" s="8" t="str">
        <f ca="1">IFERROR(_xludf.XLOOKUP(D712,STUDENTS!$A$5:$A$204,STUDENTS!$C$5:$C$204,""),"")</f>
        <v/>
      </c>
      <c r="F712" s="8" t="str">
        <f ca="1">IFERROR(_xludf.XLOOKUP(D712,STUDENTS!$A$5:$A$204,STUDENTS!$L$5:$L$204,""),"")</f>
        <v/>
      </c>
      <c r="G712" s="8"/>
      <c r="H712" s="14"/>
      <c r="I712" s="14"/>
      <c r="J712" s="15" t="str">
        <f>IF(H712="","",H712*SETTINGS!$B$9)</f>
        <v/>
      </c>
      <c r="K712" s="15" t="str">
        <f>IF(I712="","",I712*SETTINGS!$B$10)</f>
        <v/>
      </c>
      <c r="L712" s="15" t="str">
        <f t="shared" si="45"/>
        <v/>
      </c>
      <c r="M712" s="10" t="str">
        <f t="shared" si="46"/>
        <v/>
      </c>
      <c r="N712" s="10" t="str">
        <f t="shared" si="47"/>
        <v/>
      </c>
      <c r="O712" s="8"/>
    </row>
    <row r="713" spans="1:15" x14ac:dyDescent="0.2">
      <c r="A713" s="10" t="str">
        <f t="shared" si="44"/>
        <v/>
      </c>
      <c r="B713" s="8"/>
      <c r="C713" s="8"/>
      <c r="D713" s="8"/>
      <c r="E713" s="8" t="str">
        <f ca="1">IFERROR(_xludf.XLOOKUP(D713,STUDENTS!$A$5:$A$204,STUDENTS!$C$5:$C$204,""),"")</f>
        <v/>
      </c>
      <c r="F713" s="8" t="str">
        <f ca="1">IFERROR(_xludf.XLOOKUP(D713,STUDENTS!$A$5:$A$204,STUDENTS!$L$5:$L$204,""),"")</f>
        <v/>
      </c>
      <c r="G713" s="8"/>
      <c r="H713" s="14"/>
      <c r="I713" s="14"/>
      <c r="J713" s="15" t="str">
        <f>IF(H713="","",H713*SETTINGS!$B$9)</f>
        <v/>
      </c>
      <c r="K713" s="15" t="str">
        <f>IF(I713="","",I713*SETTINGS!$B$10)</f>
        <v/>
      </c>
      <c r="L713" s="15" t="str">
        <f t="shared" si="45"/>
        <v/>
      </c>
      <c r="M713" s="10" t="str">
        <f t="shared" si="46"/>
        <v/>
      </c>
      <c r="N713" s="10" t="str">
        <f t="shared" si="47"/>
        <v/>
      </c>
      <c r="O713" s="8"/>
    </row>
    <row r="714" spans="1:15" x14ac:dyDescent="0.2">
      <c r="A714" s="10" t="str">
        <f t="shared" si="44"/>
        <v/>
      </c>
      <c r="B714" s="8"/>
      <c r="C714" s="8"/>
      <c r="D714" s="8"/>
      <c r="E714" s="8" t="str">
        <f ca="1">IFERROR(_xludf.XLOOKUP(D714,STUDENTS!$A$5:$A$204,STUDENTS!$C$5:$C$204,""),"")</f>
        <v/>
      </c>
      <c r="F714" s="8" t="str">
        <f ca="1">IFERROR(_xludf.XLOOKUP(D714,STUDENTS!$A$5:$A$204,STUDENTS!$L$5:$L$204,""),"")</f>
        <v/>
      </c>
      <c r="G714" s="8"/>
      <c r="H714" s="14"/>
      <c r="I714" s="14"/>
      <c r="J714" s="15" t="str">
        <f>IF(H714="","",H714*SETTINGS!$B$9)</f>
        <v/>
      </c>
      <c r="K714" s="15" t="str">
        <f>IF(I714="","",I714*SETTINGS!$B$10)</f>
        <v/>
      </c>
      <c r="L714" s="15" t="str">
        <f t="shared" si="45"/>
        <v/>
      </c>
      <c r="M714" s="10" t="str">
        <f t="shared" si="46"/>
        <v/>
      </c>
      <c r="N714" s="10" t="str">
        <f t="shared" si="47"/>
        <v/>
      </c>
      <c r="O714" s="8"/>
    </row>
    <row r="715" spans="1:15" x14ac:dyDescent="0.2">
      <c r="A715" s="10" t="str">
        <f t="shared" si="44"/>
        <v/>
      </c>
      <c r="B715" s="8"/>
      <c r="C715" s="8"/>
      <c r="D715" s="8"/>
      <c r="E715" s="8" t="str">
        <f ca="1">IFERROR(_xludf.XLOOKUP(D715,STUDENTS!$A$5:$A$204,STUDENTS!$C$5:$C$204,""),"")</f>
        <v/>
      </c>
      <c r="F715" s="8" t="str">
        <f ca="1">IFERROR(_xludf.XLOOKUP(D715,STUDENTS!$A$5:$A$204,STUDENTS!$L$5:$L$204,""),"")</f>
        <v/>
      </c>
      <c r="G715" s="8"/>
      <c r="H715" s="14"/>
      <c r="I715" s="14"/>
      <c r="J715" s="15" t="str">
        <f>IF(H715="","",H715*SETTINGS!$B$9)</f>
        <v/>
      </c>
      <c r="K715" s="15" t="str">
        <f>IF(I715="","",I715*SETTINGS!$B$10)</f>
        <v/>
      </c>
      <c r="L715" s="15" t="str">
        <f t="shared" si="45"/>
        <v/>
      </c>
      <c r="M715" s="10" t="str">
        <f t="shared" si="46"/>
        <v/>
      </c>
      <c r="N715" s="10" t="str">
        <f t="shared" si="47"/>
        <v/>
      </c>
      <c r="O715" s="8"/>
    </row>
    <row r="716" spans="1:15" x14ac:dyDescent="0.2">
      <c r="A716" s="10" t="str">
        <f t="shared" si="44"/>
        <v/>
      </c>
      <c r="B716" s="8"/>
      <c r="C716" s="8"/>
      <c r="D716" s="8"/>
      <c r="E716" s="8" t="str">
        <f ca="1">IFERROR(_xludf.XLOOKUP(D716,STUDENTS!$A$5:$A$204,STUDENTS!$C$5:$C$204,""),"")</f>
        <v/>
      </c>
      <c r="F716" s="8" t="str">
        <f ca="1">IFERROR(_xludf.XLOOKUP(D716,STUDENTS!$A$5:$A$204,STUDENTS!$L$5:$L$204,""),"")</f>
        <v/>
      </c>
      <c r="G716" s="8"/>
      <c r="H716" s="14"/>
      <c r="I716" s="14"/>
      <c r="J716" s="15" t="str">
        <f>IF(H716="","",H716*SETTINGS!$B$9)</f>
        <v/>
      </c>
      <c r="K716" s="15" t="str">
        <f>IF(I716="","",I716*SETTINGS!$B$10)</f>
        <v/>
      </c>
      <c r="L716" s="15" t="str">
        <f t="shared" si="45"/>
        <v/>
      </c>
      <c r="M716" s="10" t="str">
        <f t="shared" si="46"/>
        <v/>
      </c>
      <c r="N716" s="10" t="str">
        <f t="shared" si="47"/>
        <v/>
      </c>
      <c r="O716" s="8"/>
    </row>
    <row r="717" spans="1:15" x14ac:dyDescent="0.2">
      <c r="A717" s="10" t="str">
        <f t="shared" si="44"/>
        <v/>
      </c>
      <c r="B717" s="8"/>
      <c r="C717" s="8"/>
      <c r="D717" s="8"/>
      <c r="E717" s="8" t="str">
        <f ca="1">IFERROR(_xludf.XLOOKUP(D717,STUDENTS!$A$5:$A$204,STUDENTS!$C$5:$C$204,""),"")</f>
        <v/>
      </c>
      <c r="F717" s="8" t="str">
        <f ca="1">IFERROR(_xludf.XLOOKUP(D717,STUDENTS!$A$5:$A$204,STUDENTS!$L$5:$L$204,""),"")</f>
        <v/>
      </c>
      <c r="G717" s="8"/>
      <c r="H717" s="14"/>
      <c r="I717" s="14"/>
      <c r="J717" s="15" t="str">
        <f>IF(H717="","",H717*SETTINGS!$B$9)</f>
        <v/>
      </c>
      <c r="K717" s="15" t="str">
        <f>IF(I717="","",I717*SETTINGS!$B$10)</f>
        <v/>
      </c>
      <c r="L717" s="15" t="str">
        <f t="shared" si="45"/>
        <v/>
      </c>
      <c r="M717" s="10" t="str">
        <f t="shared" si="46"/>
        <v/>
      </c>
      <c r="N717" s="10" t="str">
        <f t="shared" si="47"/>
        <v/>
      </c>
      <c r="O717" s="8"/>
    </row>
    <row r="718" spans="1:15" x14ac:dyDescent="0.2">
      <c r="A718" s="10" t="str">
        <f t="shared" si="44"/>
        <v/>
      </c>
      <c r="B718" s="8"/>
      <c r="C718" s="8"/>
      <c r="D718" s="8"/>
      <c r="E718" s="8" t="str">
        <f ca="1">IFERROR(_xludf.XLOOKUP(D718,STUDENTS!$A$5:$A$204,STUDENTS!$C$5:$C$204,""),"")</f>
        <v/>
      </c>
      <c r="F718" s="8" t="str">
        <f ca="1">IFERROR(_xludf.XLOOKUP(D718,STUDENTS!$A$5:$A$204,STUDENTS!$L$5:$L$204,""),"")</f>
        <v/>
      </c>
      <c r="G718" s="8"/>
      <c r="H718" s="14"/>
      <c r="I718" s="14"/>
      <c r="J718" s="15" t="str">
        <f>IF(H718="","",H718*SETTINGS!$B$9)</f>
        <v/>
      </c>
      <c r="K718" s="15" t="str">
        <f>IF(I718="","",I718*SETTINGS!$B$10)</f>
        <v/>
      </c>
      <c r="L718" s="15" t="str">
        <f t="shared" si="45"/>
        <v/>
      </c>
      <c r="M718" s="10" t="str">
        <f t="shared" si="46"/>
        <v/>
      </c>
      <c r="N718" s="10" t="str">
        <f t="shared" si="47"/>
        <v/>
      </c>
      <c r="O718" s="8"/>
    </row>
    <row r="719" spans="1:15" x14ac:dyDescent="0.2">
      <c r="A719" s="10" t="str">
        <f t="shared" si="44"/>
        <v/>
      </c>
      <c r="B719" s="8"/>
      <c r="C719" s="8"/>
      <c r="D719" s="8"/>
      <c r="E719" s="8" t="str">
        <f ca="1">IFERROR(_xludf.XLOOKUP(D719,STUDENTS!$A$5:$A$204,STUDENTS!$C$5:$C$204,""),"")</f>
        <v/>
      </c>
      <c r="F719" s="8" t="str">
        <f ca="1">IFERROR(_xludf.XLOOKUP(D719,STUDENTS!$A$5:$A$204,STUDENTS!$L$5:$L$204,""),"")</f>
        <v/>
      </c>
      <c r="G719" s="8"/>
      <c r="H719" s="14"/>
      <c r="I719" s="14"/>
      <c r="J719" s="15" t="str">
        <f>IF(H719="","",H719*SETTINGS!$B$9)</f>
        <v/>
      </c>
      <c r="K719" s="15" t="str">
        <f>IF(I719="","",I719*SETTINGS!$B$10)</f>
        <v/>
      </c>
      <c r="L719" s="15" t="str">
        <f t="shared" si="45"/>
        <v/>
      </c>
      <c r="M719" s="10" t="str">
        <f t="shared" si="46"/>
        <v/>
      </c>
      <c r="N719" s="10" t="str">
        <f t="shared" si="47"/>
        <v/>
      </c>
      <c r="O719" s="8"/>
    </row>
    <row r="720" spans="1:15" x14ac:dyDescent="0.2">
      <c r="A720" s="10" t="str">
        <f t="shared" si="44"/>
        <v/>
      </c>
      <c r="B720" s="8"/>
      <c r="C720" s="8"/>
      <c r="D720" s="8"/>
      <c r="E720" s="8" t="str">
        <f ca="1">IFERROR(_xludf.XLOOKUP(D720,STUDENTS!$A$5:$A$204,STUDENTS!$C$5:$C$204,""),"")</f>
        <v/>
      </c>
      <c r="F720" s="8" t="str">
        <f ca="1">IFERROR(_xludf.XLOOKUP(D720,STUDENTS!$A$5:$A$204,STUDENTS!$L$5:$L$204,""),"")</f>
        <v/>
      </c>
      <c r="G720" s="8"/>
      <c r="H720" s="14"/>
      <c r="I720" s="14"/>
      <c r="J720" s="15" t="str">
        <f>IF(H720="","",H720*SETTINGS!$B$9)</f>
        <v/>
      </c>
      <c r="K720" s="15" t="str">
        <f>IF(I720="","",I720*SETTINGS!$B$10)</f>
        <v/>
      </c>
      <c r="L720" s="15" t="str">
        <f t="shared" si="45"/>
        <v/>
      </c>
      <c r="M720" s="10" t="str">
        <f t="shared" si="46"/>
        <v/>
      </c>
      <c r="N720" s="10" t="str">
        <f t="shared" si="47"/>
        <v/>
      </c>
      <c r="O720" s="8"/>
    </row>
    <row r="721" spans="1:15" x14ac:dyDescent="0.2">
      <c r="A721" s="10" t="str">
        <f t="shared" si="44"/>
        <v/>
      </c>
      <c r="B721" s="8"/>
      <c r="C721" s="8"/>
      <c r="D721" s="8"/>
      <c r="E721" s="8" t="str">
        <f ca="1">IFERROR(_xludf.XLOOKUP(D721,STUDENTS!$A$5:$A$204,STUDENTS!$C$5:$C$204,""),"")</f>
        <v/>
      </c>
      <c r="F721" s="8" t="str">
        <f ca="1">IFERROR(_xludf.XLOOKUP(D721,STUDENTS!$A$5:$A$204,STUDENTS!$L$5:$L$204,""),"")</f>
        <v/>
      </c>
      <c r="G721" s="8"/>
      <c r="H721" s="14"/>
      <c r="I721" s="14"/>
      <c r="J721" s="15" t="str">
        <f>IF(H721="","",H721*SETTINGS!$B$9)</f>
        <v/>
      </c>
      <c r="K721" s="15" t="str">
        <f>IF(I721="","",I721*SETTINGS!$B$10)</f>
        <v/>
      </c>
      <c r="L721" s="15" t="str">
        <f t="shared" si="45"/>
        <v/>
      </c>
      <c r="M721" s="10" t="str">
        <f t="shared" si="46"/>
        <v/>
      </c>
      <c r="N721" s="10" t="str">
        <f t="shared" si="47"/>
        <v/>
      </c>
      <c r="O721" s="8"/>
    </row>
    <row r="722" spans="1:15" x14ac:dyDescent="0.2">
      <c r="A722" s="10" t="str">
        <f t="shared" si="44"/>
        <v/>
      </c>
      <c r="B722" s="8"/>
      <c r="C722" s="8"/>
      <c r="D722" s="8"/>
      <c r="E722" s="8" t="str">
        <f ca="1">IFERROR(_xludf.XLOOKUP(D722,STUDENTS!$A$5:$A$204,STUDENTS!$C$5:$C$204,""),"")</f>
        <v/>
      </c>
      <c r="F722" s="8" t="str">
        <f ca="1">IFERROR(_xludf.XLOOKUP(D722,STUDENTS!$A$5:$A$204,STUDENTS!$L$5:$L$204,""),"")</f>
        <v/>
      </c>
      <c r="G722" s="8"/>
      <c r="H722" s="14"/>
      <c r="I722" s="14"/>
      <c r="J722" s="15" t="str">
        <f>IF(H722="","",H722*SETTINGS!$B$9)</f>
        <v/>
      </c>
      <c r="K722" s="15" t="str">
        <f>IF(I722="","",I722*SETTINGS!$B$10)</f>
        <v/>
      </c>
      <c r="L722" s="15" t="str">
        <f t="shared" si="45"/>
        <v/>
      </c>
      <c r="M722" s="10" t="str">
        <f t="shared" si="46"/>
        <v/>
      </c>
      <c r="N722" s="10" t="str">
        <f t="shared" si="47"/>
        <v/>
      </c>
      <c r="O722" s="8"/>
    </row>
    <row r="723" spans="1:15" x14ac:dyDescent="0.2">
      <c r="A723" s="10" t="str">
        <f t="shared" si="44"/>
        <v/>
      </c>
      <c r="B723" s="8"/>
      <c r="C723" s="8"/>
      <c r="D723" s="8"/>
      <c r="E723" s="8" t="str">
        <f ca="1">IFERROR(_xludf.XLOOKUP(D723,STUDENTS!$A$5:$A$204,STUDENTS!$C$5:$C$204,""),"")</f>
        <v/>
      </c>
      <c r="F723" s="8" t="str">
        <f ca="1">IFERROR(_xludf.XLOOKUP(D723,STUDENTS!$A$5:$A$204,STUDENTS!$L$5:$L$204,""),"")</f>
        <v/>
      </c>
      <c r="G723" s="8"/>
      <c r="H723" s="14"/>
      <c r="I723" s="14"/>
      <c r="J723" s="15" t="str">
        <f>IF(H723="","",H723*SETTINGS!$B$9)</f>
        <v/>
      </c>
      <c r="K723" s="15" t="str">
        <f>IF(I723="","",I723*SETTINGS!$B$10)</f>
        <v/>
      </c>
      <c r="L723" s="15" t="str">
        <f t="shared" si="45"/>
        <v/>
      </c>
      <c r="M723" s="10" t="str">
        <f t="shared" si="46"/>
        <v/>
      </c>
      <c r="N723" s="10" t="str">
        <f t="shared" si="47"/>
        <v/>
      </c>
      <c r="O723" s="8"/>
    </row>
    <row r="724" spans="1:15" x14ac:dyDescent="0.2">
      <c r="A724" s="10" t="str">
        <f t="shared" si="44"/>
        <v/>
      </c>
      <c r="B724" s="8"/>
      <c r="C724" s="8"/>
      <c r="D724" s="8"/>
      <c r="E724" s="8" t="str">
        <f ca="1">IFERROR(_xludf.XLOOKUP(D724,STUDENTS!$A$5:$A$204,STUDENTS!$C$5:$C$204,""),"")</f>
        <v/>
      </c>
      <c r="F724" s="8" t="str">
        <f ca="1">IFERROR(_xludf.XLOOKUP(D724,STUDENTS!$A$5:$A$204,STUDENTS!$L$5:$L$204,""),"")</f>
        <v/>
      </c>
      <c r="G724" s="8"/>
      <c r="H724" s="14"/>
      <c r="I724" s="14"/>
      <c r="J724" s="15" t="str">
        <f>IF(H724="","",H724*SETTINGS!$B$9)</f>
        <v/>
      </c>
      <c r="K724" s="15" t="str">
        <f>IF(I724="","",I724*SETTINGS!$B$10)</f>
        <v/>
      </c>
      <c r="L724" s="15" t="str">
        <f t="shared" si="45"/>
        <v/>
      </c>
      <c r="M724" s="10" t="str">
        <f t="shared" si="46"/>
        <v/>
      </c>
      <c r="N724" s="10" t="str">
        <f t="shared" si="47"/>
        <v/>
      </c>
      <c r="O724" s="8"/>
    </row>
    <row r="725" spans="1:15" x14ac:dyDescent="0.2">
      <c r="A725" s="10" t="str">
        <f t="shared" si="44"/>
        <v/>
      </c>
      <c r="B725" s="8"/>
      <c r="C725" s="8"/>
      <c r="D725" s="8"/>
      <c r="E725" s="8" t="str">
        <f ca="1">IFERROR(_xludf.XLOOKUP(D725,STUDENTS!$A$5:$A$204,STUDENTS!$C$5:$C$204,""),"")</f>
        <v/>
      </c>
      <c r="F725" s="8" t="str">
        <f ca="1">IFERROR(_xludf.XLOOKUP(D725,STUDENTS!$A$5:$A$204,STUDENTS!$L$5:$L$204,""),"")</f>
        <v/>
      </c>
      <c r="G725" s="8"/>
      <c r="H725" s="14"/>
      <c r="I725" s="14"/>
      <c r="J725" s="15" t="str">
        <f>IF(H725="","",H725*SETTINGS!$B$9)</f>
        <v/>
      </c>
      <c r="K725" s="15" t="str">
        <f>IF(I725="","",I725*SETTINGS!$B$10)</f>
        <v/>
      </c>
      <c r="L725" s="15" t="str">
        <f t="shared" si="45"/>
        <v/>
      </c>
      <c r="M725" s="10" t="str">
        <f t="shared" si="46"/>
        <v/>
      </c>
      <c r="N725" s="10" t="str">
        <f t="shared" si="47"/>
        <v/>
      </c>
      <c r="O725" s="8"/>
    </row>
    <row r="726" spans="1:15" x14ac:dyDescent="0.2">
      <c r="A726" s="10" t="str">
        <f t="shared" si="44"/>
        <v/>
      </c>
      <c r="B726" s="8"/>
      <c r="C726" s="8"/>
      <c r="D726" s="8"/>
      <c r="E726" s="8" t="str">
        <f ca="1">IFERROR(_xludf.XLOOKUP(D726,STUDENTS!$A$5:$A$204,STUDENTS!$C$5:$C$204,""),"")</f>
        <v/>
      </c>
      <c r="F726" s="8" t="str">
        <f ca="1">IFERROR(_xludf.XLOOKUP(D726,STUDENTS!$A$5:$A$204,STUDENTS!$L$5:$L$204,""),"")</f>
        <v/>
      </c>
      <c r="G726" s="8"/>
      <c r="H726" s="14"/>
      <c r="I726" s="14"/>
      <c r="J726" s="15" t="str">
        <f>IF(H726="","",H726*SETTINGS!$B$9)</f>
        <v/>
      </c>
      <c r="K726" s="15" t="str">
        <f>IF(I726="","",I726*SETTINGS!$B$10)</f>
        <v/>
      </c>
      <c r="L726" s="15" t="str">
        <f t="shared" si="45"/>
        <v/>
      </c>
      <c r="M726" s="10" t="str">
        <f t="shared" si="46"/>
        <v/>
      </c>
      <c r="N726" s="10" t="str">
        <f t="shared" si="47"/>
        <v/>
      </c>
      <c r="O726" s="8"/>
    </row>
    <row r="727" spans="1:15" x14ac:dyDescent="0.2">
      <c r="A727" s="10" t="str">
        <f t="shared" si="44"/>
        <v/>
      </c>
      <c r="B727" s="8"/>
      <c r="C727" s="8"/>
      <c r="D727" s="8"/>
      <c r="E727" s="8" t="str">
        <f ca="1">IFERROR(_xludf.XLOOKUP(D727,STUDENTS!$A$5:$A$204,STUDENTS!$C$5:$C$204,""),"")</f>
        <v/>
      </c>
      <c r="F727" s="8" t="str">
        <f ca="1">IFERROR(_xludf.XLOOKUP(D727,STUDENTS!$A$5:$A$204,STUDENTS!$L$5:$L$204,""),"")</f>
        <v/>
      </c>
      <c r="G727" s="8"/>
      <c r="H727" s="14"/>
      <c r="I727" s="14"/>
      <c r="J727" s="15" t="str">
        <f>IF(H727="","",H727*SETTINGS!$B$9)</f>
        <v/>
      </c>
      <c r="K727" s="15" t="str">
        <f>IF(I727="","",I727*SETTINGS!$B$10)</f>
        <v/>
      </c>
      <c r="L727" s="15" t="str">
        <f t="shared" si="45"/>
        <v/>
      </c>
      <c r="M727" s="10" t="str">
        <f t="shared" si="46"/>
        <v/>
      </c>
      <c r="N727" s="10" t="str">
        <f t="shared" si="47"/>
        <v/>
      </c>
      <c r="O727" s="8"/>
    </row>
    <row r="728" spans="1:15" x14ac:dyDescent="0.2">
      <c r="A728" s="10" t="str">
        <f t="shared" si="44"/>
        <v/>
      </c>
      <c r="B728" s="8"/>
      <c r="C728" s="8"/>
      <c r="D728" s="8"/>
      <c r="E728" s="8" t="str">
        <f ca="1">IFERROR(_xludf.XLOOKUP(D728,STUDENTS!$A$5:$A$204,STUDENTS!$C$5:$C$204,""),"")</f>
        <v/>
      </c>
      <c r="F728" s="8" t="str">
        <f ca="1">IFERROR(_xludf.XLOOKUP(D728,STUDENTS!$A$5:$A$204,STUDENTS!$L$5:$L$204,""),"")</f>
        <v/>
      </c>
      <c r="G728" s="8"/>
      <c r="H728" s="14"/>
      <c r="I728" s="14"/>
      <c r="J728" s="15" t="str">
        <f>IF(H728="","",H728*SETTINGS!$B$9)</f>
        <v/>
      </c>
      <c r="K728" s="15" t="str">
        <f>IF(I728="","",I728*SETTINGS!$B$10)</f>
        <v/>
      </c>
      <c r="L728" s="15" t="str">
        <f t="shared" si="45"/>
        <v/>
      </c>
      <c r="M728" s="10" t="str">
        <f t="shared" si="46"/>
        <v/>
      </c>
      <c r="N728" s="10" t="str">
        <f t="shared" si="47"/>
        <v/>
      </c>
      <c r="O728" s="8"/>
    </row>
    <row r="729" spans="1:15" x14ac:dyDescent="0.2">
      <c r="A729" s="10" t="str">
        <f t="shared" si="44"/>
        <v/>
      </c>
      <c r="B729" s="8"/>
      <c r="C729" s="8"/>
      <c r="D729" s="8"/>
      <c r="E729" s="8" t="str">
        <f ca="1">IFERROR(_xludf.XLOOKUP(D729,STUDENTS!$A$5:$A$204,STUDENTS!$C$5:$C$204,""),"")</f>
        <v/>
      </c>
      <c r="F729" s="8" t="str">
        <f ca="1">IFERROR(_xludf.XLOOKUP(D729,STUDENTS!$A$5:$A$204,STUDENTS!$L$5:$L$204,""),"")</f>
        <v/>
      </c>
      <c r="G729" s="8"/>
      <c r="H729" s="14"/>
      <c r="I729" s="14"/>
      <c r="J729" s="15" t="str">
        <f>IF(H729="","",H729*SETTINGS!$B$9)</f>
        <v/>
      </c>
      <c r="K729" s="15" t="str">
        <f>IF(I729="","",I729*SETTINGS!$B$10)</f>
        <v/>
      </c>
      <c r="L729" s="15" t="str">
        <f t="shared" si="45"/>
        <v/>
      </c>
      <c r="M729" s="10" t="str">
        <f t="shared" si="46"/>
        <v/>
      </c>
      <c r="N729" s="10" t="str">
        <f t="shared" si="47"/>
        <v/>
      </c>
      <c r="O729" s="8"/>
    </row>
    <row r="730" spans="1:15" x14ac:dyDescent="0.2">
      <c r="A730" s="10" t="str">
        <f t="shared" si="44"/>
        <v/>
      </c>
      <c r="B730" s="8"/>
      <c r="C730" s="8"/>
      <c r="D730" s="8"/>
      <c r="E730" s="8" t="str">
        <f ca="1">IFERROR(_xludf.XLOOKUP(D730,STUDENTS!$A$5:$A$204,STUDENTS!$C$5:$C$204,""),"")</f>
        <v/>
      </c>
      <c r="F730" s="8" t="str">
        <f ca="1">IFERROR(_xludf.XLOOKUP(D730,STUDENTS!$A$5:$A$204,STUDENTS!$L$5:$L$204,""),"")</f>
        <v/>
      </c>
      <c r="G730" s="8"/>
      <c r="H730" s="14"/>
      <c r="I730" s="14"/>
      <c r="J730" s="15" t="str">
        <f>IF(H730="","",H730*SETTINGS!$B$9)</f>
        <v/>
      </c>
      <c r="K730" s="15" t="str">
        <f>IF(I730="","",I730*SETTINGS!$B$10)</f>
        <v/>
      </c>
      <c r="L730" s="15" t="str">
        <f t="shared" si="45"/>
        <v/>
      </c>
      <c r="M730" s="10" t="str">
        <f t="shared" si="46"/>
        <v/>
      </c>
      <c r="N730" s="10" t="str">
        <f t="shared" si="47"/>
        <v/>
      </c>
      <c r="O730" s="8"/>
    </row>
    <row r="731" spans="1:15" x14ac:dyDescent="0.2">
      <c r="A731" s="10" t="str">
        <f t="shared" si="44"/>
        <v/>
      </c>
      <c r="B731" s="8"/>
      <c r="C731" s="8"/>
      <c r="D731" s="8"/>
      <c r="E731" s="8" t="str">
        <f ca="1">IFERROR(_xludf.XLOOKUP(D731,STUDENTS!$A$5:$A$204,STUDENTS!$C$5:$C$204,""),"")</f>
        <v/>
      </c>
      <c r="F731" s="8" t="str">
        <f ca="1">IFERROR(_xludf.XLOOKUP(D731,STUDENTS!$A$5:$A$204,STUDENTS!$L$5:$L$204,""),"")</f>
        <v/>
      </c>
      <c r="G731" s="8"/>
      <c r="H731" s="14"/>
      <c r="I731" s="14"/>
      <c r="J731" s="15" t="str">
        <f>IF(H731="","",H731*SETTINGS!$B$9)</f>
        <v/>
      </c>
      <c r="K731" s="15" t="str">
        <f>IF(I731="","",I731*SETTINGS!$B$10)</f>
        <v/>
      </c>
      <c r="L731" s="15" t="str">
        <f t="shared" si="45"/>
        <v/>
      </c>
      <c r="M731" s="10" t="str">
        <f t="shared" si="46"/>
        <v/>
      </c>
      <c r="N731" s="10" t="str">
        <f t="shared" si="47"/>
        <v/>
      </c>
      <c r="O731" s="8"/>
    </row>
    <row r="732" spans="1:15" x14ac:dyDescent="0.2">
      <c r="A732" s="10" t="str">
        <f t="shared" si="44"/>
        <v/>
      </c>
      <c r="B732" s="8"/>
      <c r="C732" s="8"/>
      <c r="D732" s="8"/>
      <c r="E732" s="8" t="str">
        <f ca="1">IFERROR(_xludf.XLOOKUP(D732,STUDENTS!$A$5:$A$204,STUDENTS!$C$5:$C$204,""),"")</f>
        <v/>
      </c>
      <c r="F732" s="8" t="str">
        <f ca="1">IFERROR(_xludf.XLOOKUP(D732,STUDENTS!$A$5:$A$204,STUDENTS!$L$5:$L$204,""),"")</f>
        <v/>
      </c>
      <c r="G732" s="8"/>
      <c r="H732" s="14"/>
      <c r="I732" s="14"/>
      <c r="J732" s="15" t="str">
        <f>IF(H732="","",H732*SETTINGS!$B$9)</f>
        <v/>
      </c>
      <c r="K732" s="15" t="str">
        <f>IF(I732="","",I732*SETTINGS!$B$10)</f>
        <v/>
      </c>
      <c r="L732" s="15" t="str">
        <f t="shared" si="45"/>
        <v/>
      </c>
      <c r="M732" s="10" t="str">
        <f t="shared" si="46"/>
        <v/>
      </c>
      <c r="N732" s="10" t="str">
        <f t="shared" si="47"/>
        <v/>
      </c>
      <c r="O732" s="8"/>
    </row>
    <row r="733" spans="1:15" x14ac:dyDescent="0.2">
      <c r="A733" s="10" t="str">
        <f t="shared" si="44"/>
        <v/>
      </c>
      <c r="B733" s="8"/>
      <c r="C733" s="8"/>
      <c r="D733" s="8"/>
      <c r="E733" s="8" t="str">
        <f ca="1">IFERROR(_xludf.XLOOKUP(D733,STUDENTS!$A$5:$A$204,STUDENTS!$C$5:$C$204,""),"")</f>
        <v/>
      </c>
      <c r="F733" s="8" t="str">
        <f ca="1">IFERROR(_xludf.XLOOKUP(D733,STUDENTS!$A$5:$A$204,STUDENTS!$L$5:$L$204,""),"")</f>
        <v/>
      </c>
      <c r="G733" s="8"/>
      <c r="H733" s="14"/>
      <c r="I733" s="14"/>
      <c r="J733" s="15" t="str">
        <f>IF(H733="","",H733*SETTINGS!$B$9)</f>
        <v/>
      </c>
      <c r="K733" s="15" t="str">
        <f>IF(I733="","",I733*SETTINGS!$B$10)</f>
        <v/>
      </c>
      <c r="L733" s="15" t="str">
        <f t="shared" si="45"/>
        <v/>
      </c>
      <c r="M733" s="10" t="str">
        <f t="shared" si="46"/>
        <v/>
      </c>
      <c r="N733" s="10" t="str">
        <f t="shared" si="47"/>
        <v/>
      </c>
      <c r="O733" s="8"/>
    </row>
    <row r="734" spans="1:15" x14ac:dyDescent="0.2">
      <c r="A734" s="10" t="str">
        <f t="shared" si="44"/>
        <v/>
      </c>
      <c r="B734" s="8"/>
      <c r="C734" s="8"/>
      <c r="D734" s="8"/>
      <c r="E734" s="8" t="str">
        <f ca="1">IFERROR(_xludf.XLOOKUP(D734,STUDENTS!$A$5:$A$204,STUDENTS!$C$5:$C$204,""),"")</f>
        <v/>
      </c>
      <c r="F734" s="8" t="str">
        <f ca="1">IFERROR(_xludf.XLOOKUP(D734,STUDENTS!$A$5:$A$204,STUDENTS!$L$5:$L$204,""),"")</f>
        <v/>
      </c>
      <c r="G734" s="8"/>
      <c r="H734" s="14"/>
      <c r="I734" s="14"/>
      <c r="J734" s="15" t="str">
        <f>IF(H734="","",H734*SETTINGS!$B$9)</f>
        <v/>
      </c>
      <c r="K734" s="15" t="str">
        <f>IF(I734="","",I734*SETTINGS!$B$10)</f>
        <v/>
      </c>
      <c r="L734" s="15" t="str">
        <f t="shared" si="45"/>
        <v/>
      </c>
      <c r="M734" s="10" t="str">
        <f t="shared" si="46"/>
        <v/>
      </c>
      <c r="N734" s="10" t="str">
        <f t="shared" si="47"/>
        <v/>
      </c>
      <c r="O734" s="8"/>
    </row>
    <row r="735" spans="1:15" x14ac:dyDescent="0.2">
      <c r="A735" s="10" t="str">
        <f t="shared" si="44"/>
        <v/>
      </c>
      <c r="B735" s="8"/>
      <c r="C735" s="8"/>
      <c r="D735" s="8"/>
      <c r="E735" s="8" t="str">
        <f ca="1">IFERROR(_xludf.XLOOKUP(D735,STUDENTS!$A$5:$A$204,STUDENTS!$C$5:$C$204,""),"")</f>
        <v/>
      </c>
      <c r="F735" s="8" t="str">
        <f ca="1">IFERROR(_xludf.XLOOKUP(D735,STUDENTS!$A$5:$A$204,STUDENTS!$L$5:$L$204,""),"")</f>
        <v/>
      </c>
      <c r="G735" s="8"/>
      <c r="H735" s="14"/>
      <c r="I735" s="14"/>
      <c r="J735" s="15" t="str">
        <f>IF(H735="","",H735*SETTINGS!$B$9)</f>
        <v/>
      </c>
      <c r="K735" s="15" t="str">
        <f>IF(I735="","",I735*SETTINGS!$B$10)</f>
        <v/>
      </c>
      <c r="L735" s="15" t="str">
        <f t="shared" si="45"/>
        <v/>
      </c>
      <c r="M735" s="10" t="str">
        <f t="shared" si="46"/>
        <v/>
      </c>
      <c r="N735" s="10" t="str">
        <f t="shared" si="47"/>
        <v/>
      </c>
      <c r="O735" s="8"/>
    </row>
    <row r="736" spans="1:15" x14ac:dyDescent="0.2">
      <c r="A736" s="10" t="str">
        <f t="shared" si="44"/>
        <v/>
      </c>
      <c r="B736" s="8"/>
      <c r="C736" s="8"/>
      <c r="D736" s="8"/>
      <c r="E736" s="8" t="str">
        <f ca="1">IFERROR(_xludf.XLOOKUP(D736,STUDENTS!$A$5:$A$204,STUDENTS!$C$5:$C$204,""),"")</f>
        <v/>
      </c>
      <c r="F736" s="8" t="str">
        <f ca="1">IFERROR(_xludf.XLOOKUP(D736,STUDENTS!$A$5:$A$204,STUDENTS!$L$5:$L$204,""),"")</f>
        <v/>
      </c>
      <c r="G736" s="8"/>
      <c r="H736" s="14"/>
      <c r="I736" s="14"/>
      <c r="J736" s="15" t="str">
        <f>IF(H736="","",H736*SETTINGS!$B$9)</f>
        <v/>
      </c>
      <c r="K736" s="15" t="str">
        <f>IF(I736="","",I736*SETTINGS!$B$10)</f>
        <v/>
      </c>
      <c r="L736" s="15" t="str">
        <f t="shared" si="45"/>
        <v/>
      </c>
      <c r="M736" s="10" t="str">
        <f t="shared" si="46"/>
        <v/>
      </c>
      <c r="N736" s="10" t="str">
        <f t="shared" si="47"/>
        <v/>
      </c>
      <c r="O736" s="8"/>
    </row>
    <row r="737" spans="1:15" x14ac:dyDescent="0.2">
      <c r="A737" s="10" t="str">
        <f t="shared" si="44"/>
        <v/>
      </c>
      <c r="B737" s="8"/>
      <c r="C737" s="8"/>
      <c r="D737" s="8"/>
      <c r="E737" s="8" t="str">
        <f ca="1">IFERROR(_xludf.XLOOKUP(D737,STUDENTS!$A$5:$A$204,STUDENTS!$C$5:$C$204,""),"")</f>
        <v/>
      </c>
      <c r="F737" s="8" t="str">
        <f ca="1">IFERROR(_xludf.XLOOKUP(D737,STUDENTS!$A$5:$A$204,STUDENTS!$L$5:$L$204,""),"")</f>
        <v/>
      </c>
      <c r="G737" s="8"/>
      <c r="H737" s="14"/>
      <c r="I737" s="14"/>
      <c r="J737" s="15" t="str">
        <f>IF(H737="","",H737*SETTINGS!$B$9)</f>
        <v/>
      </c>
      <c r="K737" s="15" t="str">
        <f>IF(I737="","",I737*SETTINGS!$B$10)</f>
        <v/>
      </c>
      <c r="L737" s="15" t="str">
        <f t="shared" si="45"/>
        <v/>
      </c>
      <c r="M737" s="10" t="str">
        <f t="shared" si="46"/>
        <v/>
      </c>
      <c r="N737" s="10" t="str">
        <f t="shared" si="47"/>
        <v/>
      </c>
      <c r="O737" s="8"/>
    </row>
    <row r="738" spans="1:15" x14ac:dyDescent="0.2">
      <c r="A738" s="10" t="str">
        <f t="shared" si="44"/>
        <v/>
      </c>
      <c r="B738" s="8"/>
      <c r="C738" s="8"/>
      <c r="D738" s="8"/>
      <c r="E738" s="8" t="str">
        <f ca="1">IFERROR(_xludf.XLOOKUP(D738,STUDENTS!$A$5:$A$204,STUDENTS!$C$5:$C$204,""),"")</f>
        <v/>
      </c>
      <c r="F738" s="8" t="str">
        <f ca="1">IFERROR(_xludf.XLOOKUP(D738,STUDENTS!$A$5:$A$204,STUDENTS!$L$5:$L$204,""),"")</f>
        <v/>
      </c>
      <c r="G738" s="8"/>
      <c r="H738" s="14"/>
      <c r="I738" s="14"/>
      <c r="J738" s="15" t="str">
        <f>IF(H738="","",H738*SETTINGS!$B$9)</f>
        <v/>
      </c>
      <c r="K738" s="15" t="str">
        <f>IF(I738="","",I738*SETTINGS!$B$10)</f>
        <v/>
      </c>
      <c r="L738" s="15" t="str">
        <f t="shared" si="45"/>
        <v/>
      </c>
      <c r="M738" s="10" t="str">
        <f t="shared" si="46"/>
        <v/>
      </c>
      <c r="N738" s="10" t="str">
        <f t="shared" si="47"/>
        <v/>
      </c>
      <c r="O738" s="8"/>
    </row>
    <row r="739" spans="1:15" x14ac:dyDescent="0.2">
      <c r="A739" s="10" t="str">
        <f t="shared" si="44"/>
        <v/>
      </c>
      <c r="B739" s="8"/>
      <c r="C739" s="8"/>
      <c r="D739" s="8"/>
      <c r="E739" s="8" t="str">
        <f ca="1">IFERROR(_xludf.XLOOKUP(D739,STUDENTS!$A$5:$A$204,STUDENTS!$C$5:$C$204,""),"")</f>
        <v/>
      </c>
      <c r="F739" s="8" t="str">
        <f ca="1">IFERROR(_xludf.XLOOKUP(D739,STUDENTS!$A$5:$A$204,STUDENTS!$L$5:$L$204,""),"")</f>
        <v/>
      </c>
      <c r="G739" s="8"/>
      <c r="H739" s="14"/>
      <c r="I739" s="14"/>
      <c r="J739" s="15" t="str">
        <f>IF(H739="","",H739*SETTINGS!$B$9)</f>
        <v/>
      </c>
      <c r="K739" s="15" t="str">
        <f>IF(I739="","",I739*SETTINGS!$B$10)</f>
        <v/>
      </c>
      <c r="L739" s="15" t="str">
        <f t="shared" si="45"/>
        <v/>
      </c>
      <c r="M739" s="10" t="str">
        <f t="shared" si="46"/>
        <v/>
      </c>
      <c r="N739" s="10" t="str">
        <f t="shared" si="47"/>
        <v/>
      </c>
      <c r="O739" s="8"/>
    </row>
    <row r="740" spans="1:15" x14ac:dyDescent="0.2">
      <c r="A740" s="10" t="str">
        <f t="shared" si="44"/>
        <v/>
      </c>
      <c r="B740" s="8"/>
      <c r="C740" s="8"/>
      <c r="D740" s="8"/>
      <c r="E740" s="8" t="str">
        <f ca="1">IFERROR(_xludf.XLOOKUP(D740,STUDENTS!$A$5:$A$204,STUDENTS!$C$5:$C$204,""),"")</f>
        <v/>
      </c>
      <c r="F740" s="8" t="str">
        <f ca="1">IFERROR(_xludf.XLOOKUP(D740,STUDENTS!$A$5:$A$204,STUDENTS!$L$5:$L$204,""),"")</f>
        <v/>
      </c>
      <c r="G740" s="8"/>
      <c r="H740" s="14"/>
      <c r="I740" s="14"/>
      <c r="J740" s="15" t="str">
        <f>IF(H740="","",H740*SETTINGS!$B$9)</f>
        <v/>
      </c>
      <c r="K740" s="15" t="str">
        <f>IF(I740="","",I740*SETTINGS!$B$10)</f>
        <v/>
      </c>
      <c r="L740" s="15" t="str">
        <f t="shared" si="45"/>
        <v/>
      </c>
      <c r="M740" s="10" t="str">
        <f t="shared" si="46"/>
        <v/>
      </c>
      <c r="N740" s="10" t="str">
        <f t="shared" si="47"/>
        <v/>
      </c>
      <c r="O740" s="8"/>
    </row>
    <row r="741" spans="1:15" x14ac:dyDescent="0.2">
      <c r="A741" s="10" t="str">
        <f t="shared" si="44"/>
        <v/>
      </c>
      <c r="B741" s="8"/>
      <c r="C741" s="8"/>
      <c r="D741" s="8"/>
      <c r="E741" s="8" t="str">
        <f ca="1">IFERROR(_xludf.XLOOKUP(D741,STUDENTS!$A$5:$A$204,STUDENTS!$C$5:$C$204,""),"")</f>
        <v/>
      </c>
      <c r="F741" s="8" t="str">
        <f ca="1">IFERROR(_xludf.XLOOKUP(D741,STUDENTS!$A$5:$A$204,STUDENTS!$L$5:$L$204,""),"")</f>
        <v/>
      </c>
      <c r="G741" s="8"/>
      <c r="H741" s="14"/>
      <c r="I741" s="14"/>
      <c r="J741" s="15" t="str">
        <f>IF(H741="","",H741*SETTINGS!$B$9)</f>
        <v/>
      </c>
      <c r="K741" s="15" t="str">
        <f>IF(I741="","",I741*SETTINGS!$B$10)</f>
        <v/>
      </c>
      <c r="L741" s="15" t="str">
        <f t="shared" si="45"/>
        <v/>
      </c>
      <c r="M741" s="10" t="str">
        <f t="shared" si="46"/>
        <v/>
      </c>
      <c r="N741" s="10" t="str">
        <f t="shared" si="47"/>
        <v/>
      </c>
      <c r="O741" s="8"/>
    </row>
    <row r="742" spans="1:15" x14ac:dyDescent="0.2">
      <c r="A742" s="10" t="str">
        <f t="shared" si="44"/>
        <v/>
      </c>
      <c r="B742" s="8"/>
      <c r="C742" s="8"/>
      <c r="D742" s="8"/>
      <c r="E742" s="8" t="str">
        <f ca="1">IFERROR(_xludf.XLOOKUP(D742,STUDENTS!$A$5:$A$204,STUDENTS!$C$5:$C$204,""),"")</f>
        <v/>
      </c>
      <c r="F742" s="8" t="str">
        <f ca="1">IFERROR(_xludf.XLOOKUP(D742,STUDENTS!$A$5:$A$204,STUDENTS!$L$5:$L$204,""),"")</f>
        <v/>
      </c>
      <c r="G742" s="8"/>
      <c r="H742" s="14"/>
      <c r="I742" s="14"/>
      <c r="J742" s="15" t="str">
        <f>IF(H742="","",H742*SETTINGS!$B$9)</f>
        <v/>
      </c>
      <c r="K742" s="15" t="str">
        <f>IF(I742="","",I742*SETTINGS!$B$10)</f>
        <v/>
      </c>
      <c r="L742" s="15" t="str">
        <f t="shared" si="45"/>
        <v/>
      </c>
      <c r="M742" s="10" t="str">
        <f t="shared" si="46"/>
        <v/>
      </c>
      <c r="N742" s="10" t="str">
        <f t="shared" si="47"/>
        <v/>
      </c>
      <c r="O742" s="8"/>
    </row>
    <row r="743" spans="1:15" x14ac:dyDescent="0.2">
      <c r="A743" s="10" t="str">
        <f t="shared" si="44"/>
        <v/>
      </c>
      <c r="B743" s="8"/>
      <c r="C743" s="8"/>
      <c r="D743" s="8"/>
      <c r="E743" s="8" t="str">
        <f ca="1">IFERROR(_xludf.XLOOKUP(D743,STUDENTS!$A$5:$A$204,STUDENTS!$C$5:$C$204,""),"")</f>
        <v/>
      </c>
      <c r="F743" s="8" t="str">
        <f ca="1">IFERROR(_xludf.XLOOKUP(D743,STUDENTS!$A$5:$A$204,STUDENTS!$L$5:$L$204,""),"")</f>
        <v/>
      </c>
      <c r="G743" s="8"/>
      <c r="H743" s="14"/>
      <c r="I743" s="14"/>
      <c r="J743" s="15" t="str">
        <f>IF(H743="","",H743*SETTINGS!$B$9)</f>
        <v/>
      </c>
      <c r="K743" s="15" t="str">
        <f>IF(I743="","",I743*SETTINGS!$B$10)</f>
        <v/>
      </c>
      <c r="L743" s="15" t="str">
        <f t="shared" si="45"/>
        <v/>
      </c>
      <c r="M743" s="10" t="str">
        <f t="shared" si="46"/>
        <v/>
      </c>
      <c r="N743" s="10" t="str">
        <f t="shared" si="47"/>
        <v/>
      </c>
      <c r="O743" s="8"/>
    </row>
    <row r="744" spans="1:15" x14ac:dyDescent="0.2">
      <c r="A744" s="10" t="str">
        <f t="shared" si="44"/>
        <v/>
      </c>
      <c r="B744" s="8"/>
      <c r="C744" s="8"/>
      <c r="D744" s="8"/>
      <c r="E744" s="8" t="str">
        <f ca="1">IFERROR(_xludf.XLOOKUP(D744,STUDENTS!$A$5:$A$204,STUDENTS!$C$5:$C$204,""),"")</f>
        <v/>
      </c>
      <c r="F744" s="8" t="str">
        <f ca="1">IFERROR(_xludf.XLOOKUP(D744,STUDENTS!$A$5:$A$204,STUDENTS!$L$5:$L$204,""),"")</f>
        <v/>
      </c>
      <c r="G744" s="8"/>
      <c r="H744" s="14"/>
      <c r="I744" s="14"/>
      <c r="J744" s="15" t="str">
        <f>IF(H744="","",H744*SETTINGS!$B$9)</f>
        <v/>
      </c>
      <c r="K744" s="15" t="str">
        <f>IF(I744="","",I744*SETTINGS!$B$10)</f>
        <v/>
      </c>
      <c r="L744" s="15" t="str">
        <f t="shared" si="45"/>
        <v/>
      </c>
      <c r="M744" s="10" t="str">
        <f t="shared" si="46"/>
        <v/>
      </c>
      <c r="N744" s="10" t="str">
        <f t="shared" si="47"/>
        <v/>
      </c>
      <c r="O744" s="8"/>
    </row>
    <row r="745" spans="1:15" x14ac:dyDescent="0.2">
      <c r="A745" s="10" t="str">
        <f t="shared" si="44"/>
        <v/>
      </c>
      <c r="B745" s="8"/>
      <c r="C745" s="8"/>
      <c r="D745" s="8"/>
      <c r="E745" s="8" t="str">
        <f ca="1">IFERROR(_xludf.XLOOKUP(D745,STUDENTS!$A$5:$A$204,STUDENTS!$C$5:$C$204,""),"")</f>
        <v/>
      </c>
      <c r="F745" s="8" t="str">
        <f ca="1">IFERROR(_xludf.XLOOKUP(D745,STUDENTS!$A$5:$A$204,STUDENTS!$L$5:$L$204,""),"")</f>
        <v/>
      </c>
      <c r="G745" s="8"/>
      <c r="H745" s="14"/>
      <c r="I745" s="14"/>
      <c r="J745" s="15" t="str">
        <f>IF(H745="","",H745*SETTINGS!$B$9)</f>
        <v/>
      </c>
      <c r="K745" s="15" t="str">
        <f>IF(I745="","",I745*SETTINGS!$B$10)</f>
        <v/>
      </c>
      <c r="L745" s="15" t="str">
        <f t="shared" si="45"/>
        <v/>
      </c>
      <c r="M745" s="10" t="str">
        <f t="shared" si="46"/>
        <v/>
      </c>
      <c r="N745" s="10" t="str">
        <f t="shared" si="47"/>
        <v/>
      </c>
      <c r="O745" s="8"/>
    </row>
    <row r="746" spans="1:15" x14ac:dyDescent="0.2">
      <c r="A746" s="10" t="str">
        <f t="shared" si="44"/>
        <v/>
      </c>
      <c r="B746" s="8"/>
      <c r="C746" s="8"/>
      <c r="D746" s="8"/>
      <c r="E746" s="8" t="str">
        <f ca="1">IFERROR(_xludf.XLOOKUP(D746,STUDENTS!$A$5:$A$204,STUDENTS!$C$5:$C$204,""),"")</f>
        <v/>
      </c>
      <c r="F746" s="8" t="str">
        <f ca="1">IFERROR(_xludf.XLOOKUP(D746,STUDENTS!$A$5:$A$204,STUDENTS!$L$5:$L$204,""),"")</f>
        <v/>
      </c>
      <c r="G746" s="8"/>
      <c r="H746" s="14"/>
      <c r="I746" s="14"/>
      <c r="J746" s="15" t="str">
        <f>IF(H746="","",H746*SETTINGS!$B$9)</f>
        <v/>
      </c>
      <c r="K746" s="15" t="str">
        <f>IF(I746="","",I746*SETTINGS!$B$10)</f>
        <v/>
      </c>
      <c r="L746" s="15" t="str">
        <f t="shared" si="45"/>
        <v/>
      </c>
      <c r="M746" s="10" t="str">
        <f t="shared" si="46"/>
        <v/>
      </c>
      <c r="N746" s="10" t="str">
        <f t="shared" si="47"/>
        <v/>
      </c>
      <c r="O746" s="8"/>
    </row>
    <row r="747" spans="1:15" x14ac:dyDescent="0.2">
      <c r="A747" s="10" t="str">
        <f t="shared" si="44"/>
        <v/>
      </c>
      <c r="B747" s="8"/>
      <c r="C747" s="8"/>
      <c r="D747" s="8"/>
      <c r="E747" s="8" t="str">
        <f ca="1">IFERROR(_xludf.XLOOKUP(D747,STUDENTS!$A$5:$A$204,STUDENTS!$C$5:$C$204,""),"")</f>
        <v/>
      </c>
      <c r="F747" s="8" t="str">
        <f ca="1">IFERROR(_xludf.XLOOKUP(D747,STUDENTS!$A$5:$A$204,STUDENTS!$L$5:$L$204,""),"")</f>
        <v/>
      </c>
      <c r="G747" s="8"/>
      <c r="H747" s="14"/>
      <c r="I747" s="14"/>
      <c r="J747" s="15" t="str">
        <f>IF(H747="","",H747*SETTINGS!$B$9)</f>
        <v/>
      </c>
      <c r="K747" s="15" t="str">
        <f>IF(I747="","",I747*SETTINGS!$B$10)</f>
        <v/>
      </c>
      <c r="L747" s="15" t="str">
        <f t="shared" si="45"/>
        <v/>
      </c>
      <c r="M747" s="10" t="str">
        <f t="shared" si="46"/>
        <v/>
      </c>
      <c r="N747" s="10" t="str">
        <f t="shared" si="47"/>
        <v/>
      </c>
      <c r="O747" s="8"/>
    </row>
    <row r="748" spans="1:15" x14ac:dyDescent="0.2">
      <c r="A748" s="10" t="str">
        <f t="shared" si="44"/>
        <v/>
      </c>
      <c r="B748" s="8"/>
      <c r="C748" s="8"/>
      <c r="D748" s="8"/>
      <c r="E748" s="8" t="str">
        <f ca="1">IFERROR(_xludf.XLOOKUP(D748,STUDENTS!$A$5:$A$204,STUDENTS!$C$5:$C$204,""),"")</f>
        <v/>
      </c>
      <c r="F748" s="8" t="str">
        <f ca="1">IFERROR(_xludf.XLOOKUP(D748,STUDENTS!$A$5:$A$204,STUDENTS!$L$5:$L$204,""),"")</f>
        <v/>
      </c>
      <c r="G748" s="8"/>
      <c r="H748" s="14"/>
      <c r="I748" s="14"/>
      <c r="J748" s="15" t="str">
        <f>IF(H748="","",H748*SETTINGS!$B$9)</f>
        <v/>
      </c>
      <c r="K748" s="15" t="str">
        <f>IF(I748="","",I748*SETTINGS!$B$10)</f>
        <v/>
      </c>
      <c r="L748" s="15" t="str">
        <f t="shared" si="45"/>
        <v/>
      </c>
      <c r="M748" s="10" t="str">
        <f t="shared" si="46"/>
        <v/>
      </c>
      <c r="N748" s="10" t="str">
        <f t="shared" si="47"/>
        <v/>
      </c>
      <c r="O748" s="8"/>
    </row>
    <row r="749" spans="1:15" x14ac:dyDescent="0.2">
      <c r="A749" s="10" t="str">
        <f t="shared" si="44"/>
        <v/>
      </c>
      <c r="B749" s="8"/>
      <c r="C749" s="8"/>
      <c r="D749" s="8"/>
      <c r="E749" s="8" t="str">
        <f ca="1">IFERROR(_xludf.XLOOKUP(D749,STUDENTS!$A$5:$A$204,STUDENTS!$C$5:$C$204,""),"")</f>
        <v/>
      </c>
      <c r="F749" s="8" t="str">
        <f ca="1">IFERROR(_xludf.XLOOKUP(D749,STUDENTS!$A$5:$A$204,STUDENTS!$L$5:$L$204,""),"")</f>
        <v/>
      </c>
      <c r="G749" s="8"/>
      <c r="H749" s="14"/>
      <c r="I749" s="14"/>
      <c r="J749" s="15" t="str">
        <f>IF(H749="","",H749*SETTINGS!$B$9)</f>
        <v/>
      </c>
      <c r="K749" s="15" t="str">
        <f>IF(I749="","",I749*SETTINGS!$B$10)</f>
        <v/>
      </c>
      <c r="L749" s="15" t="str">
        <f t="shared" si="45"/>
        <v/>
      </c>
      <c r="M749" s="10" t="str">
        <f t="shared" si="46"/>
        <v/>
      </c>
      <c r="N749" s="10" t="str">
        <f t="shared" si="47"/>
        <v/>
      </c>
      <c r="O749" s="8"/>
    </row>
    <row r="750" spans="1:15" x14ac:dyDescent="0.2">
      <c r="A750" s="10" t="str">
        <f t="shared" si="44"/>
        <v/>
      </c>
      <c r="B750" s="8"/>
      <c r="C750" s="8"/>
      <c r="D750" s="8"/>
      <c r="E750" s="8" t="str">
        <f ca="1">IFERROR(_xludf.XLOOKUP(D750,STUDENTS!$A$5:$A$204,STUDENTS!$C$5:$C$204,""),"")</f>
        <v/>
      </c>
      <c r="F750" s="8" t="str">
        <f ca="1">IFERROR(_xludf.XLOOKUP(D750,STUDENTS!$A$5:$A$204,STUDENTS!$L$5:$L$204,""),"")</f>
        <v/>
      </c>
      <c r="G750" s="8"/>
      <c r="H750" s="14"/>
      <c r="I750" s="14"/>
      <c r="J750" s="15" t="str">
        <f>IF(H750="","",H750*SETTINGS!$B$9)</f>
        <v/>
      </c>
      <c r="K750" s="15" t="str">
        <f>IF(I750="","",I750*SETTINGS!$B$10)</f>
        <v/>
      </c>
      <c r="L750" s="15" t="str">
        <f t="shared" si="45"/>
        <v/>
      </c>
      <c r="M750" s="10" t="str">
        <f t="shared" si="46"/>
        <v/>
      </c>
      <c r="N750" s="10" t="str">
        <f t="shared" si="47"/>
        <v/>
      </c>
      <c r="O750" s="8"/>
    </row>
    <row r="751" spans="1:15" x14ac:dyDescent="0.2">
      <c r="A751" s="10" t="str">
        <f t="shared" si="44"/>
        <v/>
      </c>
      <c r="B751" s="8"/>
      <c r="C751" s="8"/>
      <c r="D751" s="8"/>
      <c r="E751" s="8" t="str">
        <f ca="1">IFERROR(_xludf.XLOOKUP(D751,STUDENTS!$A$5:$A$204,STUDENTS!$C$5:$C$204,""),"")</f>
        <v/>
      </c>
      <c r="F751" s="8" t="str">
        <f ca="1">IFERROR(_xludf.XLOOKUP(D751,STUDENTS!$A$5:$A$204,STUDENTS!$L$5:$L$204,""),"")</f>
        <v/>
      </c>
      <c r="G751" s="8"/>
      <c r="H751" s="14"/>
      <c r="I751" s="14"/>
      <c r="J751" s="15" t="str">
        <f>IF(H751="","",H751*SETTINGS!$B$9)</f>
        <v/>
      </c>
      <c r="K751" s="15" t="str">
        <f>IF(I751="","",I751*SETTINGS!$B$10)</f>
        <v/>
      </c>
      <c r="L751" s="15" t="str">
        <f t="shared" si="45"/>
        <v/>
      </c>
      <c r="M751" s="10" t="str">
        <f t="shared" si="46"/>
        <v/>
      </c>
      <c r="N751" s="10" t="str">
        <f t="shared" si="47"/>
        <v/>
      </c>
      <c r="O751" s="8"/>
    </row>
    <row r="752" spans="1:15" x14ac:dyDescent="0.2">
      <c r="A752" s="10" t="str">
        <f t="shared" si="44"/>
        <v/>
      </c>
      <c r="B752" s="8"/>
      <c r="C752" s="8"/>
      <c r="D752" s="8"/>
      <c r="E752" s="8" t="str">
        <f ca="1">IFERROR(_xludf.XLOOKUP(D752,STUDENTS!$A$5:$A$204,STUDENTS!$C$5:$C$204,""),"")</f>
        <v/>
      </c>
      <c r="F752" s="8" t="str">
        <f ca="1">IFERROR(_xludf.XLOOKUP(D752,STUDENTS!$A$5:$A$204,STUDENTS!$L$5:$L$204,""),"")</f>
        <v/>
      </c>
      <c r="G752" s="8"/>
      <c r="H752" s="14"/>
      <c r="I752" s="14"/>
      <c r="J752" s="15" t="str">
        <f>IF(H752="","",H752*SETTINGS!$B$9)</f>
        <v/>
      </c>
      <c r="K752" s="15" t="str">
        <f>IF(I752="","",I752*SETTINGS!$B$10)</f>
        <v/>
      </c>
      <c r="L752" s="15" t="str">
        <f t="shared" si="45"/>
        <v/>
      </c>
      <c r="M752" s="10" t="str">
        <f t="shared" si="46"/>
        <v/>
      </c>
      <c r="N752" s="10" t="str">
        <f t="shared" si="47"/>
        <v/>
      </c>
      <c r="O752" s="8"/>
    </row>
    <row r="753" spans="1:15" x14ac:dyDescent="0.2">
      <c r="A753" s="10" t="str">
        <f t="shared" si="44"/>
        <v/>
      </c>
      <c r="B753" s="8"/>
      <c r="C753" s="8"/>
      <c r="D753" s="8"/>
      <c r="E753" s="8" t="str">
        <f ca="1">IFERROR(_xludf.XLOOKUP(D753,STUDENTS!$A$5:$A$204,STUDENTS!$C$5:$C$204,""),"")</f>
        <v/>
      </c>
      <c r="F753" s="8" t="str">
        <f ca="1">IFERROR(_xludf.XLOOKUP(D753,STUDENTS!$A$5:$A$204,STUDENTS!$L$5:$L$204,""),"")</f>
        <v/>
      </c>
      <c r="G753" s="8"/>
      <c r="H753" s="14"/>
      <c r="I753" s="14"/>
      <c r="J753" s="15" t="str">
        <f>IF(H753="","",H753*SETTINGS!$B$9)</f>
        <v/>
      </c>
      <c r="K753" s="15" t="str">
        <f>IF(I753="","",I753*SETTINGS!$B$10)</f>
        <v/>
      </c>
      <c r="L753" s="15" t="str">
        <f t="shared" si="45"/>
        <v/>
      </c>
      <c r="M753" s="10" t="str">
        <f t="shared" si="46"/>
        <v/>
      </c>
      <c r="N753" s="10" t="str">
        <f t="shared" si="47"/>
        <v/>
      </c>
      <c r="O753" s="8"/>
    </row>
    <row r="754" spans="1:15" x14ac:dyDescent="0.2">
      <c r="A754" s="10" t="str">
        <f t="shared" si="44"/>
        <v/>
      </c>
      <c r="B754" s="8"/>
      <c r="C754" s="8"/>
      <c r="D754" s="8"/>
      <c r="E754" s="8" t="str">
        <f ca="1">IFERROR(_xludf.XLOOKUP(D754,STUDENTS!$A$5:$A$204,STUDENTS!$C$5:$C$204,""),"")</f>
        <v/>
      </c>
      <c r="F754" s="8" t="str">
        <f ca="1">IFERROR(_xludf.XLOOKUP(D754,STUDENTS!$A$5:$A$204,STUDENTS!$L$5:$L$204,""),"")</f>
        <v/>
      </c>
      <c r="G754" s="8"/>
      <c r="H754" s="14"/>
      <c r="I754" s="14"/>
      <c r="J754" s="15" t="str">
        <f>IF(H754="","",H754*SETTINGS!$B$9)</f>
        <v/>
      </c>
      <c r="K754" s="15" t="str">
        <f>IF(I754="","",I754*SETTINGS!$B$10)</f>
        <v/>
      </c>
      <c r="L754" s="15" t="str">
        <f t="shared" si="45"/>
        <v/>
      </c>
      <c r="M754" s="10" t="str">
        <f t="shared" si="46"/>
        <v/>
      </c>
      <c r="N754" s="10" t="str">
        <f t="shared" si="47"/>
        <v/>
      </c>
      <c r="O754" s="8"/>
    </row>
    <row r="755" spans="1:15" x14ac:dyDescent="0.2">
      <c r="A755" s="10" t="str">
        <f t="shared" si="44"/>
        <v/>
      </c>
      <c r="B755" s="8"/>
      <c r="C755" s="8"/>
      <c r="D755" s="8"/>
      <c r="E755" s="8" t="str">
        <f ca="1">IFERROR(_xludf.XLOOKUP(D755,STUDENTS!$A$5:$A$204,STUDENTS!$C$5:$C$204,""),"")</f>
        <v/>
      </c>
      <c r="F755" s="8" t="str">
        <f ca="1">IFERROR(_xludf.XLOOKUP(D755,STUDENTS!$A$5:$A$204,STUDENTS!$L$5:$L$204,""),"")</f>
        <v/>
      </c>
      <c r="G755" s="8"/>
      <c r="H755" s="14"/>
      <c r="I755" s="14"/>
      <c r="J755" s="15" t="str">
        <f>IF(H755="","",H755*SETTINGS!$B$9)</f>
        <v/>
      </c>
      <c r="K755" s="15" t="str">
        <f>IF(I755="","",I755*SETTINGS!$B$10)</f>
        <v/>
      </c>
      <c r="L755" s="15" t="str">
        <f t="shared" si="45"/>
        <v/>
      </c>
      <c r="M755" s="10" t="str">
        <f t="shared" si="46"/>
        <v/>
      </c>
      <c r="N755" s="10" t="str">
        <f t="shared" si="47"/>
        <v/>
      </c>
      <c r="O755" s="8"/>
    </row>
    <row r="756" spans="1:15" x14ac:dyDescent="0.2">
      <c r="A756" s="10" t="str">
        <f t="shared" si="44"/>
        <v/>
      </c>
      <c r="B756" s="8"/>
      <c r="C756" s="8"/>
      <c r="D756" s="8"/>
      <c r="E756" s="8" t="str">
        <f ca="1">IFERROR(_xludf.XLOOKUP(D756,STUDENTS!$A$5:$A$204,STUDENTS!$C$5:$C$204,""),"")</f>
        <v/>
      </c>
      <c r="F756" s="8" t="str">
        <f ca="1">IFERROR(_xludf.XLOOKUP(D756,STUDENTS!$A$5:$A$204,STUDENTS!$L$5:$L$204,""),"")</f>
        <v/>
      </c>
      <c r="G756" s="8"/>
      <c r="H756" s="14"/>
      <c r="I756" s="14"/>
      <c r="J756" s="15" t="str">
        <f>IF(H756="","",H756*SETTINGS!$B$9)</f>
        <v/>
      </c>
      <c r="K756" s="15" t="str">
        <f>IF(I756="","",I756*SETTINGS!$B$10)</f>
        <v/>
      </c>
      <c r="L756" s="15" t="str">
        <f t="shared" si="45"/>
        <v/>
      </c>
      <c r="M756" s="10" t="str">
        <f t="shared" si="46"/>
        <v/>
      </c>
      <c r="N756" s="10" t="str">
        <f t="shared" si="47"/>
        <v/>
      </c>
      <c r="O756" s="8"/>
    </row>
    <row r="757" spans="1:15" x14ac:dyDescent="0.2">
      <c r="A757" s="10" t="str">
        <f t="shared" si="44"/>
        <v/>
      </c>
      <c r="B757" s="8"/>
      <c r="C757" s="8"/>
      <c r="D757" s="8"/>
      <c r="E757" s="8" t="str">
        <f ca="1">IFERROR(_xludf.XLOOKUP(D757,STUDENTS!$A$5:$A$204,STUDENTS!$C$5:$C$204,""),"")</f>
        <v/>
      </c>
      <c r="F757" s="8" t="str">
        <f ca="1">IFERROR(_xludf.XLOOKUP(D757,STUDENTS!$A$5:$A$204,STUDENTS!$L$5:$L$204,""),"")</f>
        <v/>
      </c>
      <c r="G757" s="8"/>
      <c r="H757" s="14"/>
      <c r="I757" s="14"/>
      <c r="J757" s="15" t="str">
        <f>IF(H757="","",H757*SETTINGS!$B$9)</f>
        <v/>
      </c>
      <c r="K757" s="15" t="str">
        <f>IF(I757="","",I757*SETTINGS!$B$10)</f>
        <v/>
      </c>
      <c r="L757" s="15" t="str">
        <f t="shared" si="45"/>
        <v/>
      </c>
      <c r="M757" s="10" t="str">
        <f t="shared" si="46"/>
        <v/>
      </c>
      <c r="N757" s="10" t="str">
        <f t="shared" si="47"/>
        <v/>
      </c>
      <c r="O757" s="8"/>
    </row>
    <row r="758" spans="1:15" x14ac:dyDescent="0.2">
      <c r="A758" s="10" t="str">
        <f t="shared" si="44"/>
        <v/>
      </c>
      <c r="B758" s="8"/>
      <c r="C758" s="8"/>
      <c r="D758" s="8"/>
      <c r="E758" s="8" t="str">
        <f ca="1">IFERROR(_xludf.XLOOKUP(D758,STUDENTS!$A$5:$A$204,STUDENTS!$C$5:$C$204,""),"")</f>
        <v/>
      </c>
      <c r="F758" s="8" t="str">
        <f ca="1">IFERROR(_xludf.XLOOKUP(D758,STUDENTS!$A$5:$A$204,STUDENTS!$L$5:$L$204,""),"")</f>
        <v/>
      </c>
      <c r="G758" s="8"/>
      <c r="H758" s="14"/>
      <c r="I758" s="14"/>
      <c r="J758" s="15" t="str">
        <f>IF(H758="","",H758*SETTINGS!$B$9)</f>
        <v/>
      </c>
      <c r="K758" s="15" t="str">
        <f>IF(I758="","",I758*SETTINGS!$B$10)</f>
        <v/>
      </c>
      <c r="L758" s="15" t="str">
        <f t="shared" si="45"/>
        <v/>
      </c>
      <c r="M758" s="10" t="str">
        <f t="shared" si="46"/>
        <v/>
      </c>
      <c r="N758" s="10" t="str">
        <f t="shared" si="47"/>
        <v/>
      </c>
      <c r="O758" s="8"/>
    </row>
    <row r="759" spans="1:15" x14ac:dyDescent="0.2">
      <c r="A759" s="10" t="str">
        <f t="shared" si="44"/>
        <v/>
      </c>
      <c r="B759" s="8"/>
      <c r="C759" s="8"/>
      <c r="D759" s="8"/>
      <c r="E759" s="8" t="str">
        <f ca="1">IFERROR(_xludf.XLOOKUP(D759,STUDENTS!$A$5:$A$204,STUDENTS!$C$5:$C$204,""),"")</f>
        <v/>
      </c>
      <c r="F759" s="8" t="str">
        <f ca="1">IFERROR(_xludf.XLOOKUP(D759,STUDENTS!$A$5:$A$204,STUDENTS!$L$5:$L$204,""),"")</f>
        <v/>
      </c>
      <c r="G759" s="8"/>
      <c r="H759" s="14"/>
      <c r="I759" s="14"/>
      <c r="J759" s="15" t="str">
        <f>IF(H759="","",H759*SETTINGS!$B$9)</f>
        <v/>
      </c>
      <c r="K759" s="15" t="str">
        <f>IF(I759="","",I759*SETTINGS!$B$10)</f>
        <v/>
      </c>
      <c r="L759" s="15" t="str">
        <f t="shared" si="45"/>
        <v/>
      </c>
      <c r="M759" s="10" t="str">
        <f t="shared" si="46"/>
        <v/>
      </c>
      <c r="N759" s="10" t="str">
        <f t="shared" si="47"/>
        <v/>
      </c>
      <c r="O759" s="8"/>
    </row>
    <row r="760" spans="1:15" x14ac:dyDescent="0.2">
      <c r="A760" s="10" t="str">
        <f t="shared" si="44"/>
        <v/>
      </c>
      <c r="B760" s="8"/>
      <c r="C760" s="8"/>
      <c r="D760" s="8"/>
      <c r="E760" s="8" t="str">
        <f ca="1">IFERROR(_xludf.XLOOKUP(D760,STUDENTS!$A$5:$A$204,STUDENTS!$C$5:$C$204,""),"")</f>
        <v/>
      </c>
      <c r="F760" s="8" t="str">
        <f ca="1">IFERROR(_xludf.XLOOKUP(D760,STUDENTS!$A$5:$A$204,STUDENTS!$L$5:$L$204,""),"")</f>
        <v/>
      </c>
      <c r="G760" s="8"/>
      <c r="H760" s="14"/>
      <c r="I760" s="14"/>
      <c r="J760" s="15" t="str">
        <f>IF(H760="","",H760*SETTINGS!$B$9)</f>
        <v/>
      </c>
      <c r="K760" s="15" t="str">
        <f>IF(I760="","",I760*SETTINGS!$B$10)</f>
        <v/>
      </c>
      <c r="L760" s="15" t="str">
        <f t="shared" si="45"/>
        <v/>
      </c>
      <c r="M760" s="10" t="str">
        <f t="shared" si="46"/>
        <v/>
      </c>
      <c r="N760" s="10" t="str">
        <f t="shared" si="47"/>
        <v/>
      </c>
      <c r="O760" s="8"/>
    </row>
    <row r="761" spans="1:15" x14ac:dyDescent="0.2">
      <c r="A761" s="10" t="str">
        <f t="shared" si="44"/>
        <v/>
      </c>
      <c r="B761" s="8"/>
      <c r="C761" s="8"/>
      <c r="D761" s="8"/>
      <c r="E761" s="8" t="str">
        <f ca="1">IFERROR(_xludf.XLOOKUP(D761,STUDENTS!$A$5:$A$204,STUDENTS!$C$5:$C$204,""),"")</f>
        <v/>
      </c>
      <c r="F761" s="8" t="str">
        <f ca="1">IFERROR(_xludf.XLOOKUP(D761,STUDENTS!$A$5:$A$204,STUDENTS!$L$5:$L$204,""),"")</f>
        <v/>
      </c>
      <c r="G761" s="8"/>
      <c r="H761" s="14"/>
      <c r="I761" s="14"/>
      <c r="J761" s="15" t="str">
        <f>IF(H761="","",H761*SETTINGS!$B$9)</f>
        <v/>
      </c>
      <c r="K761" s="15" t="str">
        <f>IF(I761="","",I761*SETTINGS!$B$10)</f>
        <v/>
      </c>
      <c r="L761" s="15" t="str">
        <f t="shared" si="45"/>
        <v/>
      </c>
      <c r="M761" s="10" t="str">
        <f t="shared" si="46"/>
        <v/>
      </c>
      <c r="N761" s="10" t="str">
        <f t="shared" si="47"/>
        <v/>
      </c>
      <c r="O761" s="8"/>
    </row>
    <row r="762" spans="1:15" x14ac:dyDescent="0.2">
      <c r="A762" s="10" t="str">
        <f t="shared" si="44"/>
        <v/>
      </c>
      <c r="B762" s="8"/>
      <c r="C762" s="8"/>
      <c r="D762" s="8"/>
      <c r="E762" s="8" t="str">
        <f ca="1">IFERROR(_xludf.XLOOKUP(D762,STUDENTS!$A$5:$A$204,STUDENTS!$C$5:$C$204,""),"")</f>
        <v/>
      </c>
      <c r="F762" s="8" t="str">
        <f ca="1">IFERROR(_xludf.XLOOKUP(D762,STUDENTS!$A$5:$A$204,STUDENTS!$L$5:$L$204,""),"")</f>
        <v/>
      </c>
      <c r="G762" s="8"/>
      <c r="H762" s="14"/>
      <c r="I762" s="14"/>
      <c r="J762" s="15" t="str">
        <f>IF(H762="","",H762*SETTINGS!$B$9)</f>
        <v/>
      </c>
      <c r="K762" s="15" t="str">
        <f>IF(I762="","",I762*SETTINGS!$B$10)</f>
        <v/>
      </c>
      <c r="L762" s="15" t="str">
        <f t="shared" si="45"/>
        <v/>
      </c>
      <c r="M762" s="10" t="str">
        <f t="shared" si="46"/>
        <v/>
      </c>
      <c r="N762" s="10" t="str">
        <f t="shared" si="47"/>
        <v/>
      </c>
      <c r="O762" s="8"/>
    </row>
    <row r="763" spans="1:15" x14ac:dyDescent="0.2">
      <c r="A763" s="10" t="str">
        <f t="shared" si="44"/>
        <v/>
      </c>
      <c r="B763" s="8"/>
      <c r="C763" s="8"/>
      <c r="D763" s="8"/>
      <c r="E763" s="8" t="str">
        <f ca="1">IFERROR(_xludf.XLOOKUP(D763,STUDENTS!$A$5:$A$204,STUDENTS!$C$5:$C$204,""),"")</f>
        <v/>
      </c>
      <c r="F763" s="8" t="str">
        <f ca="1">IFERROR(_xludf.XLOOKUP(D763,STUDENTS!$A$5:$A$204,STUDENTS!$L$5:$L$204,""),"")</f>
        <v/>
      </c>
      <c r="G763" s="8"/>
      <c r="H763" s="14"/>
      <c r="I763" s="14"/>
      <c r="J763" s="15" t="str">
        <f>IF(H763="","",H763*SETTINGS!$B$9)</f>
        <v/>
      </c>
      <c r="K763" s="15" t="str">
        <f>IF(I763="","",I763*SETTINGS!$B$10)</f>
        <v/>
      </c>
      <c r="L763" s="15" t="str">
        <f t="shared" si="45"/>
        <v/>
      </c>
      <c r="M763" s="10" t="str">
        <f t="shared" si="46"/>
        <v/>
      </c>
      <c r="N763" s="10" t="str">
        <f t="shared" si="47"/>
        <v/>
      </c>
      <c r="O763" s="8"/>
    </row>
    <row r="764" spans="1:15" x14ac:dyDescent="0.2">
      <c r="A764" s="10" t="str">
        <f t="shared" si="44"/>
        <v/>
      </c>
      <c r="B764" s="8"/>
      <c r="C764" s="8"/>
      <c r="D764" s="8"/>
      <c r="E764" s="8" t="str">
        <f ca="1">IFERROR(_xludf.XLOOKUP(D764,STUDENTS!$A$5:$A$204,STUDENTS!$C$5:$C$204,""),"")</f>
        <v/>
      </c>
      <c r="F764" s="8" t="str">
        <f ca="1">IFERROR(_xludf.XLOOKUP(D764,STUDENTS!$A$5:$A$204,STUDENTS!$L$5:$L$204,""),"")</f>
        <v/>
      </c>
      <c r="G764" s="8"/>
      <c r="H764" s="14"/>
      <c r="I764" s="14"/>
      <c r="J764" s="15" t="str">
        <f>IF(H764="","",H764*SETTINGS!$B$9)</f>
        <v/>
      </c>
      <c r="K764" s="15" t="str">
        <f>IF(I764="","",I764*SETTINGS!$B$10)</f>
        <v/>
      </c>
      <c r="L764" s="15" t="str">
        <f t="shared" si="45"/>
        <v/>
      </c>
      <c r="M764" s="10" t="str">
        <f t="shared" si="46"/>
        <v/>
      </c>
      <c r="N764" s="10" t="str">
        <f t="shared" si="47"/>
        <v/>
      </c>
      <c r="O764" s="8"/>
    </row>
    <row r="765" spans="1:15" x14ac:dyDescent="0.2">
      <c r="A765" s="10" t="str">
        <f t="shared" si="44"/>
        <v/>
      </c>
      <c r="B765" s="8"/>
      <c r="C765" s="8"/>
      <c r="D765" s="8"/>
      <c r="E765" s="8" t="str">
        <f ca="1">IFERROR(_xludf.XLOOKUP(D765,STUDENTS!$A$5:$A$204,STUDENTS!$C$5:$C$204,""),"")</f>
        <v/>
      </c>
      <c r="F765" s="8" t="str">
        <f ca="1">IFERROR(_xludf.XLOOKUP(D765,STUDENTS!$A$5:$A$204,STUDENTS!$L$5:$L$204,""),"")</f>
        <v/>
      </c>
      <c r="G765" s="8"/>
      <c r="H765" s="14"/>
      <c r="I765" s="14"/>
      <c r="J765" s="15" t="str">
        <f>IF(H765="","",H765*SETTINGS!$B$9)</f>
        <v/>
      </c>
      <c r="K765" s="15" t="str">
        <f>IF(I765="","",I765*SETTINGS!$B$10)</f>
        <v/>
      </c>
      <c r="L765" s="15" t="str">
        <f t="shared" si="45"/>
        <v/>
      </c>
      <c r="M765" s="10" t="str">
        <f t="shared" si="46"/>
        <v/>
      </c>
      <c r="N765" s="10" t="str">
        <f t="shared" si="47"/>
        <v/>
      </c>
      <c r="O765" s="8"/>
    </row>
    <row r="766" spans="1:15" x14ac:dyDescent="0.2">
      <c r="A766" s="10" t="str">
        <f t="shared" si="44"/>
        <v/>
      </c>
      <c r="B766" s="8"/>
      <c r="C766" s="8"/>
      <c r="D766" s="8"/>
      <c r="E766" s="8" t="str">
        <f ca="1">IFERROR(_xludf.XLOOKUP(D766,STUDENTS!$A$5:$A$204,STUDENTS!$C$5:$C$204,""),"")</f>
        <v/>
      </c>
      <c r="F766" s="8" t="str">
        <f ca="1">IFERROR(_xludf.XLOOKUP(D766,STUDENTS!$A$5:$A$204,STUDENTS!$L$5:$L$204,""),"")</f>
        <v/>
      </c>
      <c r="G766" s="8"/>
      <c r="H766" s="14"/>
      <c r="I766" s="14"/>
      <c r="J766" s="15" t="str">
        <f>IF(H766="","",H766*SETTINGS!$B$9)</f>
        <v/>
      </c>
      <c r="K766" s="15" t="str">
        <f>IF(I766="","",I766*SETTINGS!$B$10)</f>
        <v/>
      </c>
      <c r="L766" s="15" t="str">
        <f t="shared" si="45"/>
        <v/>
      </c>
      <c r="M766" s="10" t="str">
        <f t="shared" si="46"/>
        <v/>
      </c>
      <c r="N766" s="10" t="str">
        <f t="shared" si="47"/>
        <v/>
      </c>
      <c r="O766" s="8"/>
    </row>
    <row r="767" spans="1:15" x14ac:dyDescent="0.2">
      <c r="A767" s="10" t="str">
        <f t="shared" si="44"/>
        <v/>
      </c>
      <c r="B767" s="8"/>
      <c r="C767" s="8"/>
      <c r="D767" s="8"/>
      <c r="E767" s="8" t="str">
        <f ca="1">IFERROR(_xludf.XLOOKUP(D767,STUDENTS!$A$5:$A$204,STUDENTS!$C$5:$C$204,""),"")</f>
        <v/>
      </c>
      <c r="F767" s="8" t="str">
        <f ca="1">IFERROR(_xludf.XLOOKUP(D767,STUDENTS!$A$5:$A$204,STUDENTS!$L$5:$L$204,""),"")</f>
        <v/>
      </c>
      <c r="G767" s="8"/>
      <c r="H767" s="14"/>
      <c r="I767" s="14"/>
      <c r="J767" s="15" t="str">
        <f>IF(H767="","",H767*SETTINGS!$B$9)</f>
        <v/>
      </c>
      <c r="K767" s="15" t="str">
        <f>IF(I767="","",I767*SETTINGS!$B$10)</f>
        <v/>
      </c>
      <c r="L767" s="15" t="str">
        <f t="shared" si="45"/>
        <v/>
      </c>
      <c r="M767" s="10" t="str">
        <f t="shared" si="46"/>
        <v/>
      </c>
      <c r="N767" s="10" t="str">
        <f t="shared" si="47"/>
        <v/>
      </c>
      <c r="O767" s="8"/>
    </row>
    <row r="768" spans="1:15" x14ac:dyDescent="0.2">
      <c r="A768" s="10" t="str">
        <f t="shared" si="44"/>
        <v/>
      </c>
      <c r="B768" s="8"/>
      <c r="C768" s="8"/>
      <c r="D768" s="8"/>
      <c r="E768" s="8" t="str">
        <f ca="1">IFERROR(_xludf.XLOOKUP(D768,STUDENTS!$A$5:$A$204,STUDENTS!$C$5:$C$204,""),"")</f>
        <v/>
      </c>
      <c r="F768" s="8" t="str">
        <f ca="1">IFERROR(_xludf.XLOOKUP(D768,STUDENTS!$A$5:$A$204,STUDENTS!$L$5:$L$204,""),"")</f>
        <v/>
      </c>
      <c r="G768" s="8"/>
      <c r="H768" s="14"/>
      <c r="I768" s="14"/>
      <c r="J768" s="15" t="str">
        <f>IF(H768="","",H768*SETTINGS!$B$9)</f>
        <v/>
      </c>
      <c r="K768" s="15" t="str">
        <f>IF(I768="","",I768*SETTINGS!$B$10)</f>
        <v/>
      </c>
      <c r="L768" s="15" t="str">
        <f t="shared" si="45"/>
        <v/>
      </c>
      <c r="M768" s="10" t="str">
        <f t="shared" si="46"/>
        <v/>
      </c>
      <c r="N768" s="10" t="str">
        <f t="shared" si="47"/>
        <v/>
      </c>
      <c r="O768" s="8"/>
    </row>
    <row r="769" spans="1:15" x14ac:dyDescent="0.2">
      <c r="A769" s="10" t="str">
        <f t="shared" si="44"/>
        <v/>
      </c>
      <c r="B769" s="8"/>
      <c r="C769" s="8"/>
      <c r="D769" s="8"/>
      <c r="E769" s="8" t="str">
        <f ca="1">IFERROR(_xludf.XLOOKUP(D769,STUDENTS!$A$5:$A$204,STUDENTS!$C$5:$C$204,""),"")</f>
        <v/>
      </c>
      <c r="F769" s="8" t="str">
        <f ca="1">IFERROR(_xludf.XLOOKUP(D769,STUDENTS!$A$5:$A$204,STUDENTS!$L$5:$L$204,""),"")</f>
        <v/>
      </c>
      <c r="G769" s="8"/>
      <c r="H769" s="14"/>
      <c r="I769" s="14"/>
      <c r="J769" s="15" t="str">
        <f>IF(H769="","",H769*SETTINGS!$B$9)</f>
        <v/>
      </c>
      <c r="K769" s="15" t="str">
        <f>IF(I769="","",I769*SETTINGS!$B$10)</f>
        <v/>
      </c>
      <c r="L769" s="15" t="str">
        <f t="shared" si="45"/>
        <v/>
      </c>
      <c r="M769" s="10" t="str">
        <f t="shared" si="46"/>
        <v/>
      </c>
      <c r="N769" s="10" t="str">
        <f t="shared" si="47"/>
        <v/>
      </c>
      <c r="O769" s="8"/>
    </row>
    <row r="770" spans="1:15" x14ac:dyDescent="0.2">
      <c r="A770" s="10" t="str">
        <f t="shared" si="44"/>
        <v/>
      </c>
      <c r="B770" s="8"/>
      <c r="C770" s="8"/>
      <c r="D770" s="8"/>
      <c r="E770" s="8" t="str">
        <f ca="1">IFERROR(_xludf.XLOOKUP(D770,STUDENTS!$A$5:$A$204,STUDENTS!$C$5:$C$204,""),"")</f>
        <v/>
      </c>
      <c r="F770" s="8" t="str">
        <f ca="1">IFERROR(_xludf.XLOOKUP(D770,STUDENTS!$A$5:$A$204,STUDENTS!$L$5:$L$204,""),"")</f>
        <v/>
      </c>
      <c r="G770" s="8"/>
      <c r="H770" s="14"/>
      <c r="I770" s="14"/>
      <c r="J770" s="15" t="str">
        <f>IF(H770="","",H770*SETTINGS!$B$9)</f>
        <v/>
      </c>
      <c r="K770" s="15" t="str">
        <f>IF(I770="","",I770*SETTINGS!$B$10)</f>
        <v/>
      </c>
      <c r="L770" s="15" t="str">
        <f t="shared" si="45"/>
        <v/>
      </c>
      <c r="M770" s="10" t="str">
        <f t="shared" si="46"/>
        <v/>
      </c>
      <c r="N770" s="10" t="str">
        <f t="shared" si="47"/>
        <v/>
      </c>
      <c r="O770" s="8"/>
    </row>
    <row r="771" spans="1:15" x14ac:dyDescent="0.2">
      <c r="A771" s="10" t="str">
        <f t="shared" si="44"/>
        <v/>
      </c>
      <c r="B771" s="8"/>
      <c r="C771" s="8"/>
      <c r="D771" s="8"/>
      <c r="E771" s="8" t="str">
        <f ca="1">IFERROR(_xludf.XLOOKUP(D771,STUDENTS!$A$5:$A$204,STUDENTS!$C$5:$C$204,""),"")</f>
        <v/>
      </c>
      <c r="F771" s="8" t="str">
        <f ca="1">IFERROR(_xludf.XLOOKUP(D771,STUDENTS!$A$5:$A$204,STUDENTS!$L$5:$L$204,""),"")</f>
        <v/>
      </c>
      <c r="G771" s="8"/>
      <c r="H771" s="14"/>
      <c r="I771" s="14"/>
      <c r="J771" s="15" t="str">
        <f>IF(H771="","",H771*SETTINGS!$B$9)</f>
        <v/>
      </c>
      <c r="K771" s="15" t="str">
        <f>IF(I771="","",I771*SETTINGS!$B$10)</f>
        <v/>
      </c>
      <c r="L771" s="15" t="str">
        <f t="shared" si="45"/>
        <v/>
      </c>
      <c r="M771" s="10" t="str">
        <f t="shared" si="46"/>
        <v/>
      </c>
      <c r="N771" s="10" t="str">
        <f t="shared" si="47"/>
        <v/>
      </c>
      <c r="O771" s="8"/>
    </row>
    <row r="772" spans="1:15" x14ac:dyDescent="0.2">
      <c r="A772" s="10" t="str">
        <f t="shared" si="44"/>
        <v/>
      </c>
      <c r="B772" s="8"/>
      <c r="C772" s="8"/>
      <c r="D772" s="8"/>
      <c r="E772" s="8" t="str">
        <f ca="1">IFERROR(_xludf.XLOOKUP(D772,STUDENTS!$A$5:$A$204,STUDENTS!$C$5:$C$204,""),"")</f>
        <v/>
      </c>
      <c r="F772" s="8" t="str">
        <f ca="1">IFERROR(_xludf.XLOOKUP(D772,STUDENTS!$A$5:$A$204,STUDENTS!$L$5:$L$204,""),"")</f>
        <v/>
      </c>
      <c r="G772" s="8"/>
      <c r="H772" s="14"/>
      <c r="I772" s="14"/>
      <c r="J772" s="15" t="str">
        <f>IF(H772="","",H772*SETTINGS!$B$9)</f>
        <v/>
      </c>
      <c r="K772" s="15" t="str">
        <f>IF(I772="","",I772*SETTINGS!$B$10)</f>
        <v/>
      </c>
      <c r="L772" s="15" t="str">
        <f t="shared" si="45"/>
        <v/>
      </c>
      <c r="M772" s="10" t="str">
        <f t="shared" si="46"/>
        <v/>
      </c>
      <c r="N772" s="10" t="str">
        <f t="shared" si="47"/>
        <v/>
      </c>
      <c r="O772" s="8"/>
    </row>
    <row r="773" spans="1:15" x14ac:dyDescent="0.2">
      <c r="A773" s="10" t="str">
        <f t="shared" ref="A773:A836" si="48">IF(D773="","","R-"&amp;TEXT(ROW()-4,"00000"))</f>
        <v/>
      </c>
      <c r="B773" s="8"/>
      <c r="C773" s="8"/>
      <c r="D773" s="8"/>
      <c r="E773" s="8" t="str">
        <f ca="1">IFERROR(_xludf.XLOOKUP(D773,STUDENTS!$A$5:$A$204,STUDENTS!$C$5:$C$204,""),"")</f>
        <v/>
      </c>
      <c r="F773" s="8" t="str">
        <f ca="1">IFERROR(_xludf.XLOOKUP(D773,STUDENTS!$A$5:$A$204,STUDENTS!$L$5:$L$204,""),"")</f>
        <v/>
      </c>
      <c r="G773" s="8"/>
      <c r="H773" s="14"/>
      <c r="I773" s="14"/>
      <c r="J773" s="15" t="str">
        <f>IF(H773="","",H773*SETTINGS!$B$9)</f>
        <v/>
      </c>
      <c r="K773" s="15" t="str">
        <f>IF(I773="","",I773*SETTINGS!$B$10)</f>
        <v/>
      </c>
      <c r="L773" s="15" t="str">
        <f t="shared" ref="L773:L836" si="49">IF(OR(H773="",I773=""),"",J773+K773)</f>
        <v/>
      </c>
      <c r="M773" s="10" t="str">
        <f t="shared" ref="M773:M836" si="50">IF(L773="","",IF(L773&gt;=80,"A",IF(L773&gt;=70,"B",IF(L773&gt;=60,"C",IF(L773&gt;=50,"D","F")))))</f>
        <v/>
      </c>
      <c r="N773" s="10" t="str">
        <f t="shared" ref="N773:N836" si="51">IF(L773="","",1+COUNTIFS($F$5:$F$1004,F773,$C$5:$C$1004,C773,$G$5:$G$1004,G773,$L$5:$L$1004,"&gt;"&amp;L773))</f>
        <v/>
      </c>
      <c r="O773" s="8"/>
    </row>
    <row r="774" spans="1:15" x14ac:dyDescent="0.2">
      <c r="A774" s="10" t="str">
        <f t="shared" si="48"/>
        <v/>
      </c>
      <c r="B774" s="8"/>
      <c r="C774" s="8"/>
      <c r="D774" s="8"/>
      <c r="E774" s="8" t="str">
        <f ca="1">IFERROR(_xludf.XLOOKUP(D774,STUDENTS!$A$5:$A$204,STUDENTS!$C$5:$C$204,""),"")</f>
        <v/>
      </c>
      <c r="F774" s="8" t="str">
        <f ca="1">IFERROR(_xludf.XLOOKUP(D774,STUDENTS!$A$5:$A$204,STUDENTS!$L$5:$L$204,""),"")</f>
        <v/>
      </c>
      <c r="G774" s="8"/>
      <c r="H774" s="14"/>
      <c r="I774" s="14"/>
      <c r="J774" s="15" t="str">
        <f>IF(H774="","",H774*SETTINGS!$B$9)</f>
        <v/>
      </c>
      <c r="K774" s="15" t="str">
        <f>IF(I774="","",I774*SETTINGS!$B$10)</f>
        <v/>
      </c>
      <c r="L774" s="15" t="str">
        <f t="shared" si="49"/>
        <v/>
      </c>
      <c r="M774" s="10" t="str">
        <f t="shared" si="50"/>
        <v/>
      </c>
      <c r="N774" s="10" t="str">
        <f t="shared" si="51"/>
        <v/>
      </c>
      <c r="O774" s="8"/>
    </row>
    <row r="775" spans="1:15" x14ac:dyDescent="0.2">
      <c r="A775" s="10" t="str">
        <f t="shared" si="48"/>
        <v/>
      </c>
      <c r="B775" s="8"/>
      <c r="C775" s="8"/>
      <c r="D775" s="8"/>
      <c r="E775" s="8" t="str">
        <f ca="1">IFERROR(_xludf.XLOOKUP(D775,STUDENTS!$A$5:$A$204,STUDENTS!$C$5:$C$204,""),"")</f>
        <v/>
      </c>
      <c r="F775" s="8" t="str">
        <f ca="1">IFERROR(_xludf.XLOOKUP(D775,STUDENTS!$A$5:$A$204,STUDENTS!$L$5:$L$204,""),"")</f>
        <v/>
      </c>
      <c r="G775" s="8"/>
      <c r="H775" s="14"/>
      <c r="I775" s="14"/>
      <c r="J775" s="15" t="str">
        <f>IF(H775="","",H775*SETTINGS!$B$9)</f>
        <v/>
      </c>
      <c r="K775" s="15" t="str">
        <f>IF(I775="","",I775*SETTINGS!$B$10)</f>
        <v/>
      </c>
      <c r="L775" s="15" t="str">
        <f t="shared" si="49"/>
        <v/>
      </c>
      <c r="M775" s="10" t="str">
        <f t="shared" si="50"/>
        <v/>
      </c>
      <c r="N775" s="10" t="str">
        <f t="shared" si="51"/>
        <v/>
      </c>
      <c r="O775" s="8"/>
    </row>
    <row r="776" spans="1:15" x14ac:dyDescent="0.2">
      <c r="A776" s="10" t="str">
        <f t="shared" si="48"/>
        <v/>
      </c>
      <c r="B776" s="8"/>
      <c r="C776" s="8"/>
      <c r="D776" s="8"/>
      <c r="E776" s="8" t="str">
        <f ca="1">IFERROR(_xludf.XLOOKUP(D776,STUDENTS!$A$5:$A$204,STUDENTS!$C$5:$C$204,""),"")</f>
        <v/>
      </c>
      <c r="F776" s="8" t="str">
        <f ca="1">IFERROR(_xludf.XLOOKUP(D776,STUDENTS!$A$5:$A$204,STUDENTS!$L$5:$L$204,""),"")</f>
        <v/>
      </c>
      <c r="G776" s="8"/>
      <c r="H776" s="14"/>
      <c r="I776" s="14"/>
      <c r="J776" s="15" t="str">
        <f>IF(H776="","",H776*SETTINGS!$B$9)</f>
        <v/>
      </c>
      <c r="K776" s="15" t="str">
        <f>IF(I776="","",I776*SETTINGS!$B$10)</f>
        <v/>
      </c>
      <c r="L776" s="15" t="str">
        <f t="shared" si="49"/>
        <v/>
      </c>
      <c r="M776" s="10" t="str">
        <f t="shared" si="50"/>
        <v/>
      </c>
      <c r="N776" s="10" t="str">
        <f t="shared" si="51"/>
        <v/>
      </c>
      <c r="O776" s="8"/>
    </row>
    <row r="777" spans="1:15" x14ac:dyDescent="0.2">
      <c r="A777" s="10" t="str">
        <f t="shared" si="48"/>
        <v/>
      </c>
      <c r="B777" s="8"/>
      <c r="C777" s="8"/>
      <c r="D777" s="8"/>
      <c r="E777" s="8" t="str">
        <f ca="1">IFERROR(_xludf.XLOOKUP(D777,STUDENTS!$A$5:$A$204,STUDENTS!$C$5:$C$204,""),"")</f>
        <v/>
      </c>
      <c r="F777" s="8" t="str">
        <f ca="1">IFERROR(_xludf.XLOOKUP(D777,STUDENTS!$A$5:$A$204,STUDENTS!$L$5:$L$204,""),"")</f>
        <v/>
      </c>
      <c r="G777" s="8"/>
      <c r="H777" s="14"/>
      <c r="I777" s="14"/>
      <c r="J777" s="15" t="str">
        <f>IF(H777="","",H777*SETTINGS!$B$9)</f>
        <v/>
      </c>
      <c r="K777" s="15" t="str">
        <f>IF(I777="","",I777*SETTINGS!$B$10)</f>
        <v/>
      </c>
      <c r="L777" s="15" t="str">
        <f t="shared" si="49"/>
        <v/>
      </c>
      <c r="M777" s="10" t="str">
        <f t="shared" si="50"/>
        <v/>
      </c>
      <c r="N777" s="10" t="str">
        <f t="shared" si="51"/>
        <v/>
      </c>
      <c r="O777" s="8"/>
    </row>
    <row r="778" spans="1:15" x14ac:dyDescent="0.2">
      <c r="A778" s="10" t="str">
        <f t="shared" si="48"/>
        <v/>
      </c>
      <c r="B778" s="8"/>
      <c r="C778" s="8"/>
      <c r="D778" s="8"/>
      <c r="E778" s="8" t="str">
        <f ca="1">IFERROR(_xludf.XLOOKUP(D778,STUDENTS!$A$5:$A$204,STUDENTS!$C$5:$C$204,""),"")</f>
        <v/>
      </c>
      <c r="F778" s="8" t="str">
        <f ca="1">IFERROR(_xludf.XLOOKUP(D778,STUDENTS!$A$5:$A$204,STUDENTS!$L$5:$L$204,""),"")</f>
        <v/>
      </c>
      <c r="G778" s="8"/>
      <c r="H778" s="14"/>
      <c r="I778" s="14"/>
      <c r="J778" s="15" t="str">
        <f>IF(H778="","",H778*SETTINGS!$B$9)</f>
        <v/>
      </c>
      <c r="K778" s="15" t="str">
        <f>IF(I778="","",I778*SETTINGS!$B$10)</f>
        <v/>
      </c>
      <c r="L778" s="15" t="str">
        <f t="shared" si="49"/>
        <v/>
      </c>
      <c r="M778" s="10" t="str">
        <f t="shared" si="50"/>
        <v/>
      </c>
      <c r="N778" s="10" t="str">
        <f t="shared" si="51"/>
        <v/>
      </c>
      <c r="O778" s="8"/>
    </row>
    <row r="779" spans="1:15" x14ac:dyDescent="0.2">
      <c r="A779" s="10" t="str">
        <f t="shared" si="48"/>
        <v/>
      </c>
      <c r="B779" s="8"/>
      <c r="C779" s="8"/>
      <c r="D779" s="8"/>
      <c r="E779" s="8" t="str">
        <f ca="1">IFERROR(_xludf.XLOOKUP(D779,STUDENTS!$A$5:$A$204,STUDENTS!$C$5:$C$204,""),"")</f>
        <v/>
      </c>
      <c r="F779" s="8" t="str">
        <f ca="1">IFERROR(_xludf.XLOOKUP(D779,STUDENTS!$A$5:$A$204,STUDENTS!$L$5:$L$204,""),"")</f>
        <v/>
      </c>
      <c r="G779" s="8"/>
      <c r="H779" s="14"/>
      <c r="I779" s="14"/>
      <c r="J779" s="15" t="str">
        <f>IF(H779="","",H779*SETTINGS!$B$9)</f>
        <v/>
      </c>
      <c r="K779" s="15" t="str">
        <f>IF(I779="","",I779*SETTINGS!$B$10)</f>
        <v/>
      </c>
      <c r="L779" s="15" t="str">
        <f t="shared" si="49"/>
        <v/>
      </c>
      <c r="M779" s="10" t="str">
        <f t="shared" si="50"/>
        <v/>
      </c>
      <c r="N779" s="10" t="str">
        <f t="shared" si="51"/>
        <v/>
      </c>
      <c r="O779" s="8"/>
    </row>
    <row r="780" spans="1:15" x14ac:dyDescent="0.2">
      <c r="A780" s="10" t="str">
        <f t="shared" si="48"/>
        <v/>
      </c>
      <c r="B780" s="8"/>
      <c r="C780" s="8"/>
      <c r="D780" s="8"/>
      <c r="E780" s="8" t="str">
        <f ca="1">IFERROR(_xludf.XLOOKUP(D780,STUDENTS!$A$5:$A$204,STUDENTS!$C$5:$C$204,""),"")</f>
        <v/>
      </c>
      <c r="F780" s="8" t="str">
        <f ca="1">IFERROR(_xludf.XLOOKUP(D780,STUDENTS!$A$5:$A$204,STUDENTS!$L$5:$L$204,""),"")</f>
        <v/>
      </c>
      <c r="G780" s="8"/>
      <c r="H780" s="14"/>
      <c r="I780" s="14"/>
      <c r="J780" s="15" t="str">
        <f>IF(H780="","",H780*SETTINGS!$B$9)</f>
        <v/>
      </c>
      <c r="K780" s="15" t="str">
        <f>IF(I780="","",I780*SETTINGS!$B$10)</f>
        <v/>
      </c>
      <c r="L780" s="15" t="str">
        <f t="shared" si="49"/>
        <v/>
      </c>
      <c r="M780" s="10" t="str">
        <f t="shared" si="50"/>
        <v/>
      </c>
      <c r="N780" s="10" t="str">
        <f t="shared" si="51"/>
        <v/>
      </c>
      <c r="O780" s="8"/>
    </row>
    <row r="781" spans="1:15" x14ac:dyDescent="0.2">
      <c r="A781" s="10" t="str">
        <f t="shared" si="48"/>
        <v/>
      </c>
      <c r="B781" s="8"/>
      <c r="C781" s="8"/>
      <c r="D781" s="8"/>
      <c r="E781" s="8" t="str">
        <f ca="1">IFERROR(_xludf.XLOOKUP(D781,STUDENTS!$A$5:$A$204,STUDENTS!$C$5:$C$204,""),"")</f>
        <v/>
      </c>
      <c r="F781" s="8" t="str">
        <f ca="1">IFERROR(_xludf.XLOOKUP(D781,STUDENTS!$A$5:$A$204,STUDENTS!$L$5:$L$204,""),"")</f>
        <v/>
      </c>
      <c r="G781" s="8"/>
      <c r="H781" s="14"/>
      <c r="I781" s="14"/>
      <c r="J781" s="15" t="str">
        <f>IF(H781="","",H781*SETTINGS!$B$9)</f>
        <v/>
      </c>
      <c r="K781" s="15" t="str">
        <f>IF(I781="","",I781*SETTINGS!$B$10)</f>
        <v/>
      </c>
      <c r="L781" s="15" t="str">
        <f t="shared" si="49"/>
        <v/>
      </c>
      <c r="M781" s="10" t="str">
        <f t="shared" si="50"/>
        <v/>
      </c>
      <c r="N781" s="10" t="str">
        <f t="shared" si="51"/>
        <v/>
      </c>
      <c r="O781" s="8"/>
    </row>
    <row r="782" spans="1:15" x14ac:dyDescent="0.2">
      <c r="A782" s="10" t="str">
        <f t="shared" si="48"/>
        <v/>
      </c>
      <c r="B782" s="8"/>
      <c r="C782" s="8"/>
      <c r="D782" s="8"/>
      <c r="E782" s="8" t="str">
        <f ca="1">IFERROR(_xludf.XLOOKUP(D782,STUDENTS!$A$5:$A$204,STUDENTS!$C$5:$C$204,""),"")</f>
        <v/>
      </c>
      <c r="F782" s="8" t="str">
        <f ca="1">IFERROR(_xludf.XLOOKUP(D782,STUDENTS!$A$5:$A$204,STUDENTS!$L$5:$L$204,""),"")</f>
        <v/>
      </c>
      <c r="G782" s="8"/>
      <c r="H782" s="14"/>
      <c r="I782" s="14"/>
      <c r="J782" s="15" t="str">
        <f>IF(H782="","",H782*SETTINGS!$B$9)</f>
        <v/>
      </c>
      <c r="K782" s="15" t="str">
        <f>IF(I782="","",I782*SETTINGS!$B$10)</f>
        <v/>
      </c>
      <c r="L782" s="15" t="str">
        <f t="shared" si="49"/>
        <v/>
      </c>
      <c r="M782" s="10" t="str">
        <f t="shared" si="50"/>
        <v/>
      </c>
      <c r="N782" s="10" t="str">
        <f t="shared" si="51"/>
        <v/>
      </c>
      <c r="O782" s="8"/>
    </row>
    <row r="783" spans="1:15" x14ac:dyDescent="0.2">
      <c r="A783" s="10" t="str">
        <f t="shared" si="48"/>
        <v/>
      </c>
      <c r="B783" s="8"/>
      <c r="C783" s="8"/>
      <c r="D783" s="8"/>
      <c r="E783" s="8" t="str">
        <f ca="1">IFERROR(_xludf.XLOOKUP(D783,STUDENTS!$A$5:$A$204,STUDENTS!$C$5:$C$204,""),"")</f>
        <v/>
      </c>
      <c r="F783" s="8" t="str">
        <f ca="1">IFERROR(_xludf.XLOOKUP(D783,STUDENTS!$A$5:$A$204,STUDENTS!$L$5:$L$204,""),"")</f>
        <v/>
      </c>
      <c r="G783" s="8"/>
      <c r="H783" s="14"/>
      <c r="I783" s="14"/>
      <c r="J783" s="15" t="str">
        <f>IF(H783="","",H783*SETTINGS!$B$9)</f>
        <v/>
      </c>
      <c r="K783" s="15" t="str">
        <f>IF(I783="","",I783*SETTINGS!$B$10)</f>
        <v/>
      </c>
      <c r="L783" s="15" t="str">
        <f t="shared" si="49"/>
        <v/>
      </c>
      <c r="M783" s="10" t="str">
        <f t="shared" si="50"/>
        <v/>
      </c>
      <c r="N783" s="10" t="str">
        <f t="shared" si="51"/>
        <v/>
      </c>
      <c r="O783" s="8"/>
    </row>
    <row r="784" spans="1:15" x14ac:dyDescent="0.2">
      <c r="A784" s="10" t="str">
        <f t="shared" si="48"/>
        <v/>
      </c>
      <c r="B784" s="8"/>
      <c r="C784" s="8"/>
      <c r="D784" s="8"/>
      <c r="E784" s="8" t="str">
        <f ca="1">IFERROR(_xludf.XLOOKUP(D784,STUDENTS!$A$5:$A$204,STUDENTS!$C$5:$C$204,""),"")</f>
        <v/>
      </c>
      <c r="F784" s="8" t="str">
        <f ca="1">IFERROR(_xludf.XLOOKUP(D784,STUDENTS!$A$5:$A$204,STUDENTS!$L$5:$L$204,""),"")</f>
        <v/>
      </c>
      <c r="G784" s="8"/>
      <c r="H784" s="14"/>
      <c r="I784" s="14"/>
      <c r="J784" s="15" t="str">
        <f>IF(H784="","",H784*SETTINGS!$B$9)</f>
        <v/>
      </c>
      <c r="K784" s="15" t="str">
        <f>IF(I784="","",I784*SETTINGS!$B$10)</f>
        <v/>
      </c>
      <c r="L784" s="15" t="str">
        <f t="shared" si="49"/>
        <v/>
      </c>
      <c r="M784" s="10" t="str">
        <f t="shared" si="50"/>
        <v/>
      </c>
      <c r="N784" s="10" t="str">
        <f t="shared" si="51"/>
        <v/>
      </c>
      <c r="O784" s="8"/>
    </row>
    <row r="785" spans="1:15" x14ac:dyDescent="0.2">
      <c r="A785" s="10" t="str">
        <f t="shared" si="48"/>
        <v/>
      </c>
      <c r="B785" s="8"/>
      <c r="C785" s="8"/>
      <c r="D785" s="8"/>
      <c r="E785" s="8" t="str">
        <f ca="1">IFERROR(_xludf.XLOOKUP(D785,STUDENTS!$A$5:$A$204,STUDENTS!$C$5:$C$204,""),"")</f>
        <v/>
      </c>
      <c r="F785" s="8" t="str">
        <f ca="1">IFERROR(_xludf.XLOOKUP(D785,STUDENTS!$A$5:$A$204,STUDENTS!$L$5:$L$204,""),"")</f>
        <v/>
      </c>
      <c r="G785" s="8"/>
      <c r="H785" s="14"/>
      <c r="I785" s="14"/>
      <c r="J785" s="15" t="str">
        <f>IF(H785="","",H785*SETTINGS!$B$9)</f>
        <v/>
      </c>
      <c r="K785" s="15" t="str">
        <f>IF(I785="","",I785*SETTINGS!$B$10)</f>
        <v/>
      </c>
      <c r="L785" s="15" t="str">
        <f t="shared" si="49"/>
        <v/>
      </c>
      <c r="M785" s="10" t="str">
        <f t="shared" si="50"/>
        <v/>
      </c>
      <c r="N785" s="10" t="str">
        <f t="shared" si="51"/>
        <v/>
      </c>
      <c r="O785" s="8"/>
    </row>
    <row r="786" spans="1:15" x14ac:dyDescent="0.2">
      <c r="A786" s="10" t="str">
        <f t="shared" si="48"/>
        <v/>
      </c>
      <c r="B786" s="8"/>
      <c r="C786" s="8"/>
      <c r="D786" s="8"/>
      <c r="E786" s="8" t="str">
        <f ca="1">IFERROR(_xludf.XLOOKUP(D786,STUDENTS!$A$5:$A$204,STUDENTS!$C$5:$C$204,""),"")</f>
        <v/>
      </c>
      <c r="F786" s="8" t="str">
        <f ca="1">IFERROR(_xludf.XLOOKUP(D786,STUDENTS!$A$5:$A$204,STUDENTS!$L$5:$L$204,""),"")</f>
        <v/>
      </c>
      <c r="G786" s="8"/>
      <c r="H786" s="14"/>
      <c r="I786" s="14"/>
      <c r="J786" s="15" t="str">
        <f>IF(H786="","",H786*SETTINGS!$B$9)</f>
        <v/>
      </c>
      <c r="K786" s="15" t="str">
        <f>IF(I786="","",I786*SETTINGS!$B$10)</f>
        <v/>
      </c>
      <c r="L786" s="15" t="str">
        <f t="shared" si="49"/>
        <v/>
      </c>
      <c r="M786" s="10" t="str">
        <f t="shared" si="50"/>
        <v/>
      </c>
      <c r="N786" s="10" t="str">
        <f t="shared" si="51"/>
        <v/>
      </c>
      <c r="O786" s="8"/>
    </row>
    <row r="787" spans="1:15" x14ac:dyDescent="0.2">
      <c r="A787" s="10" t="str">
        <f t="shared" si="48"/>
        <v/>
      </c>
      <c r="B787" s="8"/>
      <c r="C787" s="8"/>
      <c r="D787" s="8"/>
      <c r="E787" s="8" t="str">
        <f ca="1">IFERROR(_xludf.XLOOKUP(D787,STUDENTS!$A$5:$A$204,STUDENTS!$C$5:$C$204,""),"")</f>
        <v/>
      </c>
      <c r="F787" s="8" t="str">
        <f ca="1">IFERROR(_xludf.XLOOKUP(D787,STUDENTS!$A$5:$A$204,STUDENTS!$L$5:$L$204,""),"")</f>
        <v/>
      </c>
      <c r="G787" s="8"/>
      <c r="H787" s="14"/>
      <c r="I787" s="14"/>
      <c r="J787" s="15" t="str">
        <f>IF(H787="","",H787*SETTINGS!$B$9)</f>
        <v/>
      </c>
      <c r="K787" s="15" t="str">
        <f>IF(I787="","",I787*SETTINGS!$B$10)</f>
        <v/>
      </c>
      <c r="L787" s="15" t="str">
        <f t="shared" si="49"/>
        <v/>
      </c>
      <c r="M787" s="10" t="str">
        <f t="shared" si="50"/>
        <v/>
      </c>
      <c r="N787" s="10" t="str">
        <f t="shared" si="51"/>
        <v/>
      </c>
      <c r="O787" s="8"/>
    </row>
    <row r="788" spans="1:15" x14ac:dyDescent="0.2">
      <c r="A788" s="10" t="str">
        <f t="shared" si="48"/>
        <v/>
      </c>
      <c r="B788" s="8"/>
      <c r="C788" s="8"/>
      <c r="D788" s="8"/>
      <c r="E788" s="8" t="str">
        <f ca="1">IFERROR(_xludf.XLOOKUP(D788,STUDENTS!$A$5:$A$204,STUDENTS!$C$5:$C$204,""),"")</f>
        <v/>
      </c>
      <c r="F788" s="8" t="str">
        <f ca="1">IFERROR(_xludf.XLOOKUP(D788,STUDENTS!$A$5:$A$204,STUDENTS!$L$5:$L$204,""),"")</f>
        <v/>
      </c>
      <c r="G788" s="8"/>
      <c r="H788" s="14"/>
      <c r="I788" s="14"/>
      <c r="J788" s="15" t="str">
        <f>IF(H788="","",H788*SETTINGS!$B$9)</f>
        <v/>
      </c>
      <c r="K788" s="15" t="str">
        <f>IF(I788="","",I788*SETTINGS!$B$10)</f>
        <v/>
      </c>
      <c r="L788" s="15" t="str">
        <f t="shared" si="49"/>
        <v/>
      </c>
      <c r="M788" s="10" t="str">
        <f t="shared" si="50"/>
        <v/>
      </c>
      <c r="N788" s="10" t="str">
        <f t="shared" si="51"/>
        <v/>
      </c>
      <c r="O788" s="8"/>
    </row>
    <row r="789" spans="1:15" x14ac:dyDescent="0.2">
      <c r="A789" s="10" t="str">
        <f t="shared" si="48"/>
        <v/>
      </c>
      <c r="B789" s="8"/>
      <c r="C789" s="8"/>
      <c r="D789" s="8"/>
      <c r="E789" s="8" t="str">
        <f ca="1">IFERROR(_xludf.XLOOKUP(D789,STUDENTS!$A$5:$A$204,STUDENTS!$C$5:$C$204,""),"")</f>
        <v/>
      </c>
      <c r="F789" s="8" t="str">
        <f ca="1">IFERROR(_xludf.XLOOKUP(D789,STUDENTS!$A$5:$A$204,STUDENTS!$L$5:$L$204,""),"")</f>
        <v/>
      </c>
      <c r="G789" s="8"/>
      <c r="H789" s="14"/>
      <c r="I789" s="14"/>
      <c r="J789" s="15" t="str">
        <f>IF(H789="","",H789*SETTINGS!$B$9)</f>
        <v/>
      </c>
      <c r="K789" s="15" t="str">
        <f>IF(I789="","",I789*SETTINGS!$B$10)</f>
        <v/>
      </c>
      <c r="L789" s="15" t="str">
        <f t="shared" si="49"/>
        <v/>
      </c>
      <c r="M789" s="10" t="str">
        <f t="shared" si="50"/>
        <v/>
      </c>
      <c r="N789" s="10" t="str">
        <f t="shared" si="51"/>
        <v/>
      </c>
      <c r="O789" s="8"/>
    </row>
    <row r="790" spans="1:15" x14ac:dyDescent="0.2">
      <c r="A790" s="10" t="str">
        <f t="shared" si="48"/>
        <v/>
      </c>
      <c r="B790" s="8"/>
      <c r="C790" s="8"/>
      <c r="D790" s="8"/>
      <c r="E790" s="8" t="str">
        <f ca="1">IFERROR(_xludf.XLOOKUP(D790,STUDENTS!$A$5:$A$204,STUDENTS!$C$5:$C$204,""),"")</f>
        <v/>
      </c>
      <c r="F790" s="8" t="str">
        <f ca="1">IFERROR(_xludf.XLOOKUP(D790,STUDENTS!$A$5:$A$204,STUDENTS!$L$5:$L$204,""),"")</f>
        <v/>
      </c>
      <c r="G790" s="8"/>
      <c r="H790" s="14"/>
      <c r="I790" s="14"/>
      <c r="J790" s="15" t="str">
        <f>IF(H790="","",H790*SETTINGS!$B$9)</f>
        <v/>
      </c>
      <c r="K790" s="15" t="str">
        <f>IF(I790="","",I790*SETTINGS!$B$10)</f>
        <v/>
      </c>
      <c r="L790" s="15" t="str">
        <f t="shared" si="49"/>
        <v/>
      </c>
      <c r="M790" s="10" t="str">
        <f t="shared" si="50"/>
        <v/>
      </c>
      <c r="N790" s="10" t="str">
        <f t="shared" si="51"/>
        <v/>
      </c>
      <c r="O790" s="8"/>
    </row>
    <row r="791" spans="1:15" x14ac:dyDescent="0.2">
      <c r="A791" s="10" t="str">
        <f t="shared" si="48"/>
        <v/>
      </c>
      <c r="B791" s="8"/>
      <c r="C791" s="8"/>
      <c r="D791" s="8"/>
      <c r="E791" s="8" t="str">
        <f ca="1">IFERROR(_xludf.XLOOKUP(D791,STUDENTS!$A$5:$A$204,STUDENTS!$C$5:$C$204,""),"")</f>
        <v/>
      </c>
      <c r="F791" s="8" t="str">
        <f ca="1">IFERROR(_xludf.XLOOKUP(D791,STUDENTS!$A$5:$A$204,STUDENTS!$L$5:$L$204,""),"")</f>
        <v/>
      </c>
      <c r="G791" s="8"/>
      <c r="H791" s="14"/>
      <c r="I791" s="14"/>
      <c r="J791" s="15" t="str">
        <f>IF(H791="","",H791*SETTINGS!$B$9)</f>
        <v/>
      </c>
      <c r="K791" s="15" t="str">
        <f>IF(I791="","",I791*SETTINGS!$B$10)</f>
        <v/>
      </c>
      <c r="L791" s="15" t="str">
        <f t="shared" si="49"/>
        <v/>
      </c>
      <c r="M791" s="10" t="str">
        <f t="shared" si="50"/>
        <v/>
      </c>
      <c r="N791" s="10" t="str">
        <f t="shared" si="51"/>
        <v/>
      </c>
      <c r="O791" s="8"/>
    </row>
    <row r="792" spans="1:15" x14ac:dyDescent="0.2">
      <c r="A792" s="10" t="str">
        <f t="shared" si="48"/>
        <v/>
      </c>
      <c r="B792" s="8"/>
      <c r="C792" s="8"/>
      <c r="D792" s="8"/>
      <c r="E792" s="8" t="str">
        <f ca="1">IFERROR(_xludf.XLOOKUP(D792,STUDENTS!$A$5:$A$204,STUDENTS!$C$5:$C$204,""),"")</f>
        <v/>
      </c>
      <c r="F792" s="8" t="str">
        <f ca="1">IFERROR(_xludf.XLOOKUP(D792,STUDENTS!$A$5:$A$204,STUDENTS!$L$5:$L$204,""),"")</f>
        <v/>
      </c>
      <c r="G792" s="8"/>
      <c r="H792" s="14"/>
      <c r="I792" s="14"/>
      <c r="J792" s="15" t="str">
        <f>IF(H792="","",H792*SETTINGS!$B$9)</f>
        <v/>
      </c>
      <c r="K792" s="15" t="str">
        <f>IF(I792="","",I792*SETTINGS!$B$10)</f>
        <v/>
      </c>
      <c r="L792" s="15" t="str">
        <f t="shared" si="49"/>
        <v/>
      </c>
      <c r="M792" s="10" t="str">
        <f t="shared" si="50"/>
        <v/>
      </c>
      <c r="N792" s="10" t="str">
        <f t="shared" si="51"/>
        <v/>
      </c>
      <c r="O792" s="8"/>
    </row>
    <row r="793" spans="1:15" x14ac:dyDescent="0.2">
      <c r="A793" s="10" t="str">
        <f t="shared" si="48"/>
        <v/>
      </c>
      <c r="B793" s="8"/>
      <c r="C793" s="8"/>
      <c r="D793" s="8"/>
      <c r="E793" s="8" t="str">
        <f ca="1">IFERROR(_xludf.XLOOKUP(D793,STUDENTS!$A$5:$A$204,STUDENTS!$C$5:$C$204,""),"")</f>
        <v/>
      </c>
      <c r="F793" s="8" t="str">
        <f ca="1">IFERROR(_xludf.XLOOKUP(D793,STUDENTS!$A$5:$A$204,STUDENTS!$L$5:$L$204,""),"")</f>
        <v/>
      </c>
      <c r="G793" s="8"/>
      <c r="H793" s="14"/>
      <c r="I793" s="14"/>
      <c r="J793" s="15" t="str">
        <f>IF(H793="","",H793*SETTINGS!$B$9)</f>
        <v/>
      </c>
      <c r="K793" s="15" t="str">
        <f>IF(I793="","",I793*SETTINGS!$B$10)</f>
        <v/>
      </c>
      <c r="L793" s="15" t="str">
        <f t="shared" si="49"/>
        <v/>
      </c>
      <c r="M793" s="10" t="str">
        <f t="shared" si="50"/>
        <v/>
      </c>
      <c r="N793" s="10" t="str">
        <f t="shared" si="51"/>
        <v/>
      </c>
      <c r="O793" s="8"/>
    </row>
    <row r="794" spans="1:15" x14ac:dyDescent="0.2">
      <c r="A794" s="10" t="str">
        <f t="shared" si="48"/>
        <v/>
      </c>
      <c r="B794" s="8"/>
      <c r="C794" s="8"/>
      <c r="D794" s="8"/>
      <c r="E794" s="8" t="str">
        <f ca="1">IFERROR(_xludf.XLOOKUP(D794,STUDENTS!$A$5:$A$204,STUDENTS!$C$5:$C$204,""),"")</f>
        <v/>
      </c>
      <c r="F794" s="8" t="str">
        <f ca="1">IFERROR(_xludf.XLOOKUP(D794,STUDENTS!$A$5:$A$204,STUDENTS!$L$5:$L$204,""),"")</f>
        <v/>
      </c>
      <c r="G794" s="8"/>
      <c r="H794" s="14"/>
      <c r="I794" s="14"/>
      <c r="J794" s="15" t="str">
        <f>IF(H794="","",H794*SETTINGS!$B$9)</f>
        <v/>
      </c>
      <c r="K794" s="15" t="str">
        <f>IF(I794="","",I794*SETTINGS!$B$10)</f>
        <v/>
      </c>
      <c r="L794" s="15" t="str">
        <f t="shared" si="49"/>
        <v/>
      </c>
      <c r="M794" s="10" t="str">
        <f t="shared" si="50"/>
        <v/>
      </c>
      <c r="N794" s="10" t="str">
        <f t="shared" si="51"/>
        <v/>
      </c>
      <c r="O794" s="8"/>
    </row>
    <row r="795" spans="1:15" x14ac:dyDescent="0.2">
      <c r="A795" s="10" t="str">
        <f t="shared" si="48"/>
        <v/>
      </c>
      <c r="B795" s="8"/>
      <c r="C795" s="8"/>
      <c r="D795" s="8"/>
      <c r="E795" s="8" t="str">
        <f ca="1">IFERROR(_xludf.XLOOKUP(D795,STUDENTS!$A$5:$A$204,STUDENTS!$C$5:$C$204,""),"")</f>
        <v/>
      </c>
      <c r="F795" s="8" t="str">
        <f ca="1">IFERROR(_xludf.XLOOKUP(D795,STUDENTS!$A$5:$A$204,STUDENTS!$L$5:$L$204,""),"")</f>
        <v/>
      </c>
      <c r="G795" s="8"/>
      <c r="H795" s="14"/>
      <c r="I795" s="14"/>
      <c r="J795" s="15" t="str">
        <f>IF(H795="","",H795*SETTINGS!$B$9)</f>
        <v/>
      </c>
      <c r="K795" s="15" t="str">
        <f>IF(I795="","",I795*SETTINGS!$B$10)</f>
        <v/>
      </c>
      <c r="L795" s="15" t="str">
        <f t="shared" si="49"/>
        <v/>
      </c>
      <c r="M795" s="10" t="str">
        <f t="shared" si="50"/>
        <v/>
      </c>
      <c r="N795" s="10" t="str">
        <f t="shared" si="51"/>
        <v/>
      </c>
      <c r="O795" s="8"/>
    </row>
    <row r="796" spans="1:15" x14ac:dyDescent="0.2">
      <c r="A796" s="10" t="str">
        <f t="shared" si="48"/>
        <v/>
      </c>
      <c r="B796" s="8"/>
      <c r="C796" s="8"/>
      <c r="D796" s="8"/>
      <c r="E796" s="8" t="str">
        <f ca="1">IFERROR(_xludf.XLOOKUP(D796,STUDENTS!$A$5:$A$204,STUDENTS!$C$5:$C$204,""),"")</f>
        <v/>
      </c>
      <c r="F796" s="8" t="str">
        <f ca="1">IFERROR(_xludf.XLOOKUP(D796,STUDENTS!$A$5:$A$204,STUDENTS!$L$5:$L$204,""),"")</f>
        <v/>
      </c>
      <c r="G796" s="8"/>
      <c r="H796" s="14"/>
      <c r="I796" s="14"/>
      <c r="J796" s="15" t="str">
        <f>IF(H796="","",H796*SETTINGS!$B$9)</f>
        <v/>
      </c>
      <c r="K796" s="15" t="str">
        <f>IF(I796="","",I796*SETTINGS!$B$10)</f>
        <v/>
      </c>
      <c r="L796" s="15" t="str">
        <f t="shared" si="49"/>
        <v/>
      </c>
      <c r="M796" s="10" t="str">
        <f t="shared" si="50"/>
        <v/>
      </c>
      <c r="N796" s="10" t="str">
        <f t="shared" si="51"/>
        <v/>
      </c>
      <c r="O796" s="8"/>
    </row>
    <row r="797" spans="1:15" x14ac:dyDescent="0.2">
      <c r="A797" s="10" t="str">
        <f t="shared" si="48"/>
        <v/>
      </c>
      <c r="B797" s="8"/>
      <c r="C797" s="8"/>
      <c r="D797" s="8"/>
      <c r="E797" s="8" t="str">
        <f ca="1">IFERROR(_xludf.XLOOKUP(D797,STUDENTS!$A$5:$A$204,STUDENTS!$C$5:$C$204,""),"")</f>
        <v/>
      </c>
      <c r="F797" s="8" t="str">
        <f ca="1">IFERROR(_xludf.XLOOKUP(D797,STUDENTS!$A$5:$A$204,STUDENTS!$L$5:$L$204,""),"")</f>
        <v/>
      </c>
      <c r="G797" s="8"/>
      <c r="H797" s="14"/>
      <c r="I797" s="14"/>
      <c r="J797" s="15" t="str">
        <f>IF(H797="","",H797*SETTINGS!$B$9)</f>
        <v/>
      </c>
      <c r="K797" s="15" t="str">
        <f>IF(I797="","",I797*SETTINGS!$B$10)</f>
        <v/>
      </c>
      <c r="L797" s="15" t="str">
        <f t="shared" si="49"/>
        <v/>
      </c>
      <c r="M797" s="10" t="str">
        <f t="shared" si="50"/>
        <v/>
      </c>
      <c r="N797" s="10" t="str">
        <f t="shared" si="51"/>
        <v/>
      </c>
      <c r="O797" s="8"/>
    </row>
    <row r="798" spans="1:15" x14ac:dyDescent="0.2">
      <c r="A798" s="10" t="str">
        <f t="shared" si="48"/>
        <v/>
      </c>
      <c r="B798" s="8"/>
      <c r="C798" s="8"/>
      <c r="D798" s="8"/>
      <c r="E798" s="8" t="str">
        <f ca="1">IFERROR(_xludf.XLOOKUP(D798,STUDENTS!$A$5:$A$204,STUDENTS!$C$5:$C$204,""),"")</f>
        <v/>
      </c>
      <c r="F798" s="8" t="str">
        <f ca="1">IFERROR(_xludf.XLOOKUP(D798,STUDENTS!$A$5:$A$204,STUDENTS!$L$5:$L$204,""),"")</f>
        <v/>
      </c>
      <c r="G798" s="8"/>
      <c r="H798" s="14"/>
      <c r="I798" s="14"/>
      <c r="J798" s="15" t="str">
        <f>IF(H798="","",H798*SETTINGS!$B$9)</f>
        <v/>
      </c>
      <c r="K798" s="15" t="str">
        <f>IF(I798="","",I798*SETTINGS!$B$10)</f>
        <v/>
      </c>
      <c r="L798" s="15" t="str">
        <f t="shared" si="49"/>
        <v/>
      </c>
      <c r="M798" s="10" t="str">
        <f t="shared" si="50"/>
        <v/>
      </c>
      <c r="N798" s="10" t="str">
        <f t="shared" si="51"/>
        <v/>
      </c>
      <c r="O798" s="8"/>
    </row>
    <row r="799" spans="1:15" x14ac:dyDescent="0.2">
      <c r="A799" s="10" t="str">
        <f t="shared" si="48"/>
        <v/>
      </c>
      <c r="B799" s="8"/>
      <c r="C799" s="8"/>
      <c r="D799" s="8"/>
      <c r="E799" s="8" t="str">
        <f ca="1">IFERROR(_xludf.XLOOKUP(D799,STUDENTS!$A$5:$A$204,STUDENTS!$C$5:$C$204,""),"")</f>
        <v/>
      </c>
      <c r="F799" s="8" t="str">
        <f ca="1">IFERROR(_xludf.XLOOKUP(D799,STUDENTS!$A$5:$A$204,STUDENTS!$L$5:$L$204,""),"")</f>
        <v/>
      </c>
      <c r="G799" s="8"/>
      <c r="H799" s="14"/>
      <c r="I799" s="14"/>
      <c r="J799" s="15" t="str">
        <f>IF(H799="","",H799*SETTINGS!$B$9)</f>
        <v/>
      </c>
      <c r="K799" s="15" t="str">
        <f>IF(I799="","",I799*SETTINGS!$B$10)</f>
        <v/>
      </c>
      <c r="L799" s="15" t="str">
        <f t="shared" si="49"/>
        <v/>
      </c>
      <c r="M799" s="10" t="str">
        <f t="shared" si="50"/>
        <v/>
      </c>
      <c r="N799" s="10" t="str">
        <f t="shared" si="51"/>
        <v/>
      </c>
      <c r="O799" s="8"/>
    </row>
    <row r="800" spans="1:15" x14ac:dyDescent="0.2">
      <c r="A800" s="10" t="str">
        <f t="shared" si="48"/>
        <v/>
      </c>
      <c r="B800" s="8"/>
      <c r="C800" s="8"/>
      <c r="D800" s="8"/>
      <c r="E800" s="8" t="str">
        <f ca="1">IFERROR(_xludf.XLOOKUP(D800,STUDENTS!$A$5:$A$204,STUDENTS!$C$5:$C$204,""),"")</f>
        <v/>
      </c>
      <c r="F800" s="8" t="str">
        <f ca="1">IFERROR(_xludf.XLOOKUP(D800,STUDENTS!$A$5:$A$204,STUDENTS!$L$5:$L$204,""),"")</f>
        <v/>
      </c>
      <c r="G800" s="8"/>
      <c r="H800" s="14"/>
      <c r="I800" s="14"/>
      <c r="J800" s="15" t="str">
        <f>IF(H800="","",H800*SETTINGS!$B$9)</f>
        <v/>
      </c>
      <c r="K800" s="15" t="str">
        <f>IF(I800="","",I800*SETTINGS!$B$10)</f>
        <v/>
      </c>
      <c r="L800" s="15" t="str">
        <f t="shared" si="49"/>
        <v/>
      </c>
      <c r="M800" s="10" t="str">
        <f t="shared" si="50"/>
        <v/>
      </c>
      <c r="N800" s="10" t="str">
        <f t="shared" si="51"/>
        <v/>
      </c>
      <c r="O800" s="8"/>
    </row>
    <row r="801" spans="1:15" x14ac:dyDescent="0.2">
      <c r="A801" s="10" t="str">
        <f t="shared" si="48"/>
        <v/>
      </c>
      <c r="B801" s="8"/>
      <c r="C801" s="8"/>
      <c r="D801" s="8"/>
      <c r="E801" s="8" t="str">
        <f ca="1">IFERROR(_xludf.XLOOKUP(D801,STUDENTS!$A$5:$A$204,STUDENTS!$C$5:$C$204,""),"")</f>
        <v/>
      </c>
      <c r="F801" s="8" t="str">
        <f ca="1">IFERROR(_xludf.XLOOKUP(D801,STUDENTS!$A$5:$A$204,STUDENTS!$L$5:$L$204,""),"")</f>
        <v/>
      </c>
      <c r="G801" s="8"/>
      <c r="H801" s="14"/>
      <c r="I801" s="14"/>
      <c r="J801" s="15" t="str">
        <f>IF(H801="","",H801*SETTINGS!$B$9)</f>
        <v/>
      </c>
      <c r="K801" s="15" t="str">
        <f>IF(I801="","",I801*SETTINGS!$B$10)</f>
        <v/>
      </c>
      <c r="L801" s="15" t="str">
        <f t="shared" si="49"/>
        <v/>
      </c>
      <c r="M801" s="10" t="str">
        <f t="shared" si="50"/>
        <v/>
      </c>
      <c r="N801" s="10" t="str">
        <f t="shared" si="51"/>
        <v/>
      </c>
      <c r="O801" s="8"/>
    </row>
    <row r="802" spans="1:15" x14ac:dyDescent="0.2">
      <c r="A802" s="10" t="str">
        <f t="shared" si="48"/>
        <v/>
      </c>
      <c r="B802" s="8"/>
      <c r="C802" s="8"/>
      <c r="D802" s="8"/>
      <c r="E802" s="8" t="str">
        <f ca="1">IFERROR(_xludf.XLOOKUP(D802,STUDENTS!$A$5:$A$204,STUDENTS!$C$5:$C$204,""),"")</f>
        <v/>
      </c>
      <c r="F802" s="8" t="str">
        <f ca="1">IFERROR(_xludf.XLOOKUP(D802,STUDENTS!$A$5:$A$204,STUDENTS!$L$5:$L$204,""),"")</f>
        <v/>
      </c>
      <c r="G802" s="8"/>
      <c r="H802" s="14"/>
      <c r="I802" s="14"/>
      <c r="J802" s="15" t="str">
        <f>IF(H802="","",H802*SETTINGS!$B$9)</f>
        <v/>
      </c>
      <c r="K802" s="15" t="str">
        <f>IF(I802="","",I802*SETTINGS!$B$10)</f>
        <v/>
      </c>
      <c r="L802" s="15" t="str">
        <f t="shared" si="49"/>
        <v/>
      </c>
      <c r="M802" s="10" t="str">
        <f t="shared" si="50"/>
        <v/>
      </c>
      <c r="N802" s="10" t="str">
        <f t="shared" si="51"/>
        <v/>
      </c>
      <c r="O802" s="8"/>
    </row>
    <row r="803" spans="1:15" x14ac:dyDescent="0.2">
      <c r="A803" s="10" t="str">
        <f t="shared" si="48"/>
        <v/>
      </c>
      <c r="B803" s="8"/>
      <c r="C803" s="8"/>
      <c r="D803" s="8"/>
      <c r="E803" s="8" t="str">
        <f ca="1">IFERROR(_xludf.XLOOKUP(D803,STUDENTS!$A$5:$A$204,STUDENTS!$C$5:$C$204,""),"")</f>
        <v/>
      </c>
      <c r="F803" s="8" t="str">
        <f ca="1">IFERROR(_xludf.XLOOKUP(D803,STUDENTS!$A$5:$A$204,STUDENTS!$L$5:$L$204,""),"")</f>
        <v/>
      </c>
      <c r="G803" s="8"/>
      <c r="H803" s="14"/>
      <c r="I803" s="14"/>
      <c r="J803" s="15" t="str">
        <f>IF(H803="","",H803*SETTINGS!$B$9)</f>
        <v/>
      </c>
      <c r="K803" s="15" t="str">
        <f>IF(I803="","",I803*SETTINGS!$B$10)</f>
        <v/>
      </c>
      <c r="L803" s="15" t="str">
        <f t="shared" si="49"/>
        <v/>
      </c>
      <c r="M803" s="10" t="str">
        <f t="shared" si="50"/>
        <v/>
      </c>
      <c r="N803" s="10" t="str">
        <f t="shared" si="51"/>
        <v/>
      </c>
      <c r="O803" s="8"/>
    </row>
    <row r="804" spans="1:15" x14ac:dyDescent="0.2">
      <c r="A804" s="10" t="str">
        <f t="shared" si="48"/>
        <v/>
      </c>
      <c r="B804" s="8"/>
      <c r="C804" s="8"/>
      <c r="D804" s="8"/>
      <c r="E804" s="8" t="str">
        <f ca="1">IFERROR(_xludf.XLOOKUP(D804,STUDENTS!$A$5:$A$204,STUDENTS!$C$5:$C$204,""),"")</f>
        <v/>
      </c>
      <c r="F804" s="8" t="str">
        <f ca="1">IFERROR(_xludf.XLOOKUP(D804,STUDENTS!$A$5:$A$204,STUDENTS!$L$5:$L$204,""),"")</f>
        <v/>
      </c>
      <c r="G804" s="8"/>
      <c r="H804" s="14"/>
      <c r="I804" s="14"/>
      <c r="J804" s="15" t="str">
        <f>IF(H804="","",H804*SETTINGS!$B$9)</f>
        <v/>
      </c>
      <c r="K804" s="15" t="str">
        <f>IF(I804="","",I804*SETTINGS!$B$10)</f>
        <v/>
      </c>
      <c r="L804" s="15" t="str">
        <f t="shared" si="49"/>
        <v/>
      </c>
      <c r="M804" s="10" t="str">
        <f t="shared" si="50"/>
        <v/>
      </c>
      <c r="N804" s="10" t="str">
        <f t="shared" si="51"/>
        <v/>
      </c>
      <c r="O804" s="8"/>
    </row>
    <row r="805" spans="1:15" x14ac:dyDescent="0.2">
      <c r="A805" s="10" t="str">
        <f t="shared" si="48"/>
        <v/>
      </c>
      <c r="B805" s="8"/>
      <c r="C805" s="8"/>
      <c r="D805" s="8"/>
      <c r="E805" s="8" t="str">
        <f ca="1">IFERROR(_xludf.XLOOKUP(D805,STUDENTS!$A$5:$A$204,STUDENTS!$C$5:$C$204,""),"")</f>
        <v/>
      </c>
      <c r="F805" s="8" t="str">
        <f ca="1">IFERROR(_xludf.XLOOKUP(D805,STUDENTS!$A$5:$A$204,STUDENTS!$L$5:$L$204,""),"")</f>
        <v/>
      </c>
      <c r="G805" s="8"/>
      <c r="H805" s="14"/>
      <c r="I805" s="14"/>
      <c r="J805" s="15" t="str">
        <f>IF(H805="","",H805*SETTINGS!$B$9)</f>
        <v/>
      </c>
      <c r="K805" s="15" t="str">
        <f>IF(I805="","",I805*SETTINGS!$B$10)</f>
        <v/>
      </c>
      <c r="L805" s="15" t="str">
        <f t="shared" si="49"/>
        <v/>
      </c>
      <c r="M805" s="10" t="str">
        <f t="shared" si="50"/>
        <v/>
      </c>
      <c r="N805" s="10" t="str">
        <f t="shared" si="51"/>
        <v/>
      </c>
      <c r="O805" s="8"/>
    </row>
    <row r="806" spans="1:15" x14ac:dyDescent="0.2">
      <c r="A806" s="10" t="str">
        <f t="shared" si="48"/>
        <v/>
      </c>
      <c r="B806" s="8"/>
      <c r="C806" s="8"/>
      <c r="D806" s="8"/>
      <c r="E806" s="8" t="str">
        <f ca="1">IFERROR(_xludf.XLOOKUP(D806,STUDENTS!$A$5:$A$204,STUDENTS!$C$5:$C$204,""),"")</f>
        <v/>
      </c>
      <c r="F806" s="8" t="str">
        <f ca="1">IFERROR(_xludf.XLOOKUP(D806,STUDENTS!$A$5:$A$204,STUDENTS!$L$5:$L$204,""),"")</f>
        <v/>
      </c>
      <c r="G806" s="8"/>
      <c r="H806" s="14"/>
      <c r="I806" s="14"/>
      <c r="J806" s="15" t="str">
        <f>IF(H806="","",H806*SETTINGS!$B$9)</f>
        <v/>
      </c>
      <c r="K806" s="15" t="str">
        <f>IF(I806="","",I806*SETTINGS!$B$10)</f>
        <v/>
      </c>
      <c r="L806" s="15" t="str">
        <f t="shared" si="49"/>
        <v/>
      </c>
      <c r="M806" s="10" t="str">
        <f t="shared" si="50"/>
        <v/>
      </c>
      <c r="N806" s="10" t="str">
        <f t="shared" si="51"/>
        <v/>
      </c>
      <c r="O806" s="8"/>
    </row>
    <row r="807" spans="1:15" x14ac:dyDescent="0.2">
      <c r="A807" s="10" t="str">
        <f t="shared" si="48"/>
        <v/>
      </c>
      <c r="B807" s="8"/>
      <c r="C807" s="8"/>
      <c r="D807" s="8"/>
      <c r="E807" s="8" t="str">
        <f ca="1">IFERROR(_xludf.XLOOKUP(D807,STUDENTS!$A$5:$A$204,STUDENTS!$C$5:$C$204,""),"")</f>
        <v/>
      </c>
      <c r="F807" s="8" t="str">
        <f ca="1">IFERROR(_xludf.XLOOKUP(D807,STUDENTS!$A$5:$A$204,STUDENTS!$L$5:$L$204,""),"")</f>
        <v/>
      </c>
      <c r="G807" s="8"/>
      <c r="H807" s="14"/>
      <c r="I807" s="14"/>
      <c r="J807" s="15" t="str">
        <f>IF(H807="","",H807*SETTINGS!$B$9)</f>
        <v/>
      </c>
      <c r="K807" s="15" t="str">
        <f>IF(I807="","",I807*SETTINGS!$B$10)</f>
        <v/>
      </c>
      <c r="L807" s="15" t="str">
        <f t="shared" si="49"/>
        <v/>
      </c>
      <c r="M807" s="10" t="str">
        <f t="shared" si="50"/>
        <v/>
      </c>
      <c r="N807" s="10" t="str">
        <f t="shared" si="51"/>
        <v/>
      </c>
      <c r="O807" s="8"/>
    </row>
    <row r="808" spans="1:15" x14ac:dyDescent="0.2">
      <c r="A808" s="10" t="str">
        <f t="shared" si="48"/>
        <v/>
      </c>
      <c r="B808" s="8"/>
      <c r="C808" s="8"/>
      <c r="D808" s="8"/>
      <c r="E808" s="8" t="str">
        <f ca="1">IFERROR(_xludf.XLOOKUP(D808,STUDENTS!$A$5:$A$204,STUDENTS!$C$5:$C$204,""),"")</f>
        <v/>
      </c>
      <c r="F808" s="8" t="str">
        <f ca="1">IFERROR(_xludf.XLOOKUP(D808,STUDENTS!$A$5:$A$204,STUDENTS!$L$5:$L$204,""),"")</f>
        <v/>
      </c>
      <c r="G808" s="8"/>
      <c r="H808" s="14"/>
      <c r="I808" s="14"/>
      <c r="J808" s="15" t="str">
        <f>IF(H808="","",H808*SETTINGS!$B$9)</f>
        <v/>
      </c>
      <c r="K808" s="15" t="str">
        <f>IF(I808="","",I808*SETTINGS!$B$10)</f>
        <v/>
      </c>
      <c r="L808" s="15" t="str">
        <f t="shared" si="49"/>
        <v/>
      </c>
      <c r="M808" s="10" t="str">
        <f t="shared" si="50"/>
        <v/>
      </c>
      <c r="N808" s="10" t="str">
        <f t="shared" si="51"/>
        <v/>
      </c>
      <c r="O808" s="8"/>
    </row>
    <row r="809" spans="1:15" x14ac:dyDescent="0.2">
      <c r="A809" s="10" t="str">
        <f t="shared" si="48"/>
        <v/>
      </c>
      <c r="B809" s="8"/>
      <c r="C809" s="8"/>
      <c r="D809" s="8"/>
      <c r="E809" s="8" t="str">
        <f ca="1">IFERROR(_xludf.XLOOKUP(D809,STUDENTS!$A$5:$A$204,STUDENTS!$C$5:$C$204,""),"")</f>
        <v/>
      </c>
      <c r="F809" s="8" t="str">
        <f ca="1">IFERROR(_xludf.XLOOKUP(D809,STUDENTS!$A$5:$A$204,STUDENTS!$L$5:$L$204,""),"")</f>
        <v/>
      </c>
      <c r="G809" s="8"/>
      <c r="H809" s="14"/>
      <c r="I809" s="14"/>
      <c r="J809" s="15" t="str">
        <f>IF(H809="","",H809*SETTINGS!$B$9)</f>
        <v/>
      </c>
      <c r="K809" s="15" t="str">
        <f>IF(I809="","",I809*SETTINGS!$B$10)</f>
        <v/>
      </c>
      <c r="L809" s="15" t="str">
        <f t="shared" si="49"/>
        <v/>
      </c>
      <c r="M809" s="10" t="str">
        <f t="shared" si="50"/>
        <v/>
      </c>
      <c r="N809" s="10" t="str">
        <f t="shared" si="51"/>
        <v/>
      </c>
      <c r="O809" s="8"/>
    </row>
    <row r="810" spans="1:15" x14ac:dyDescent="0.2">
      <c r="A810" s="10" t="str">
        <f t="shared" si="48"/>
        <v/>
      </c>
      <c r="B810" s="8"/>
      <c r="C810" s="8"/>
      <c r="D810" s="8"/>
      <c r="E810" s="8" t="str">
        <f ca="1">IFERROR(_xludf.XLOOKUP(D810,STUDENTS!$A$5:$A$204,STUDENTS!$C$5:$C$204,""),"")</f>
        <v/>
      </c>
      <c r="F810" s="8" t="str">
        <f ca="1">IFERROR(_xludf.XLOOKUP(D810,STUDENTS!$A$5:$A$204,STUDENTS!$L$5:$L$204,""),"")</f>
        <v/>
      </c>
      <c r="G810" s="8"/>
      <c r="H810" s="14"/>
      <c r="I810" s="14"/>
      <c r="J810" s="15" t="str">
        <f>IF(H810="","",H810*SETTINGS!$B$9)</f>
        <v/>
      </c>
      <c r="K810" s="15" t="str">
        <f>IF(I810="","",I810*SETTINGS!$B$10)</f>
        <v/>
      </c>
      <c r="L810" s="15" t="str">
        <f t="shared" si="49"/>
        <v/>
      </c>
      <c r="M810" s="10" t="str">
        <f t="shared" si="50"/>
        <v/>
      </c>
      <c r="N810" s="10" t="str">
        <f t="shared" si="51"/>
        <v/>
      </c>
      <c r="O810" s="8"/>
    </row>
    <row r="811" spans="1:15" x14ac:dyDescent="0.2">
      <c r="A811" s="10" t="str">
        <f t="shared" si="48"/>
        <v/>
      </c>
      <c r="B811" s="8"/>
      <c r="C811" s="8"/>
      <c r="D811" s="8"/>
      <c r="E811" s="8" t="str">
        <f ca="1">IFERROR(_xludf.XLOOKUP(D811,STUDENTS!$A$5:$A$204,STUDENTS!$C$5:$C$204,""),"")</f>
        <v/>
      </c>
      <c r="F811" s="8" t="str">
        <f ca="1">IFERROR(_xludf.XLOOKUP(D811,STUDENTS!$A$5:$A$204,STUDENTS!$L$5:$L$204,""),"")</f>
        <v/>
      </c>
      <c r="G811" s="8"/>
      <c r="H811" s="14"/>
      <c r="I811" s="14"/>
      <c r="J811" s="15" t="str">
        <f>IF(H811="","",H811*SETTINGS!$B$9)</f>
        <v/>
      </c>
      <c r="K811" s="15" t="str">
        <f>IF(I811="","",I811*SETTINGS!$B$10)</f>
        <v/>
      </c>
      <c r="L811" s="15" t="str">
        <f t="shared" si="49"/>
        <v/>
      </c>
      <c r="M811" s="10" t="str">
        <f t="shared" si="50"/>
        <v/>
      </c>
      <c r="N811" s="10" t="str">
        <f t="shared" si="51"/>
        <v/>
      </c>
      <c r="O811" s="8"/>
    </row>
    <row r="812" spans="1:15" x14ac:dyDescent="0.2">
      <c r="A812" s="10" t="str">
        <f t="shared" si="48"/>
        <v/>
      </c>
      <c r="B812" s="8"/>
      <c r="C812" s="8"/>
      <c r="D812" s="8"/>
      <c r="E812" s="8" t="str">
        <f ca="1">IFERROR(_xludf.XLOOKUP(D812,STUDENTS!$A$5:$A$204,STUDENTS!$C$5:$C$204,""),"")</f>
        <v/>
      </c>
      <c r="F812" s="8" t="str">
        <f ca="1">IFERROR(_xludf.XLOOKUP(D812,STUDENTS!$A$5:$A$204,STUDENTS!$L$5:$L$204,""),"")</f>
        <v/>
      </c>
      <c r="G812" s="8"/>
      <c r="H812" s="14"/>
      <c r="I812" s="14"/>
      <c r="J812" s="15" t="str">
        <f>IF(H812="","",H812*SETTINGS!$B$9)</f>
        <v/>
      </c>
      <c r="K812" s="15" t="str">
        <f>IF(I812="","",I812*SETTINGS!$B$10)</f>
        <v/>
      </c>
      <c r="L812" s="15" t="str">
        <f t="shared" si="49"/>
        <v/>
      </c>
      <c r="M812" s="10" t="str">
        <f t="shared" si="50"/>
        <v/>
      </c>
      <c r="N812" s="10" t="str">
        <f t="shared" si="51"/>
        <v/>
      </c>
      <c r="O812" s="8"/>
    </row>
    <row r="813" spans="1:15" x14ac:dyDescent="0.2">
      <c r="A813" s="10" t="str">
        <f t="shared" si="48"/>
        <v/>
      </c>
      <c r="B813" s="8"/>
      <c r="C813" s="8"/>
      <c r="D813" s="8"/>
      <c r="E813" s="8" t="str">
        <f ca="1">IFERROR(_xludf.XLOOKUP(D813,STUDENTS!$A$5:$A$204,STUDENTS!$C$5:$C$204,""),"")</f>
        <v/>
      </c>
      <c r="F813" s="8" t="str">
        <f ca="1">IFERROR(_xludf.XLOOKUP(D813,STUDENTS!$A$5:$A$204,STUDENTS!$L$5:$L$204,""),"")</f>
        <v/>
      </c>
      <c r="G813" s="8"/>
      <c r="H813" s="14"/>
      <c r="I813" s="14"/>
      <c r="J813" s="15" t="str">
        <f>IF(H813="","",H813*SETTINGS!$B$9)</f>
        <v/>
      </c>
      <c r="K813" s="15" t="str">
        <f>IF(I813="","",I813*SETTINGS!$B$10)</f>
        <v/>
      </c>
      <c r="L813" s="15" t="str">
        <f t="shared" si="49"/>
        <v/>
      </c>
      <c r="M813" s="10" t="str">
        <f t="shared" si="50"/>
        <v/>
      </c>
      <c r="N813" s="10" t="str">
        <f t="shared" si="51"/>
        <v/>
      </c>
      <c r="O813" s="8"/>
    </row>
    <row r="814" spans="1:15" x14ac:dyDescent="0.2">
      <c r="A814" s="10" t="str">
        <f t="shared" si="48"/>
        <v/>
      </c>
      <c r="B814" s="8"/>
      <c r="C814" s="8"/>
      <c r="D814" s="8"/>
      <c r="E814" s="8" t="str">
        <f ca="1">IFERROR(_xludf.XLOOKUP(D814,STUDENTS!$A$5:$A$204,STUDENTS!$C$5:$C$204,""),"")</f>
        <v/>
      </c>
      <c r="F814" s="8" t="str">
        <f ca="1">IFERROR(_xludf.XLOOKUP(D814,STUDENTS!$A$5:$A$204,STUDENTS!$L$5:$L$204,""),"")</f>
        <v/>
      </c>
      <c r="G814" s="8"/>
      <c r="H814" s="14"/>
      <c r="I814" s="14"/>
      <c r="J814" s="15" t="str">
        <f>IF(H814="","",H814*SETTINGS!$B$9)</f>
        <v/>
      </c>
      <c r="K814" s="15" t="str">
        <f>IF(I814="","",I814*SETTINGS!$B$10)</f>
        <v/>
      </c>
      <c r="L814" s="15" t="str">
        <f t="shared" si="49"/>
        <v/>
      </c>
      <c r="M814" s="10" t="str">
        <f t="shared" si="50"/>
        <v/>
      </c>
      <c r="N814" s="10" t="str">
        <f t="shared" si="51"/>
        <v/>
      </c>
      <c r="O814" s="8"/>
    </row>
    <row r="815" spans="1:15" x14ac:dyDescent="0.2">
      <c r="A815" s="10" t="str">
        <f t="shared" si="48"/>
        <v/>
      </c>
      <c r="B815" s="8"/>
      <c r="C815" s="8"/>
      <c r="D815" s="8"/>
      <c r="E815" s="8" t="str">
        <f ca="1">IFERROR(_xludf.XLOOKUP(D815,STUDENTS!$A$5:$A$204,STUDENTS!$C$5:$C$204,""),"")</f>
        <v/>
      </c>
      <c r="F815" s="8" t="str">
        <f ca="1">IFERROR(_xludf.XLOOKUP(D815,STUDENTS!$A$5:$A$204,STUDENTS!$L$5:$L$204,""),"")</f>
        <v/>
      </c>
      <c r="G815" s="8"/>
      <c r="H815" s="14"/>
      <c r="I815" s="14"/>
      <c r="J815" s="15" t="str">
        <f>IF(H815="","",H815*SETTINGS!$B$9)</f>
        <v/>
      </c>
      <c r="K815" s="15" t="str">
        <f>IF(I815="","",I815*SETTINGS!$B$10)</f>
        <v/>
      </c>
      <c r="L815" s="15" t="str">
        <f t="shared" si="49"/>
        <v/>
      </c>
      <c r="M815" s="10" t="str">
        <f t="shared" si="50"/>
        <v/>
      </c>
      <c r="N815" s="10" t="str">
        <f t="shared" si="51"/>
        <v/>
      </c>
      <c r="O815" s="8"/>
    </row>
    <row r="816" spans="1:15" x14ac:dyDescent="0.2">
      <c r="A816" s="10" t="str">
        <f t="shared" si="48"/>
        <v/>
      </c>
      <c r="B816" s="8"/>
      <c r="C816" s="8"/>
      <c r="D816" s="8"/>
      <c r="E816" s="8" t="str">
        <f ca="1">IFERROR(_xludf.XLOOKUP(D816,STUDENTS!$A$5:$A$204,STUDENTS!$C$5:$C$204,""),"")</f>
        <v/>
      </c>
      <c r="F816" s="8" t="str">
        <f ca="1">IFERROR(_xludf.XLOOKUP(D816,STUDENTS!$A$5:$A$204,STUDENTS!$L$5:$L$204,""),"")</f>
        <v/>
      </c>
      <c r="G816" s="8"/>
      <c r="H816" s="14"/>
      <c r="I816" s="14"/>
      <c r="J816" s="15" t="str">
        <f>IF(H816="","",H816*SETTINGS!$B$9)</f>
        <v/>
      </c>
      <c r="K816" s="15" t="str">
        <f>IF(I816="","",I816*SETTINGS!$B$10)</f>
        <v/>
      </c>
      <c r="L816" s="15" t="str">
        <f t="shared" si="49"/>
        <v/>
      </c>
      <c r="M816" s="10" t="str">
        <f t="shared" si="50"/>
        <v/>
      </c>
      <c r="N816" s="10" t="str">
        <f t="shared" si="51"/>
        <v/>
      </c>
      <c r="O816" s="8"/>
    </row>
    <row r="817" spans="1:15" x14ac:dyDescent="0.2">
      <c r="A817" s="10" t="str">
        <f t="shared" si="48"/>
        <v/>
      </c>
      <c r="B817" s="8"/>
      <c r="C817" s="8"/>
      <c r="D817" s="8"/>
      <c r="E817" s="8" t="str">
        <f ca="1">IFERROR(_xludf.XLOOKUP(D817,STUDENTS!$A$5:$A$204,STUDENTS!$C$5:$C$204,""),"")</f>
        <v/>
      </c>
      <c r="F817" s="8" t="str">
        <f ca="1">IFERROR(_xludf.XLOOKUP(D817,STUDENTS!$A$5:$A$204,STUDENTS!$L$5:$L$204,""),"")</f>
        <v/>
      </c>
      <c r="G817" s="8"/>
      <c r="H817" s="14"/>
      <c r="I817" s="14"/>
      <c r="J817" s="15" t="str">
        <f>IF(H817="","",H817*SETTINGS!$B$9)</f>
        <v/>
      </c>
      <c r="K817" s="15" t="str">
        <f>IF(I817="","",I817*SETTINGS!$B$10)</f>
        <v/>
      </c>
      <c r="L817" s="15" t="str">
        <f t="shared" si="49"/>
        <v/>
      </c>
      <c r="M817" s="10" t="str">
        <f t="shared" si="50"/>
        <v/>
      </c>
      <c r="N817" s="10" t="str">
        <f t="shared" si="51"/>
        <v/>
      </c>
      <c r="O817" s="8"/>
    </row>
    <row r="818" spans="1:15" x14ac:dyDescent="0.2">
      <c r="A818" s="10" t="str">
        <f t="shared" si="48"/>
        <v/>
      </c>
      <c r="B818" s="8"/>
      <c r="C818" s="8"/>
      <c r="D818" s="8"/>
      <c r="E818" s="8" t="str">
        <f ca="1">IFERROR(_xludf.XLOOKUP(D818,STUDENTS!$A$5:$A$204,STUDENTS!$C$5:$C$204,""),"")</f>
        <v/>
      </c>
      <c r="F818" s="8" t="str">
        <f ca="1">IFERROR(_xludf.XLOOKUP(D818,STUDENTS!$A$5:$A$204,STUDENTS!$L$5:$L$204,""),"")</f>
        <v/>
      </c>
      <c r="G818" s="8"/>
      <c r="H818" s="14"/>
      <c r="I818" s="14"/>
      <c r="J818" s="15" t="str">
        <f>IF(H818="","",H818*SETTINGS!$B$9)</f>
        <v/>
      </c>
      <c r="K818" s="15" t="str">
        <f>IF(I818="","",I818*SETTINGS!$B$10)</f>
        <v/>
      </c>
      <c r="L818" s="15" t="str">
        <f t="shared" si="49"/>
        <v/>
      </c>
      <c r="M818" s="10" t="str">
        <f t="shared" si="50"/>
        <v/>
      </c>
      <c r="N818" s="10" t="str">
        <f t="shared" si="51"/>
        <v/>
      </c>
      <c r="O818" s="8"/>
    </row>
    <row r="819" spans="1:15" x14ac:dyDescent="0.2">
      <c r="A819" s="10" t="str">
        <f t="shared" si="48"/>
        <v/>
      </c>
      <c r="B819" s="8"/>
      <c r="C819" s="8"/>
      <c r="D819" s="8"/>
      <c r="E819" s="8" t="str">
        <f ca="1">IFERROR(_xludf.XLOOKUP(D819,STUDENTS!$A$5:$A$204,STUDENTS!$C$5:$C$204,""),"")</f>
        <v/>
      </c>
      <c r="F819" s="8" t="str">
        <f ca="1">IFERROR(_xludf.XLOOKUP(D819,STUDENTS!$A$5:$A$204,STUDENTS!$L$5:$L$204,""),"")</f>
        <v/>
      </c>
      <c r="G819" s="8"/>
      <c r="H819" s="14"/>
      <c r="I819" s="14"/>
      <c r="J819" s="15" t="str">
        <f>IF(H819="","",H819*SETTINGS!$B$9)</f>
        <v/>
      </c>
      <c r="K819" s="15" t="str">
        <f>IF(I819="","",I819*SETTINGS!$B$10)</f>
        <v/>
      </c>
      <c r="L819" s="15" t="str">
        <f t="shared" si="49"/>
        <v/>
      </c>
      <c r="M819" s="10" t="str">
        <f t="shared" si="50"/>
        <v/>
      </c>
      <c r="N819" s="10" t="str">
        <f t="shared" si="51"/>
        <v/>
      </c>
      <c r="O819" s="8"/>
    </row>
    <row r="820" spans="1:15" x14ac:dyDescent="0.2">
      <c r="A820" s="10" t="str">
        <f t="shared" si="48"/>
        <v/>
      </c>
      <c r="B820" s="8"/>
      <c r="C820" s="8"/>
      <c r="D820" s="8"/>
      <c r="E820" s="8" t="str">
        <f ca="1">IFERROR(_xludf.XLOOKUP(D820,STUDENTS!$A$5:$A$204,STUDENTS!$C$5:$C$204,""),"")</f>
        <v/>
      </c>
      <c r="F820" s="8" t="str">
        <f ca="1">IFERROR(_xludf.XLOOKUP(D820,STUDENTS!$A$5:$A$204,STUDENTS!$L$5:$L$204,""),"")</f>
        <v/>
      </c>
      <c r="G820" s="8"/>
      <c r="H820" s="14"/>
      <c r="I820" s="14"/>
      <c r="J820" s="15" t="str">
        <f>IF(H820="","",H820*SETTINGS!$B$9)</f>
        <v/>
      </c>
      <c r="K820" s="15" t="str">
        <f>IF(I820="","",I820*SETTINGS!$B$10)</f>
        <v/>
      </c>
      <c r="L820" s="15" t="str">
        <f t="shared" si="49"/>
        <v/>
      </c>
      <c r="M820" s="10" t="str">
        <f t="shared" si="50"/>
        <v/>
      </c>
      <c r="N820" s="10" t="str">
        <f t="shared" si="51"/>
        <v/>
      </c>
      <c r="O820" s="8"/>
    </row>
    <row r="821" spans="1:15" x14ac:dyDescent="0.2">
      <c r="A821" s="10" t="str">
        <f t="shared" si="48"/>
        <v/>
      </c>
      <c r="B821" s="8"/>
      <c r="C821" s="8"/>
      <c r="D821" s="8"/>
      <c r="E821" s="8" t="str">
        <f ca="1">IFERROR(_xludf.XLOOKUP(D821,STUDENTS!$A$5:$A$204,STUDENTS!$C$5:$C$204,""),"")</f>
        <v/>
      </c>
      <c r="F821" s="8" t="str">
        <f ca="1">IFERROR(_xludf.XLOOKUP(D821,STUDENTS!$A$5:$A$204,STUDENTS!$L$5:$L$204,""),"")</f>
        <v/>
      </c>
      <c r="G821" s="8"/>
      <c r="H821" s="14"/>
      <c r="I821" s="14"/>
      <c r="J821" s="15" t="str">
        <f>IF(H821="","",H821*SETTINGS!$B$9)</f>
        <v/>
      </c>
      <c r="K821" s="15" t="str">
        <f>IF(I821="","",I821*SETTINGS!$B$10)</f>
        <v/>
      </c>
      <c r="L821" s="15" t="str">
        <f t="shared" si="49"/>
        <v/>
      </c>
      <c r="M821" s="10" t="str">
        <f t="shared" si="50"/>
        <v/>
      </c>
      <c r="N821" s="10" t="str">
        <f t="shared" si="51"/>
        <v/>
      </c>
      <c r="O821" s="8"/>
    </row>
    <row r="822" spans="1:15" x14ac:dyDescent="0.2">
      <c r="A822" s="10" t="str">
        <f t="shared" si="48"/>
        <v/>
      </c>
      <c r="B822" s="8"/>
      <c r="C822" s="8"/>
      <c r="D822" s="8"/>
      <c r="E822" s="8" t="str">
        <f ca="1">IFERROR(_xludf.XLOOKUP(D822,STUDENTS!$A$5:$A$204,STUDENTS!$C$5:$C$204,""),"")</f>
        <v/>
      </c>
      <c r="F822" s="8" t="str">
        <f ca="1">IFERROR(_xludf.XLOOKUP(D822,STUDENTS!$A$5:$A$204,STUDENTS!$L$5:$L$204,""),"")</f>
        <v/>
      </c>
      <c r="G822" s="8"/>
      <c r="H822" s="14"/>
      <c r="I822" s="14"/>
      <c r="J822" s="15" t="str">
        <f>IF(H822="","",H822*SETTINGS!$B$9)</f>
        <v/>
      </c>
      <c r="K822" s="15" t="str">
        <f>IF(I822="","",I822*SETTINGS!$B$10)</f>
        <v/>
      </c>
      <c r="L822" s="15" t="str">
        <f t="shared" si="49"/>
        <v/>
      </c>
      <c r="M822" s="10" t="str">
        <f t="shared" si="50"/>
        <v/>
      </c>
      <c r="N822" s="10" t="str">
        <f t="shared" si="51"/>
        <v/>
      </c>
      <c r="O822" s="8"/>
    </row>
    <row r="823" spans="1:15" x14ac:dyDescent="0.2">
      <c r="A823" s="10" t="str">
        <f t="shared" si="48"/>
        <v/>
      </c>
      <c r="B823" s="8"/>
      <c r="C823" s="8"/>
      <c r="D823" s="8"/>
      <c r="E823" s="8" t="str">
        <f ca="1">IFERROR(_xludf.XLOOKUP(D823,STUDENTS!$A$5:$A$204,STUDENTS!$C$5:$C$204,""),"")</f>
        <v/>
      </c>
      <c r="F823" s="8" t="str">
        <f ca="1">IFERROR(_xludf.XLOOKUP(D823,STUDENTS!$A$5:$A$204,STUDENTS!$L$5:$L$204,""),"")</f>
        <v/>
      </c>
      <c r="G823" s="8"/>
      <c r="H823" s="14"/>
      <c r="I823" s="14"/>
      <c r="J823" s="15" t="str">
        <f>IF(H823="","",H823*SETTINGS!$B$9)</f>
        <v/>
      </c>
      <c r="K823" s="15" t="str">
        <f>IF(I823="","",I823*SETTINGS!$B$10)</f>
        <v/>
      </c>
      <c r="L823" s="15" t="str">
        <f t="shared" si="49"/>
        <v/>
      </c>
      <c r="M823" s="10" t="str">
        <f t="shared" si="50"/>
        <v/>
      </c>
      <c r="N823" s="10" t="str">
        <f t="shared" si="51"/>
        <v/>
      </c>
      <c r="O823" s="8"/>
    </row>
    <row r="824" spans="1:15" x14ac:dyDescent="0.2">
      <c r="A824" s="10" t="str">
        <f t="shared" si="48"/>
        <v/>
      </c>
      <c r="B824" s="8"/>
      <c r="C824" s="8"/>
      <c r="D824" s="8"/>
      <c r="E824" s="8" t="str">
        <f ca="1">IFERROR(_xludf.XLOOKUP(D824,STUDENTS!$A$5:$A$204,STUDENTS!$C$5:$C$204,""),"")</f>
        <v/>
      </c>
      <c r="F824" s="8" t="str">
        <f ca="1">IFERROR(_xludf.XLOOKUP(D824,STUDENTS!$A$5:$A$204,STUDENTS!$L$5:$L$204,""),"")</f>
        <v/>
      </c>
      <c r="G824" s="8"/>
      <c r="H824" s="14"/>
      <c r="I824" s="14"/>
      <c r="J824" s="15" t="str">
        <f>IF(H824="","",H824*SETTINGS!$B$9)</f>
        <v/>
      </c>
      <c r="K824" s="15" t="str">
        <f>IF(I824="","",I824*SETTINGS!$B$10)</f>
        <v/>
      </c>
      <c r="L824" s="15" t="str">
        <f t="shared" si="49"/>
        <v/>
      </c>
      <c r="M824" s="10" t="str">
        <f t="shared" si="50"/>
        <v/>
      </c>
      <c r="N824" s="10" t="str">
        <f t="shared" si="51"/>
        <v/>
      </c>
      <c r="O824" s="8"/>
    </row>
    <row r="825" spans="1:15" x14ac:dyDescent="0.2">
      <c r="A825" s="10" t="str">
        <f t="shared" si="48"/>
        <v/>
      </c>
      <c r="B825" s="8"/>
      <c r="C825" s="8"/>
      <c r="D825" s="8"/>
      <c r="E825" s="8" t="str">
        <f ca="1">IFERROR(_xludf.XLOOKUP(D825,STUDENTS!$A$5:$A$204,STUDENTS!$C$5:$C$204,""),"")</f>
        <v/>
      </c>
      <c r="F825" s="8" t="str">
        <f ca="1">IFERROR(_xludf.XLOOKUP(D825,STUDENTS!$A$5:$A$204,STUDENTS!$L$5:$L$204,""),"")</f>
        <v/>
      </c>
      <c r="G825" s="8"/>
      <c r="H825" s="14"/>
      <c r="I825" s="14"/>
      <c r="J825" s="15" t="str">
        <f>IF(H825="","",H825*SETTINGS!$B$9)</f>
        <v/>
      </c>
      <c r="K825" s="15" t="str">
        <f>IF(I825="","",I825*SETTINGS!$B$10)</f>
        <v/>
      </c>
      <c r="L825" s="15" t="str">
        <f t="shared" si="49"/>
        <v/>
      </c>
      <c r="M825" s="10" t="str">
        <f t="shared" si="50"/>
        <v/>
      </c>
      <c r="N825" s="10" t="str">
        <f t="shared" si="51"/>
        <v/>
      </c>
      <c r="O825" s="8"/>
    </row>
    <row r="826" spans="1:15" x14ac:dyDescent="0.2">
      <c r="A826" s="10" t="str">
        <f t="shared" si="48"/>
        <v/>
      </c>
      <c r="B826" s="8"/>
      <c r="C826" s="8"/>
      <c r="D826" s="8"/>
      <c r="E826" s="8" t="str">
        <f ca="1">IFERROR(_xludf.XLOOKUP(D826,STUDENTS!$A$5:$A$204,STUDENTS!$C$5:$C$204,""),"")</f>
        <v/>
      </c>
      <c r="F826" s="8" t="str">
        <f ca="1">IFERROR(_xludf.XLOOKUP(D826,STUDENTS!$A$5:$A$204,STUDENTS!$L$5:$L$204,""),"")</f>
        <v/>
      </c>
      <c r="G826" s="8"/>
      <c r="H826" s="14"/>
      <c r="I826" s="14"/>
      <c r="J826" s="15" t="str">
        <f>IF(H826="","",H826*SETTINGS!$B$9)</f>
        <v/>
      </c>
      <c r="K826" s="15" t="str">
        <f>IF(I826="","",I826*SETTINGS!$B$10)</f>
        <v/>
      </c>
      <c r="L826" s="15" t="str">
        <f t="shared" si="49"/>
        <v/>
      </c>
      <c r="M826" s="10" t="str">
        <f t="shared" si="50"/>
        <v/>
      </c>
      <c r="N826" s="10" t="str">
        <f t="shared" si="51"/>
        <v/>
      </c>
      <c r="O826" s="8"/>
    </row>
    <row r="827" spans="1:15" x14ac:dyDescent="0.2">
      <c r="A827" s="10" t="str">
        <f t="shared" si="48"/>
        <v/>
      </c>
      <c r="B827" s="8"/>
      <c r="C827" s="8"/>
      <c r="D827" s="8"/>
      <c r="E827" s="8" t="str">
        <f ca="1">IFERROR(_xludf.XLOOKUP(D827,STUDENTS!$A$5:$A$204,STUDENTS!$C$5:$C$204,""),"")</f>
        <v/>
      </c>
      <c r="F827" s="8" t="str">
        <f ca="1">IFERROR(_xludf.XLOOKUP(D827,STUDENTS!$A$5:$A$204,STUDENTS!$L$5:$L$204,""),"")</f>
        <v/>
      </c>
      <c r="G827" s="8"/>
      <c r="H827" s="14"/>
      <c r="I827" s="14"/>
      <c r="J827" s="15" t="str">
        <f>IF(H827="","",H827*SETTINGS!$B$9)</f>
        <v/>
      </c>
      <c r="K827" s="15" t="str">
        <f>IF(I827="","",I827*SETTINGS!$B$10)</f>
        <v/>
      </c>
      <c r="L827" s="15" t="str">
        <f t="shared" si="49"/>
        <v/>
      </c>
      <c r="M827" s="10" t="str">
        <f t="shared" si="50"/>
        <v/>
      </c>
      <c r="N827" s="10" t="str">
        <f t="shared" si="51"/>
        <v/>
      </c>
      <c r="O827" s="8"/>
    </row>
    <row r="828" spans="1:15" x14ac:dyDescent="0.2">
      <c r="A828" s="10" t="str">
        <f t="shared" si="48"/>
        <v/>
      </c>
      <c r="B828" s="8"/>
      <c r="C828" s="8"/>
      <c r="D828" s="8"/>
      <c r="E828" s="8" t="str">
        <f ca="1">IFERROR(_xludf.XLOOKUP(D828,STUDENTS!$A$5:$A$204,STUDENTS!$C$5:$C$204,""),"")</f>
        <v/>
      </c>
      <c r="F828" s="8" t="str">
        <f ca="1">IFERROR(_xludf.XLOOKUP(D828,STUDENTS!$A$5:$A$204,STUDENTS!$L$5:$L$204,""),"")</f>
        <v/>
      </c>
      <c r="G828" s="8"/>
      <c r="H828" s="14"/>
      <c r="I828" s="14"/>
      <c r="J828" s="15" t="str">
        <f>IF(H828="","",H828*SETTINGS!$B$9)</f>
        <v/>
      </c>
      <c r="K828" s="15" t="str">
        <f>IF(I828="","",I828*SETTINGS!$B$10)</f>
        <v/>
      </c>
      <c r="L828" s="15" t="str">
        <f t="shared" si="49"/>
        <v/>
      </c>
      <c r="M828" s="10" t="str">
        <f t="shared" si="50"/>
        <v/>
      </c>
      <c r="N828" s="10" t="str">
        <f t="shared" si="51"/>
        <v/>
      </c>
      <c r="O828" s="8"/>
    </row>
    <row r="829" spans="1:15" x14ac:dyDescent="0.2">
      <c r="A829" s="10" t="str">
        <f t="shared" si="48"/>
        <v/>
      </c>
      <c r="B829" s="8"/>
      <c r="C829" s="8"/>
      <c r="D829" s="8"/>
      <c r="E829" s="8" t="str">
        <f ca="1">IFERROR(_xludf.XLOOKUP(D829,STUDENTS!$A$5:$A$204,STUDENTS!$C$5:$C$204,""),"")</f>
        <v/>
      </c>
      <c r="F829" s="8" t="str">
        <f ca="1">IFERROR(_xludf.XLOOKUP(D829,STUDENTS!$A$5:$A$204,STUDENTS!$L$5:$L$204,""),"")</f>
        <v/>
      </c>
      <c r="G829" s="8"/>
      <c r="H829" s="14"/>
      <c r="I829" s="14"/>
      <c r="J829" s="15" t="str">
        <f>IF(H829="","",H829*SETTINGS!$B$9)</f>
        <v/>
      </c>
      <c r="K829" s="15" t="str">
        <f>IF(I829="","",I829*SETTINGS!$B$10)</f>
        <v/>
      </c>
      <c r="L829" s="15" t="str">
        <f t="shared" si="49"/>
        <v/>
      </c>
      <c r="M829" s="10" t="str">
        <f t="shared" si="50"/>
        <v/>
      </c>
      <c r="N829" s="10" t="str">
        <f t="shared" si="51"/>
        <v/>
      </c>
      <c r="O829" s="8"/>
    </row>
    <row r="830" spans="1:15" x14ac:dyDescent="0.2">
      <c r="A830" s="10" t="str">
        <f t="shared" si="48"/>
        <v/>
      </c>
      <c r="B830" s="8"/>
      <c r="C830" s="8"/>
      <c r="D830" s="8"/>
      <c r="E830" s="8" t="str">
        <f ca="1">IFERROR(_xludf.XLOOKUP(D830,STUDENTS!$A$5:$A$204,STUDENTS!$C$5:$C$204,""),"")</f>
        <v/>
      </c>
      <c r="F830" s="8" t="str">
        <f ca="1">IFERROR(_xludf.XLOOKUP(D830,STUDENTS!$A$5:$A$204,STUDENTS!$L$5:$L$204,""),"")</f>
        <v/>
      </c>
      <c r="G830" s="8"/>
      <c r="H830" s="14"/>
      <c r="I830" s="14"/>
      <c r="J830" s="15" t="str">
        <f>IF(H830="","",H830*SETTINGS!$B$9)</f>
        <v/>
      </c>
      <c r="K830" s="15" t="str">
        <f>IF(I830="","",I830*SETTINGS!$B$10)</f>
        <v/>
      </c>
      <c r="L830" s="15" t="str">
        <f t="shared" si="49"/>
        <v/>
      </c>
      <c r="M830" s="10" t="str">
        <f t="shared" si="50"/>
        <v/>
      </c>
      <c r="N830" s="10" t="str">
        <f t="shared" si="51"/>
        <v/>
      </c>
      <c r="O830" s="8"/>
    </row>
    <row r="831" spans="1:15" x14ac:dyDescent="0.2">
      <c r="A831" s="10" t="str">
        <f t="shared" si="48"/>
        <v/>
      </c>
      <c r="B831" s="8"/>
      <c r="C831" s="8"/>
      <c r="D831" s="8"/>
      <c r="E831" s="8" t="str">
        <f ca="1">IFERROR(_xludf.XLOOKUP(D831,STUDENTS!$A$5:$A$204,STUDENTS!$C$5:$C$204,""),"")</f>
        <v/>
      </c>
      <c r="F831" s="8" t="str">
        <f ca="1">IFERROR(_xludf.XLOOKUP(D831,STUDENTS!$A$5:$A$204,STUDENTS!$L$5:$L$204,""),"")</f>
        <v/>
      </c>
      <c r="G831" s="8"/>
      <c r="H831" s="14"/>
      <c r="I831" s="14"/>
      <c r="J831" s="15" t="str">
        <f>IF(H831="","",H831*SETTINGS!$B$9)</f>
        <v/>
      </c>
      <c r="K831" s="15" t="str">
        <f>IF(I831="","",I831*SETTINGS!$B$10)</f>
        <v/>
      </c>
      <c r="L831" s="15" t="str">
        <f t="shared" si="49"/>
        <v/>
      </c>
      <c r="M831" s="10" t="str">
        <f t="shared" si="50"/>
        <v/>
      </c>
      <c r="N831" s="10" t="str">
        <f t="shared" si="51"/>
        <v/>
      </c>
      <c r="O831" s="8"/>
    </row>
    <row r="832" spans="1:15" x14ac:dyDescent="0.2">
      <c r="A832" s="10" t="str">
        <f t="shared" si="48"/>
        <v/>
      </c>
      <c r="B832" s="8"/>
      <c r="C832" s="8"/>
      <c r="D832" s="8"/>
      <c r="E832" s="8" t="str">
        <f ca="1">IFERROR(_xludf.XLOOKUP(D832,STUDENTS!$A$5:$A$204,STUDENTS!$C$5:$C$204,""),"")</f>
        <v/>
      </c>
      <c r="F832" s="8" t="str">
        <f ca="1">IFERROR(_xludf.XLOOKUP(D832,STUDENTS!$A$5:$A$204,STUDENTS!$L$5:$L$204,""),"")</f>
        <v/>
      </c>
      <c r="G832" s="8"/>
      <c r="H832" s="14"/>
      <c r="I832" s="14"/>
      <c r="J832" s="15" t="str">
        <f>IF(H832="","",H832*SETTINGS!$B$9)</f>
        <v/>
      </c>
      <c r="K832" s="15" t="str">
        <f>IF(I832="","",I832*SETTINGS!$B$10)</f>
        <v/>
      </c>
      <c r="L832" s="15" t="str">
        <f t="shared" si="49"/>
        <v/>
      </c>
      <c r="M832" s="10" t="str">
        <f t="shared" si="50"/>
        <v/>
      </c>
      <c r="N832" s="10" t="str">
        <f t="shared" si="51"/>
        <v/>
      </c>
      <c r="O832" s="8"/>
    </row>
    <row r="833" spans="1:15" x14ac:dyDescent="0.2">
      <c r="A833" s="10" t="str">
        <f t="shared" si="48"/>
        <v/>
      </c>
      <c r="B833" s="8"/>
      <c r="C833" s="8"/>
      <c r="D833" s="8"/>
      <c r="E833" s="8" t="str">
        <f ca="1">IFERROR(_xludf.XLOOKUP(D833,STUDENTS!$A$5:$A$204,STUDENTS!$C$5:$C$204,""),"")</f>
        <v/>
      </c>
      <c r="F833" s="8" t="str">
        <f ca="1">IFERROR(_xludf.XLOOKUP(D833,STUDENTS!$A$5:$A$204,STUDENTS!$L$5:$L$204,""),"")</f>
        <v/>
      </c>
      <c r="G833" s="8"/>
      <c r="H833" s="14"/>
      <c r="I833" s="14"/>
      <c r="J833" s="15" t="str">
        <f>IF(H833="","",H833*SETTINGS!$B$9)</f>
        <v/>
      </c>
      <c r="K833" s="15" t="str">
        <f>IF(I833="","",I833*SETTINGS!$B$10)</f>
        <v/>
      </c>
      <c r="L833" s="15" t="str">
        <f t="shared" si="49"/>
        <v/>
      </c>
      <c r="M833" s="10" t="str">
        <f t="shared" si="50"/>
        <v/>
      </c>
      <c r="N833" s="10" t="str">
        <f t="shared" si="51"/>
        <v/>
      </c>
      <c r="O833" s="8"/>
    </row>
    <row r="834" spans="1:15" x14ac:dyDescent="0.2">
      <c r="A834" s="10" t="str">
        <f t="shared" si="48"/>
        <v/>
      </c>
      <c r="B834" s="8"/>
      <c r="C834" s="8"/>
      <c r="D834" s="8"/>
      <c r="E834" s="8" t="str">
        <f ca="1">IFERROR(_xludf.XLOOKUP(D834,STUDENTS!$A$5:$A$204,STUDENTS!$C$5:$C$204,""),"")</f>
        <v/>
      </c>
      <c r="F834" s="8" t="str">
        <f ca="1">IFERROR(_xludf.XLOOKUP(D834,STUDENTS!$A$5:$A$204,STUDENTS!$L$5:$L$204,""),"")</f>
        <v/>
      </c>
      <c r="G834" s="8"/>
      <c r="H834" s="14"/>
      <c r="I834" s="14"/>
      <c r="J834" s="15" t="str">
        <f>IF(H834="","",H834*SETTINGS!$B$9)</f>
        <v/>
      </c>
      <c r="K834" s="15" t="str">
        <f>IF(I834="","",I834*SETTINGS!$B$10)</f>
        <v/>
      </c>
      <c r="L834" s="15" t="str">
        <f t="shared" si="49"/>
        <v/>
      </c>
      <c r="M834" s="10" t="str">
        <f t="shared" si="50"/>
        <v/>
      </c>
      <c r="N834" s="10" t="str">
        <f t="shared" si="51"/>
        <v/>
      </c>
      <c r="O834" s="8"/>
    </row>
    <row r="835" spans="1:15" x14ac:dyDescent="0.2">
      <c r="A835" s="10" t="str">
        <f t="shared" si="48"/>
        <v/>
      </c>
      <c r="B835" s="8"/>
      <c r="C835" s="8"/>
      <c r="D835" s="8"/>
      <c r="E835" s="8" t="str">
        <f ca="1">IFERROR(_xludf.XLOOKUP(D835,STUDENTS!$A$5:$A$204,STUDENTS!$C$5:$C$204,""),"")</f>
        <v/>
      </c>
      <c r="F835" s="8" t="str">
        <f ca="1">IFERROR(_xludf.XLOOKUP(D835,STUDENTS!$A$5:$A$204,STUDENTS!$L$5:$L$204,""),"")</f>
        <v/>
      </c>
      <c r="G835" s="8"/>
      <c r="H835" s="14"/>
      <c r="I835" s="14"/>
      <c r="J835" s="15" t="str">
        <f>IF(H835="","",H835*SETTINGS!$B$9)</f>
        <v/>
      </c>
      <c r="K835" s="15" t="str">
        <f>IF(I835="","",I835*SETTINGS!$B$10)</f>
        <v/>
      </c>
      <c r="L835" s="15" t="str">
        <f t="shared" si="49"/>
        <v/>
      </c>
      <c r="M835" s="10" t="str">
        <f t="shared" si="50"/>
        <v/>
      </c>
      <c r="N835" s="10" t="str">
        <f t="shared" si="51"/>
        <v/>
      </c>
      <c r="O835" s="8"/>
    </row>
    <row r="836" spans="1:15" x14ac:dyDescent="0.2">
      <c r="A836" s="10" t="str">
        <f t="shared" si="48"/>
        <v/>
      </c>
      <c r="B836" s="8"/>
      <c r="C836" s="8"/>
      <c r="D836" s="8"/>
      <c r="E836" s="8" t="str">
        <f ca="1">IFERROR(_xludf.XLOOKUP(D836,STUDENTS!$A$5:$A$204,STUDENTS!$C$5:$C$204,""),"")</f>
        <v/>
      </c>
      <c r="F836" s="8" t="str">
        <f ca="1">IFERROR(_xludf.XLOOKUP(D836,STUDENTS!$A$5:$A$204,STUDENTS!$L$5:$L$204,""),"")</f>
        <v/>
      </c>
      <c r="G836" s="8"/>
      <c r="H836" s="14"/>
      <c r="I836" s="14"/>
      <c r="J836" s="15" t="str">
        <f>IF(H836="","",H836*SETTINGS!$B$9)</f>
        <v/>
      </c>
      <c r="K836" s="15" t="str">
        <f>IF(I836="","",I836*SETTINGS!$B$10)</f>
        <v/>
      </c>
      <c r="L836" s="15" t="str">
        <f t="shared" si="49"/>
        <v/>
      </c>
      <c r="M836" s="10" t="str">
        <f t="shared" si="50"/>
        <v/>
      </c>
      <c r="N836" s="10" t="str">
        <f t="shared" si="51"/>
        <v/>
      </c>
      <c r="O836" s="8"/>
    </row>
    <row r="837" spans="1:15" x14ac:dyDescent="0.2">
      <c r="A837" s="10" t="str">
        <f t="shared" ref="A837:A900" si="52">IF(D837="","","R-"&amp;TEXT(ROW()-4,"00000"))</f>
        <v/>
      </c>
      <c r="B837" s="8"/>
      <c r="C837" s="8"/>
      <c r="D837" s="8"/>
      <c r="E837" s="8" t="str">
        <f ca="1">IFERROR(_xludf.XLOOKUP(D837,STUDENTS!$A$5:$A$204,STUDENTS!$C$5:$C$204,""),"")</f>
        <v/>
      </c>
      <c r="F837" s="8" t="str">
        <f ca="1">IFERROR(_xludf.XLOOKUP(D837,STUDENTS!$A$5:$A$204,STUDENTS!$L$5:$L$204,""),"")</f>
        <v/>
      </c>
      <c r="G837" s="8"/>
      <c r="H837" s="14"/>
      <c r="I837" s="14"/>
      <c r="J837" s="15" t="str">
        <f>IF(H837="","",H837*SETTINGS!$B$9)</f>
        <v/>
      </c>
      <c r="K837" s="15" t="str">
        <f>IF(I837="","",I837*SETTINGS!$B$10)</f>
        <v/>
      </c>
      <c r="L837" s="15" t="str">
        <f t="shared" ref="L837:L900" si="53">IF(OR(H837="",I837=""),"",J837+K837)</f>
        <v/>
      </c>
      <c r="M837" s="10" t="str">
        <f t="shared" ref="M837:M900" si="54">IF(L837="","",IF(L837&gt;=80,"A",IF(L837&gt;=70,"B",IF(L837&gt;=60,"C",IF(L837&gt;=50,"D","F")))))</f>
        <v/>
      </c>
      <c r="N837" s="10" t="str">
        <f t="shared" ref="N837:N900" si="55">IF(L837="","",1+COUNTIFS($F$5:$F$1004,F837,$C$5:$C$1004,C837,$G$5:$G$1004,G837,$L$5:$L$1004,"&gt;"&amp;L837))</f>
        <v/>
      </c>
      <c r="O837" s="8"/>
    </row>
    <row r="838" spans="1:15" x14ac:dyDescent="0.2">
      <c r="A838" s="10" t="str">
        <f t="shared" si="52"/>
        <v/>
      </c>
      <c r="B838" s="8"/>
      <c r="C838" s="8"/>
      <c r="D838" s="8"/>
      <c r="E838" s="8" t="str">
        <f ca="1">IFERROR(_xludf.XLOOKUP(D838,STUDENTS!$A$5:$A$204,STUDENTS!$C$5:$C$204,""),"")</f>
        <v/>
      </c>
      <c r="F838" s="8" t="str">
        <f ca="1">IFERROR(_xludf.XLOOKUP(D838,STUDENTS!$A$5:$A$204,STUDENTS!$L$5:$L$204,""),"")</f>
        <v/>
      </c>
      <c r="G838" s="8"/>
      <c r="H838" s="14"/>
      <c r="I838" s="14"/>
      <c r="J838" s="15" t="str">
        <f>IF(H838="","",H838*SETTINGS!$B$9)</f>
        <v/>
      </c>
      <c r="K838" s="15" t="str">
        <f>IF(I838="","",I838*SETTINGS!$B$10)</f>
        <v/>
      </c>
      <c r="L838" s="15" t="str">
        <f t="shared" si="53"/>
        <v/>
      </c>
      <c r="M838" s="10" t="str">
        <f t="shared" si="54"/>
        <v/>
      </c>
      <c r="N838" s="10" t="str">
        <f t="shared" si="55"/>
        <v/>
      </c>
      <c r="O838" s="8"/>
    </row>
    <row r="839" spans="1:15" x14ac:dyDescent="0.2">
      <c r="A839" s="10" t="str">
        <f t="shared" si="52"/>
        <v/>
      </c>
      <c r="B839" s="8"/>
      <c r="C839" s="8"/>
      <c r="D839" s="8"/>
      <c r="E839" s="8" t="str">
        <f ca="1">IFERROR(_xludf.XLOOKUP(D839,STUDENTS!$A$5:$A$204,STUDENTS!$C$5:$C$204,""),"")</f>
        <v/>
      </c>
      <c r="F839" s="8" t="str">
        <f ca="1">IFERROR(_xludf.XLOOKUP(D839,STUDENTS!$A$5:$A$204,STUDENTS!$L$5:$L$204,""),"")</f>
        <v/>
      </c>
      <c r="G839" s="8"/>
      <c r="H839" s="14"/>
      <c r="I839" s="14"/>
      <c r="J839" s="15" t="str">
        <f>IF(H839="","",H839*SETTINGS!$B$9)</f>
        <v/>
      </c>
      <c r="K839" s="15" t="str">
        <f>IF(I839="","",I839*SETTINGS!$B$10)</f>
        <v/>
      </c>
      <c r="L839" s="15" t="str">
        <f t="shared" si="53"/>
        <v/>
      </c>
      <c r="M839" s="10" t="str">
        <f t="shared" si="54"/>
        <v/>
      </c>
      <c r="N839" s="10" t="str">
        <f t="shared" si="55"/>
        <v/>
      </c>
      <c r="O839" s="8"/>
    </row>
    <row r="840" spans="1:15" x14ac:dyDescent="0.2">
      <c r="A840" s="10" t="str">
        <f t="shared" si="52"/>
        <v/>
      </c>
      <c r="B840" s="8"/>
      <c r="C840" s="8"/>
      <c r="D840" s="8"/>
      <c r="E840" s="8" t="str">
        <f ca="1">IFERROR(_xludf.XLOOKUP(D840,STUDENTS!$A$5:$A$204,STUDENTS!$C$5:$C$204,""),"")</f>
        <v/>
      </c>
      <c r="F840" s="8" t="str">
        <f ca="1">IFERROR(_xludf.XLOOKUP(D840,STUDENTS!$A$5:$A$204,STUDENTS!$L$5:$L$204,""),"")</f>
        <v/>
      </c>
      <c r="G840" s="8"/>
      <c r="H840" s="14"/>
      <c r="I840" s="14"/>
      <c r="J840" s="15" t="str">
        <f>IF(H840="","",H840*SETTINGS!$B$9)</f>
        <v/>
      </c>
      <c r="K840" s="15" t="str">
        <f>IF(I840="","",I840*SETTINGS!$B$10)</f>
        <v/>
      </c>
      <c r="L840" s="15" t="str">
        <f t="shared" si="53"/>
        <v/>
      </c>
      <c r="M840" s="10" t="str">
        <f t="shared" si="54"/>
        <v/>
      </c>
      <c r="N840" s="10" t="str">
        <f t="shared" si="55"/>
        <v/>
      </c>
      <c r="O840" s="8"/>
    </row>
    <row r="841" spans="1:15" x14ac:dyDescent="0.2">
      <c r="A841" s="10" t="str">
        <f t="shared" si="52"/>
        <v/>
      </c>
      <c r="B841" s="8"/>
      <c r="C841" s="8"/>
      <c r="D841" s="8"/>
      <c r="E841" s="8" t="str">
        <f ca="1">IFERROR(_xludf.XLOOKUP(D841,STUDENTS!$A$5:$A$204,STUDENTS!$C$5:$C$204,""),"")</f>
        <v/>
      </c>
      <c r="F841" s="8" t="str">
        <f ca="1">IFERROR(_xludf.XLOOKUP(D841,STUDENTS!$A$5:$A$204,STUDENTS!$L$5:$L$204,""),"")</f>
        <v/>
      </c>
      <c r="G841" s="8"/>
      <c r="H841" s="14"/>
      <c r="I841" s="14"/>
      <c r="J841" s="15" t="str">
        <f>IF(H841="","",H841*SETTINGS!$B$9)</f>
        <v/>
      </c>
      <c r="K841" s="15" t="str">
        <f>IF(I841="","",I841*SETTINGS!$B$10)</f>
        <v/>
      </c>
      <c r="L841" s="15" t="str">
        <f t="shared" si="53"/>
        <v/>
      </c>
      <c r="M841" s="10" t="str">
        <f t="shared" si="54"/>
        <v/>
      </c>
      <c r="N841" s="10" t="str">
        <f t="shared" si="55"/>
        <v/>
      </c>
      <c r="O841" s="8"/>
    </row>
    <row r="842" spans="1:15" x14ac:dyDescent="0.2">
      <c r="A842" s="10" t="str">
        <f t="shared" si="52"/>
        <v/>
      </c>
      <c r="B842" s="8"/>
      <c r="C842" s="8"/>
      <c r="D842" s="8"/>
      <c r="E842" s="8" t="str">
        <f ca="1">IFERROR(_xludf.XLOOKUP(D842,STUDENTS!$A$5:$A$204,STUDENTS!$C$5:$C$204,""),"")</f>
        <v/>
      </c>
      <c r="F842" s="8" t="str">
        <f ca="1">IFERROR(_xludf.XLOOKUP(D842,STUDENTS!$A$5:$A$204,STUDENTS!$L$5:$L$204,""),"")</f>
        <v/>
      </c>
      <c r="G842" s="8"/>
      <c r="H842" s="14"/>
      <c r="I842" s="14"/>
      <c r="J842" s="15" t="str">
        <f>IF(H842="","",H842*SETTINGS!$B$9)</f>
        <v/>
      </c>
      <c r="K842" s="15" t="str">
        <f>IF(I842="","",I842*SETTINGS!$B$10)</f>
        <v/>
      </c>
      <c r="L842" s="15" t="str">
        <f t="shared" si="53"/>
        <v/>
      </c>
      <c r="M842" s="10" t="str">
        <f t="shared" si="54"/>
        <v/>
      </c>
      <c r="N842" s="10" t="str">
        <f t="shared" si="55"/>
        <v/>
      </c>
      <c r="O842" s="8"/>
    </row>
    <row r="843" spans="1:15" x14ac:dyDescent="0.2">
      <c r="A843" s="10" t="str">
        <f t="shared" si="52"/>
        <v/>
      </c>
      <c r="B843" s="8"/>
      <c r="C843" s="8"/>
      <c r="D843" s="8"/>
      <c r="E843" s="8" t="str">
        <f ca="1">IFERROR(_xludf.XLOOKUP(D843,STUDENTS!$A$5:$A$204,STUDENTS!$C$5:$C$204,""),"")</f>
        <v/>
      </c>
      <c r="F843" s="8" t="str">
        <f ca="1">IFERROR(_xludf.XLOOKUP(D843,STUDENTS!$A$5:$A$204,STUDENTS!$L$5:$L$204,""),"")</f>
        <v/>
      </c>
      <c r="G843" s="8"/>
      <c r="H843" s="14"/>
      <c r="I843" s="14"/>
      <c r="J843" s="15" t="str">
        <f>IF(H843="","",H843*SETTINGS!$B$9)</f>
        <v/>
      </c>
      <c r="K843" s="15" t="str">
        <f>IF(I843="","",I843*SETTINGS!$B$10)</f>
        <v/>
      </c>
      <c r="L843" s="15" t="str">
        <f t="shared" si="53"/>
        <v/>
      </c>
      <c r="M843" s="10" t="str">
        <f t="shared" si="54"/>
        <v/>
      </c>
      <c r="N843" s="10" t="str">
        <f t="shared" si="55"/>
        <v/>
      </c>
      <c r="O843" s="8"/>
    </row>
    <row r="844" spans="1:15" x14ac:dyDescent="0.2">
      <c r="A844" s="10" t="str">
        <f t="shared" si="52"/>
        <v/>
      </c>
      <c r="B844" s="8"/>
      <c r="C844" s="8"/>
      <c r="D844" s="8"/>
      <c r="E844" s="8" t="str">
        <f ca="1">IFERROR(_xludf.XLOOKUP(D844,STUDENTS!$A$5:$A$204,STUDENTS!$C$5:$C$204,""),"")</f>
        <v/>
      </c>
      <c r="F844" s="8" t="str">
        <f ca="1">IFERROR(_xludf.XLOOKUP(D844,STUDENTS!$A$5:$A$204,STUDENTS!$L$5:$L$204,""),"")</f>
        <v/>
      </c>
      <c r="G844" s="8"/>
      <c r="H844" s="14"/>
      <c r="I844" s="14"/>
      <c r="J844" s="15" t="str">
        <f>IF(H844="","",H844*SETTINGS!$B$9)</f>
        <v/>
      </c>
      <c r="K844" s="15" t="str">
        <f>IF(I844="","",I844*SETTINGS!$B$10)</f>
        <v/>
      </c>
      <c r="L844" s="15" t="str">
        <f t="shared" si="53"/>
        <v/>
      </c>
      <c r="M844" s="10" t="str">
        <f t="shared" si="54"/>
        <v/>
      </c>
      <c r="N844" s="10" t="str">
        <f t="shared" si="55"/>
        <v/>
      </c>
      <c r="O844" s="8"/>
    </row>
    <row r="845" spans="1:15" x14ac:dyDescent="0.2">
      <c r="A845" s="10" t="str">
        <f t="shared" si="52"/>
        <v/>
      </c>
      <c r="B845" s="8"/>
      <c r="C845" s="8"/>
      <c r="D845" s="8"/>
      <c r="E845" s="8" t="str">
        <f ca="1">IFERROR(_xludf.XLOOKUP(D845,STUDENTS!$A$5:$A$204,STUDENTS!$C$5:$C$204,""),"")</f>
        <v/>
      </c>
      <c r="F845" s="8" t="str">
        <f ca="1">IFERROR(_xludf.XLOOKUP(D845,STUDENTS!$A$5:$A$204,STUDENTS!$L$5:$L$204,""),"")</f>
        <v/>
      </c>
      <c r="G845" s="8"/>
      <c r="H845" s="14"/>
      <c r="I845" s="14"/>
      <c r="J845" s="15" t="str">
        <f>IF(H845="","",H845*SETTINGS!$B$9)</f>
        <v/>
      </c>
      <c r="K845" s="15" t="str">
        <f>IF(I845="","",I845*SETTINGS!$B$10)</f>
        <v/>
      </c>
      <c r="L845" s="15" t="str">
        <f t="shared" si="53"/>
        <v/>
      </c>
      <c r="M845" s="10" t="str">
        <f t="shared" si="54"/>
        <v/>
      </c>
      <c r="N845" s="10" t="str">
        <f t="shared" si="55"/>
        <v/>
      </c>
      <c r="O845" s="8"/>
    </row>
    <row r="846" spans="1:15" x14ac:dyDescent="0.2">
      <c r="A846" s="10" t="str">
        <f t="shared" si="52"/>
        <v/>
      </c>
      <c r="B846" s="8"/>
      <c r="C846" s="8"/>
      <c r="D846" s="8"/>
      <c r="E846" s="8" t="str">
        <f ca="1">IFERROR(_xludf.XLOOKUP(D846,STUDENTS!$A$5:$A$204,STUDENTS!$C$5:$C$204,""),"")</f>
        <v/>
      </c>
      <c r="F846" s="8" t="str">
        <f ca="1">IFERROR(_xludf.XLOOKUP(D846,STUDENTS!$A$5:$A$204,STUDENTS!$L$5:$L$204,""),"")</f>
        <v/>
      </c>
      <c r="G846" s="8"/>
      <c r="H846" s="14"/>
      <c r="I846" s="14"/>
      <c r="J846" s="15" t="str">
        <f>IF(H846="","",H846*SETTINGS!$B$9)</f>
        <v/>
      </c>
      <c r="K846" s="15" t="str">
        <f>IF(I846="","",I846*SETTINGS!$B$10)</f>
        <v/>
      </c>
      <c r="L846" s="15" t="str">
        <f t="shared" si="53"/>
        <v/>
      </c>
      <c r="M846" s="10" t="str">
        <f t="shared" si="54"/>
        <v/>
      </c>
      <c r="N846" s="10" t="str">
        <f t="shared" si="55"/>
        <v/>
      </c>
      <c r="O846" s="8"/>
    </row>
    <row r="847" spans="1:15" x14ac:dyDescent="0.2">
      <c r="A847" s="10" t="str">
        <f t="shared" si="52"/>
        <v/>
      </c>
      <c r="B847" s="8"/>
      <c r="C847" s="8"/>
      <c r="D847" s="8"/>
      <c r="E847" s="8" t="str">
        <f ca="1">IFERROR(_xludf.XLOOKUP(D847,STUDENTS!$A$5:$A$204,STUDENTS!$C$5:$C$204,""),"")</f>
        <v/>
      </c>
      <c r="F847" s="8" t="str">
        <f ca="1">IFERROR(_xludf.XLOOKUP(D847,STUDENTS!$A$5:$A$204,STUDENTS!$L$5:$L$204,""),"")</f>
        <v/>
      </c>
      <c r="G847" s="8"/>
      <c r="H847" s="14"/>
      <c r="I847" s="14"/>
      <c r="J847" s="15" t="str">
        <f>IF(H847="","",H847*SETTINGS!$B$9)</f>
        <v/>
      </c>
      <c r="K847" s="15" t="str">
        <f>IF(I847="","",I847*SETTINGS!$B$10)</f>
        <v/>
      </c>
      <c r="L847" s="15" t="str">
        <f t="shared" si="53"/>
        <v/>
      </c>
      <c r="M847" s="10" t="str">
        <f t="shared" si="54"/>
        <v/>
      </c>
      <c r="N847" s="10" t="str">
        <f t="shared" si="55"/>
        <v/>
      </c>
      <c r="O847" s="8"/>
    </row>
    <row r="848" spans="1:15" x14ac:dyDescent="0.2">
      <c r="A848" s="10" t="str">
        <f t="shared" si="52"/>
        <v/>
      </c>
      <c r="B848" s="8"/>
      <c r="C848" s="8"/>
      <c r="D848" s="8"/>
      <c r="E848" s="8" t="str">
        <f ca="1">IFERROR(_xludf.XLOOKUP(D848,STUDENTS!$A$5:$A$204,STUDENTS!$C$5:$C$204,""),"")</f>
        <v/>
      </c>
      <c r="F848" s="8" t="str">
        <f ca="1">IFERROR(_xludf.XLOOKUP(D848,STUDENTS!$A$5:$A$204,STUDENTS!$L$5:$L$204,""),"")</f>
        <v/>
      </c>
      <c r="G848" s="8"/>
      <c r="H848" s="14"/>
      <c r="I848" s="14"/>
      <c r="J848" s="15" t="str">
        <f>IF(H848="","",H848*SETTINGS!$B$9)</f>
        <v/>
      </c>
      <c r="K848" s="15" t="str">
        <f>IF(I848="","",I848*SETTINGS!$B$10)</f>
        <v/>
      </c>
      <c r="L848" s="15" t="str">
        <f t="shared" si="53"/>
        <v/>
      </c>
      <c r="M848" s="10" t="str">
        <f t="shared" si="54"/>
        <v/>
      </c>
      <c r="N848" s="10" t="str">
        <f t="shared" si="55"/>
        <v/>
      </c>
      <c r="O848" s="8"/>
    </row>
    <row r="849" spans="1:15" x14ac:dyDescent="0.2">
      <c r="A849" s="10" t="str">
        <f t="shared" si="52"/>
        <v/>
      </c>
      <c r="B849" s="8"/>
      <c r="C849" s="8"/>
      <c r="D849" s="8"/>
      <c r="E849" s="8" t="str">
        <f ca="1">IFERROR(_xludf.XLOOKUP(D849,STUDENTS!$A$5:$A$204,STUDENTS!$C$5:$C$204,""),"")</f>
        <v/>
      </c>
      <c r="F849" s="8" t="str">
        <f ca="1">IFERROR(_xludf.XLOOKUP(D849,STUDENTS!$A$5:$A$204,STUDENTS!$L$5:$L$204,""),"")</f>
        <v/>
      </c>
      <c r="G849" s="8"/>
      <c r="H849" s="14"/>
      <c r="I849" s="14"/>
      <c r="J849" s="15" t="str">
        <f>IF(H849="","",H849*SETTINGS!$B$9)</f>
        <v/>
      </c>
      <c r="K849" s="15" t="str">
        <f>IF(I849="","",I849*SETTINGS!$B$10)</f>
        <v/>
      </c>
      <c r="L849" s="15" t="str">
        <f t="shared" si="53"/>
        <v/>
      </c>
      <c r="M849" s="10" t="str">
        <f t="shared" si="54"/>
        <v/>
      </c>
      <c r="N849" s="10" t="str">
        <f t="shared" si="55"/>
        <v/>
      </c>
      <c r="O849" s="8"/>
    </row>
    <row r="850" spans="1:15" x14ac:dyDescent="0.2">
      <c r="A850" s="10" t="str">
        <f t="shared" si="52"/>
        <v/>
      </c>
      <c r="B850" s="8"/>
      <c r="C850" s="8"/>
      <c r="D850" s="8"/>
      <c r="E850" s="8" t="str">
        <f ca="1">IFERROR(_xludf.XLOOKUP(D850,STUDENTS!$A$5:$A$204,STUDENTS!$C$5:$C$204,""),"")</f>
        <v/>
      </c>
      <c r="F850" s="8" t="str">
        <f ca="1">IFERROR(_xludf.XLOOKUP(D850,STUDENTS!$A$5:$A$204,STUDENTS!$L$5:$L$204,""),"")</f>
        <v/>
      </c>
      <c r="G850" s="8"/>
      <c r="H850" s="14"/>
      <c r="I850" s="14"/>
      <c r="J850" s="15" t="str">
        <f>IF(H850="","",H850*SETTINGS!$B$9)</f>
        <v/>
      </c>
      <c r="K850" s="15" t="str">
        <f>IF(I850="","",I850*SETTINGS!$B$10)</f>
        <v/>
      </c>
      <c r="L850" s="15" t="str">
        <f t="shared" si="53"/>
        <v/>
      </c>
      <c r="M850" s="10" t="str">
        <f t="shared" si="54"/>
        <v/>
      </c>
      <c r="N850" s="10" t="str">
        <f t="shared" si="55"/>
        <v/>
      </c>
      <c r="O850" s="8"/>
    </row>
    <row r="851" spans="1:15" x14ac:dyDescent="0.2">
      <c r="A851" s="10" t="str">
        <f t="shared" si="52"/>
        <v/>
      </c>
      <c r="B851" s="8"/>
      <c r="C851" s="8"/>
      <c r="D851" s="8"/>
      <c r="E851" s="8" t="str">
        <f ca="1">IFERROR(_xludf.XLOOKUP(D851,STUDENTS!$A$5:$A$204,STUDENTS!$C$5:$C$204,""),"")</f>
        <v/>
      </c>
      <c r="F851" s="8" t="str">
        <f ca="1">IFERROR(_xludf.XLOOKUP(D851,STUDENTS!$A$5:$A$204,STUDENTS!$L$5:$L$204,""),"")</f>
        <v/>
      </c>
      <c r="G851" s="8"/>
      <c r="H851" s="14"/>
      <c r="I851" s="14"/>
      <c r="J851" s="15" t="str">
        <f>IF(H851="","",H851*SETTINGS!$B$9)</f>
        <v/>
      </c>
      <c r="K851" s="15" t="str">
        <f>IF(I851="","",I851*SETTINGS!$B$10)</f>
        <v/>
      </c>
      <c r="L851" s="15" t="str">
        <f t="shared" si="53"/>
        <v/>
      </c>
      <c r="M851" s="10" t="str">
        <f t="shared" si="54"/>
        <v/>
      </c>
      <c r="N851" s="10" t="str">
        <f t="shared" si="55"/>
        <v/>
      </c>
      <c r="O851" s="8"/>
    </row>
    <row r="852" spans="1:15" x14ac:dyDescent="0.2">
      <c r="A852" s="10" t="str">
        <f t="shared" si="52"/>
        <v/>
      </c>
      <c r="B852" s="8"/>
      <c r="C852" s="8"/>
      <c r="D852" s="8"/>
      <c r="E852" s="8" t="str">
        <f ca="1">IFERROR(_xludf.XLOOKUP(D852,STUDENTS!$A$5:$A$204,STUDENTS!$C$5:$C$204,""),"")</f>
        <v/>
      </c>
      <c r="F852" s="8" t="str">
        <f ca="1">IFERROR(_xludf.XLOOKUP(D852,STUDENTS!$A$5:$A$204,STUDENTS!$L$5:$L$204,""),"")</f>
        <v/>
      </c>
      <c r="G852" s="8"/>
      <c r="H852" s="14"/>
      <c r="I852" s="14"/>
      <c r="J852" s="15" t="str">
        <f>IF(H852="","",H852*SETTINGS!$B$9)</f>
        <v/>
      </c>
      <c r="K852" s="15" t="str">
        <f>IF(I852="","",I852*SETTINGS!$B$10)</f>
        <v/>
      </c>
      <c r="L852" s="15" t="str">
        <f t="shared" si="53"/>
        <v/>
      </c>
      <c r="M852" s="10" t="str">
        <f t="shared" si="54"/>
        <v/>
      </c>
      <c r="N852" s="10" t="str">
        <f t="shared" si="55"/>
        <v/>
      </c>
      <c r="O852" s="8"/>
    </row>
    <row r="853" spans="1:15" x14ac:dyDescent="0.2">
      <c r="A853" s="10" t="str">
        <f t="shared" si="52"/>
        <v/>
      </c>
      <c r="B853" s="8"/>
      <c r="C853" s="8"/>
      <c r="D853" s="8"/>
      <c r="E853" s="8" t="str">
        <f ca="1">IFERROR(_xludf.XLOOKUP(D853,STUDENTS!$A$5:$A$204,STUDENTS!$C$5:$C$204,""),"")</f>
        <v/>
      </c>
      <c r="F853" s="8" t="str">
        <f ca="1">IFERROR(_xludf.XLOOKUP(D853,STUDENTS!$A$5:$A$204,STUDENTS!$L$5:$L$204,""),"")</f>
        <v/>
      </c>
      <c r="G853" s="8"/>
      <c r="H853" s="14"/>
      <c r="I853" s="14"/>
      <c r="J853" s="15" t="str">
        <f>IF(H853="","",H853*SETTINGS!$B$9)</f>
        <v/>
      </c>
      <c r="K853" s="15" t="str">
        <f>IF(I853="","",I853*SETTINGS!$B$10)</f>
        <v/>
      </c>
      <c r="L853" s="15" t="str">
        <f t="shared" si="53"/>
        <v/>
      </c>
      <c r="M853" s="10" t="str">
        <f t="shared" si="54"/>
        <v/>
      </c>
      <c r="N853" s="10" t="str">
        <f t="shared" si="55"/>
        <v/>
      </c>
      <c r="O853" s="8"/>
    </row>
    <row r="854" spans="1:15" x14ac:dyDescent="0.2">
      <c r="A854" s="10" t="str">
        <f t="shared" si="52"/>
        <v/>
      </c>
      <c r="B854" s="8"/>
      <c r="C854" s="8"/>
      <c r="D854" s="8"/>
      <c r="E854" s="8" t="str">
        <f ca="1">IFERROR(_xludf.XLOOKUP(D854,STUDENTS!$A$5:$A$204,STUDENTS!$C$5:$C$204,""),"")</f>
        <v/>
      </c>
      <c r="F854" s="8" t="str">
        <f ca="1">IFERROR(_xludf.XLOOKUP(D854,STUDENTS!$A$5:$A$204,STUDENTS!$L$5:$L$204,""),"")</f>
        <v/>
      </c>
      <c r="G854" s="8"/>
      <c r="H854" s="14"/>
      <c r="I854" s="14"/>
      <c r="J854" s="15" t="str">
        <f>IF(H854="","",H854*SETTINGS!$B$9)</f>
        <v/>
      </c>
      <c r="K854" s="15" t="str">
        <f>IF(I854="","",I854*SETTINGS!$B$10)</f>
        <v/>
      </c>
      <c r="L854" s="15" t="str">
        <f t="shared" si="53"/>
        <v/>
      </c>
      <c r="M854" s="10" t="str">
        <f t="shared" si="54"/>
        <v/>
      </c>
      <c r="N854" s="10" t="str">
        <f t="shared" si="55"/>
        <v/>
      </c>
      <c r="O854" s="8"/>
    </row>
    <row r="855" spans="1:15" x14ac:dyDescent="0.2">
      <c r="A855" s="10" t="str">
        <f t="shared" si="52"/>
        <v/>
      </c>
      <c r="B855" s="8"/>
      <c r="C855" s="8"/>
      <c r="D855" s="8"/>
      <c r="E855" s="8" t="str">
        <f ca="1">IFERROR(_xludf.XLOOKUP(D855,STUDENTS!$A$5:$A$204,STUDENTS!$C$5:$C$204,""),"")</f>
        <v/>
      </c>
      <c r="F855" s="8" t="str">
        <f ca="1">IFERROR(_xludf.XLOOKUP(D855,STUDENTS!$A$5:$A$204,STUDENTS!$L$5:$L$204,""),"")</f>
        <v/>
      </c>
      <c r="G855" s="8"/>
      <c r="H855" s="14"/>
      <c r="I855" s="14"/>
      <c r="J855" s="15" t="str">
        <f>IF(H855="","",H855*SETTINGS!$B$9)</f>
        <v/>
      </c>
      <c r="K855" s="15" t="str">
        <f>IF(I855="","",I855*SETTINGS!$B$10)</f>
        <v/>
      </c>
      <c r="L855" s="15" t="str">
        <f t="shared" si="53"/>
        <v/>
      </c>
      <c r="M855" s="10" t="str">
        <f t="shared" si="54"/>
        <v/>
      </c>
      <c r="N855" s="10" t="str">
        <f t="shared" si="55"/>
        <v/>
      </c>
      <c r="O855" s="8"/>
    </row>
    <row r="856" spans="1:15" x14ac:dyDescent="0.2">
      <c r="A856" s="10" t="str">
        <f t="shared" si="52"/>
        <v/>
      </c>
      <c r="B856" s="8"/>
      <c r="C856" s="8"/>
      <c r="D856" s="8"/>
      <c r="E856" s="8" t="str">
        <f ca="1">IFERROR(_xludf.XLOOKUP(D856,STUDENTS!$A$5:$A$204,STUDENTS!$C$5:$C$204,""),"")</f>
        <v/>
      </c>
      <c r="F856" s="8" t="str">
        <f ca="1">IFERROR(_xludf.XLOOKUP(D856,STUDENTS!$A$5:$A$204,STUDENTS!$L$5:$L$204,""),"")</f>
        <v/>
      </c>
      <c r="G856" s="8"/>
      <c r="H856" s="14"/>
      <c r="I856" s="14"/>
      <c r="J856" s="15" t="str">
        <f>IF(H856="","",H856*SETTINGS!$B$9)</f>
        <v/>
      </c>
      <c r="K856" s="15" t="str">
        <f>IF(I856="","",I856*SETTINGS!$B$10)</f>
        <v/>
      </c>
      <c r="L856" s="15" t="str">
        <f t="shared" si="53"/>
        <v/>
      </c>
      <c r="M856" s="10" t="str">
        <f t="shared" si="54"/>
        <v/>
      </c>
      <c r="N856" s="10" t="str">
        <f t="shared" si="55"/>
        <v/>
      </c>
      <c r="O856" s="8"/>
    </row>
    <row r="857" spans="1:15" x14ac:dyDescent="0.2">
      <c r="A857" s="10" t="str">
        <f t="shared" si="52"/>
        <v/>
      </c>
      <c r="B857" s="8"/>
      <c r="C857" s="8"/>
      <c r="D857" s="8"/>
      <c r="E857" s="8" t="str">
        <f ca="1">IFERROR(_xludf.XLOOKUP(D857,STUDENTS!$A$5:$A$204,STUDENTS!$C$5:$C$204,""),"")</f>
        <v/>
      </c>
      <c r="F857" s="8" t="str">
        <f ca="1">IFERROR(_xludf.XLOOKUP(D857,STUDENTS!$A$5:$A$204,STUDENTS!$L$5:$L$204,""),"")</f>
        <v/>
      </c>
      <c r="G857" s="8"/>
      <c r="H857" s="14"/>
      <c r="I857" s="14"/>
      <c r="J857" s="15" t="str">
        <f>IF(H857="","",H857*SETTINGS!$B$9)</f>
        <v/>
      </c>
      <c r="K857" s="15" t="str">
        <f>IF(I857="","",I857*SETTINGS!$B$10)</f>
        <v/>
      </c>
      <c r="L857" s="15" t="str">
        <f t="shared" si="53"/>
        <v/>
      </c>
      <c r="M857" s="10" t="str">
        <f t="shared" si="54"/>
        <v/>
      </c>
      <c r="N857" s="10" t="str">
        <f t="shared" si="55"/>
        <v/>
      </c>
      <c r="O857" s="8"/>
    </row>
    <row r="858" spans="1:15" x14ac:dyDescent="0.2">
      <c r="A858" s="10" t="str">
        <f t="shared" si="52"/>
        <v/>
      </c>
      <c r="B858" s="8"/>
      <c r="C858" s="8"/>
      <c r="D858" s="8"/>
      <c r="E858" s="8" t="str">
        <f ca="1">IFERROR(_xludf.XLOOKUP(D858,STUDENTS!$A$5:$A$204,STUDENTS!$C$5:$C$204,""),"")</f>
        <v/>
      </c>
      <c r="F858" s="8" t="str">
        <f ca="1">IFERROR(_xludf.XLOOKUP(D858,STUDENTS!$A$5:$A$204,STUDENTS!$L$5:$L$204,""),"")</f>
        <v/>
      </c>
      <c r="G858" s="8"/>
      <c r="H858" s="14"/>
      <c r="I858" s="14"/>
      <c r="J858" s="15" t="str">
        <f>IF(H858="","",H858*SETTINGS!$B$9)</f>
        <v/>
      </c>
      <c r="K858" s="15" t="str">
        <f>IF(I858="","",I858*SETTINGS!$B$10)</f>
        <v/>
      </c>
      <c r="L858" s="15" t="str">
        <f t="shared" si="53"/>
        <v/>
      </c>
      <c r="M858" s="10" t="str">
        <f t="shared" si="54"/>
        <v/>
      </c>
      <c r="N858" s="10" t="str">
        <f t="shared" si="55"/>
        <v/>
      </c>
      <c r="O858" s="8"/>
    </row>
    <row r="859" spans="1:15" x14ac:dyDescent="0.2">
      <c r="A859" s="10" t="str">
        <f t="shared" si="52"/>
        <v/>
      </c>
      <c r="B859" s="8"/>
      <c r="C859" s="8"/>
      <c r="D859" s="8"/>
      <c r="E859" s="8" t="str">
        <f ca="1">IFERROR(_xludf.XLOOKUP(D859,STUDENTS!$A$5:$A$204,STUDENTS!$C$5:$C$204,""),"")</f>
        <v/>
      </c>
      <c r="F859" s="8" t="str">
        <f ca="1">IFERROR(_xludf.XLOOKUP(D859,STUDENTS!$A$5:$A$204,STUDENTS!$L$5:$L$204,""),"")</f>
        <v/>
      </c>
      <c r="G859" s="8"/>
      <c r="H859" s="14"/>
      <c r="I859" s="14"/>
      <c r="J859" s="15" t="str">
        <f>IF(H859="","",H859*SETTINGS!$B$9)</f>
        <v/>
      </c>
      <c r="K859" s="15" t="str">
        <f>IF(I859="","",I859*SETTINGS!$B$10)</f>
        <v/>
      </c>
      <c r="L859" s="15" t="str">
        <f t="shared" si="53"/>
        <v/>
      </c>
      <c r="M859" s="10" t="str">
        <f t="shared" si="54"/>
        <v/>
      </c>
      <c r="N859" s="10" t="str">
        <f t="shared" si="55"/>
        <v/>
      </c>
      <c r="O859" s="8"/>
    </row>
    <row r="860" spans="1:15" x14ac:dyDescent="0.2">
      <c r="A860" s="10" t="str">
        <f t="shared" si="52"/>
        <v/>
      </c>
      <c r="B860" s="8"/>
      <c r="C860" s="8"/>
      <c r="D860" s="8"/>
      <c r="E860" s="8" t="str">
        <f ca="1">IFERROR(_xludf.XLOOKUP(D860,STUDENTS!$A$5:$A$204,STUDENTS!$C$5:$C$204,""),"")</f>
        <v/>
      </c>
      <c r="F860" s="8" t="str">
        <f ca="1">IFERROR(_xludf.XLOOKUP(D860,STUDENTS!$A$5:$A$204,STUDENTS!$L$5:$L$204,""),"")</f>
        <v/>
      </c>
      <c r="G860" s="8"/>
      <c r="H860" s="14"/>
      <c r="I860" s="14"/>
      <c r="J860" s="15" t="str">
        <f>IF(H860="","",H860*SETTINGS!$B$9)</f>
        <v/>
      </c>
      <c r="K860" s="15" t="str">
        <f>IF(I860="","",I860*SETTINGS!$B$10)</f>
        <v/>
      </c>
      <c r="L860" s="15" t="str">
        <f t="shared" si="53"/>
        <v/>
      </c>
      <c r="M860" s="10" t="str">
        <f t="shared" si="54"/>
        <v/>
      </c>
      <c r="N860" s="10" t="str">
        <f t="shared" si="55"/>
        <v/>
      </c>
      <c r="O860" s="8"/>
    </row>
    <row r="861" spans="1:15" x14ac:dyDescent="0.2">
      <c r="A861" s="10" t="str">
        <f t="shared" si="52"/>
        <v/>
      </c>
      <c r="B861" s="8"/>
      <c r="C861" s="8"/>
      <c r="D861" s="8"/>
      <c r="E861" s="8" t="str">
        <f ca="1">IFERROR(_xludf.XLOOKUP(D861,STUDENTS!$A$5:$A$204,STUDENTS!$C$5:$C$204,""),"")</f>
        <v/>
      </c>
      <c r="F861" s="8" t="str">
        <f ca="1">IFERROR(_xludf.XLOOKUP(D861,STUDENTS!$A$5:$A$204,STUDENTS!$L$5:$L$204,""),"")</f>
        <v/>
      </c>
      <c r="G861" s="8"/>
      <c r="H861" s="14"/>
      <c r="I861" s="14"/>
      <c r="J861" s="15" t="str">
        <f>IF(H861="","",H861*SETTINGS!$B$9)</f>
        <v/>
      </c>
      <c r="K861" s="15" t="str">
        <f>IF(I861="","",I861*SETTINGS!$B$10)</f>
        <v/>
      </c>
      <c r="L861" s="15" t="str">
        <f t="shared" si="53"/>
        <v/>
      </c>
      <c r="M861" s="10" t="str">
        <f t="shared" si="54"/>
        <v/>
      </c>
      <c r="N861" s="10" t="str">
        <f t="shared" si="55"/>
        <v/>
      </c>
      <c r="O861" s="8"/>
    </row>
    <row r="862" spans="1:15" x14ac:dyDescent="0.2">
      <c r="A862" s="10" t="str">
        <f t="shared" si="52"/>
        <v/>
      </c>
      <c r="B862" s="8"/>
      <c r="C862" s="8"/>
      <c r="D862" s="8"/>
      <c r="E862" s="8" t="str">
        <f ca="1">IFERROR(_xludf.XLOOKUP(D862,STUDENTS!$A$5:$A$204,STUDENTS!$C$5:$C$204,""),"")</f>
        <v/>
      </c>
      <c r="F862" s="8" t="str">
        <f ca="1">IFERROR(_xludf.XLOOKUP(D862,STUDENTS!$A$5:$A$204,STUDENTS!$L$5:$L$204,""),"")</f>
        <v/>
      </c>
      <c r="G862" s="8"/>
      <c r="H862" s="14"/>
      <c r="I862" s="14"/>
      <c r="J862" s="15" t="str">
        <f>IF(H862="","",H862*SETTINGS!$B$9)</f>
        <v/>
      </c>
      <c r="K862" s="15" t="str">
        <f>IF(I862="","",I862*SETTINGS!$B$10)</f>
        <v/>
      </c>
      <c r="L862" s="15" t="str">
        <f t="shared" si="53"/>
        <v/>
      </c>
      <c r="M862" s="10" t="str">
        <f t="shared" si="54"/>
        <v/>
      </c>
      <c r="N862" s="10" t="str">
        <f t="shared" si="55"/>
        <v/>
      </c>
      <c r="O862" s="8"/>
    </row>
    <row r="863" spans="1:15" x14ac:dyDescent="0.2">
      <c r="A863" s="10" t="str">
        <f t="shared" si="52"/>
        <v/>
      </c>
      <c r="B863" s="8"/>
      <c r="C863" s="8"/>
      <c r="D863" s="8"/>
      <c r="E863" s="8" t="str">
        <f ca="1">IFERROR(_xludf.XLOOKUP(D863,STUDENTS!$A$5:$A$204,STUDENTS!$C$5:$C$204,""),"")</f>
        <v/>
      </c>
      <c r="F863" s="8" t="str">
        <f ca="1">IFERROR(_xludf.XLOOKUP(D863,STUDENTS!$A$5:$A$204,STUDENTS!$L$5:$L$204,""),"")</f>
        <v/>
      </c>
      <c r="G863" s="8"/>
      <c r="H863" s="14"/>
      <c r="I863" s="14"/>
      <c r="J863" s="15" t="str">
        <f>IF(H863="","",H863*SETTINGS!$B$9)</f>
        <v/>
      </c>
      <c r="K863" s="15" t="str">
        <f>IF(I863="","",I863*SETTINGS!$B$10)</f>
        <v/>
      </c>
      <c r="L863" s="15" t="str">
        <f t="shared" si="53"/>
        <v/>
      </c>
      <c r="M863" s="10" t="str">
        <f t="shared" si="54"/>
        <v/>
      </c>
      <c r="N863" s="10" t="str">
        <f t="shared" si="55"/>
        <v/>
      </c>
      <c r="O863" s="8"/>
    </row>
    <row r="864" spans="1:15" x14ac:dyDescent="0.2">
      <c r="A864" s="10" t="str">
        <f t="shared" si="52"/>
        <v/>
      </c>
      <c r="B864" s="8"/>
      <c r="C864" s="8"/>
      <c r="D864" s="8"/>
      <c r="E864" s="8" t="str">
        <f ca="1">IFERROR(_xludf.XLOOKUP(D864,STUDENTS!$A$5:$A$204,STUDENTS!$C$5:$C$204,""),"")</f>
        <v/>
      </c>
      <c r="F864" s="8" t="str">
        <f ca="1">IFERROR(_xludf.XLOOKUP(D864,STUDENTS!$A$5:$A$204,STUDENTS!$L$5:$L$204,""),"")</f>
        <v/>
      </c>
      <c r="G864" s="8"/>
      <c r="H864" s="14"/>
      <c r="I864" s="14"/>
      <c r="J864" s="15" t="str">
        <f>IF(H864="","",H864*SETTINGS!$B$9)</f>
        <v/>
      </c>
      <c r="K864" s="15" t="str">
        <f>IF(I864="","",I864*SETTINGS!$B$10)</f>
        <v/>
      </c>
      <c r="L864" s="15" t="str">
        <f t="shared" si="53"/>
        <v/>
      </c>
      <c r="M864" s="10" t="str">
        <f t="shared" si="54"/>
        <v/>
      </c>
      <c r="N864" s="10" t="str">
        <f t="shared" si="55"/>
        <v/>
      </c>
      <c r="O864" s="8"/>
    </row>
    <row r="865" spans="1:15" x14ac:dyDescent="0.2">
      <c r="A865" s="10" t="str">
        <f t="shared" si="52"/>
        <v/>
      </c>
      <c r="B865" s="8"/>
      <c r="C865" s="8"/>
      <c r="D865" s="8"/>
      <c r="E865" s="8" t="str">
        <f ca="1">IFERROR(_xludf.XLOOKUP(D865,STUDENTS!$A$5:$A$204,STUDENTS!$C$5:$C$204,""),"")</f>
        <v/>
      </c>
      <c r="F865" s="8" t="str">
        <f ca="1">IFERROR(_xludf.XLOOKUP(D865,STUDENTS!$A$5:$A$204,STUDENTS!$L$5:$L$204,""),"")</f>
        <v/>
      </c>
      <c r="G865" s="8"/>
      <c r="H865" s="14"/>
      <c r="I865" s="14"/>
      <c r="J865" s="15" t="str">
        <f>IF(H865="","",H865*SETTINGS!$B$9)</f>
        <v/>
      </c>
      <c r="K865" s="15" t="str">
        <f>IF(I865="","",I865*SETTINGS!$B$10)</f>
        <v/>
      </c>
      <c r="L865" s="15" t="str">
        <f t="shared" si="53"/>
        <v/>
      </c>
      <c r="M865" s="10" t="str">
        <f t="shared" si="54"/>
        <v/>
      </c>
      <c r="N865" s="10" t="str">
        <f t="shared" si="55"/>
        <v/>
      </c>
      <c r="O865" s="8"/>
    </row>
    <row r="866" spans="1:15" x14ac:dyDescent="0.2">
      <c r="A866" s="10" t="str">
        <f t="shared" si="52"/>
        <v/>
      </c>
      <c r="B866" s="8"/>
      <c r="C866" s="8"/>
      <c r="D866" s="8"/>
      <c r="E866" s="8" t="str">
        <f ca="1">IFERROR(_xludf.XLOOKUP(D866,STUDENTS!$A$5:$A$204,STUDENTS!$C$5:$C$204,""),"")</f>
        <v/>
      </c>
      <c r="F866" s="8" t="str">
        <f ca="1">IFERROR(_xludf.XLOOKUP(D866,STUDENTS!$A$5:$A$204,STUDENTS!$L$5:$L$204,""),"")</f>
        <v/>
      </c>
      <c r="G866" s="8"/>
      <c r="H866" s="14"/>
      <c r="I866" s="14"/>
      <c r="J866" s="15" t="str">
        <f>IF(H866="","",H866*SETTINGS!$B$9)</f>
        <v/>
      </c>
      <c r="K866" s="15" t="str">
        <f>IF(I866="","",I866*SETTINGS!$B$10)</f>
        <v/>
      </c>
      <c r="L866" s="15" t="str">
        <f t="shared" si="53"/>
        <v/>
      </c>
      <c r="M866" s="10" t="str">
        <f t="shared" si="54"/>
        <v/>
      </c>
      <c r="N866" s="10" t="str">
        <f t="shared" si="55"/>
        <v/>
      </c>
      <c r="O866" s="8"/>
    </row>
    <row r="867" spans="1:15" x14ac:dyDescent="0.2">
      <c r="A867" s="10" t="str">
        <f t="shared" si="52"/>
        <v/>
      </c>
      <c r="B867" s="8"/>
      <c r="C867" s="8"/>
      <c r="D867" s="8"/>
      <c r="E867" s="8" t="str">
        <f ca="1">IFERROR(_xludf.XLOOKUP(D867,STUDENTS!$A$5:$A$204,STUDENTS!$C$5:$C$204,""),"")</f>
        <v/>
      </c>
      <c r="F867" s="8" t="str">
        <f ca="1">IFERROR(_xludf.XLOOKUP(D867,STUDENTS!$A$5:$A$204,STUDENTS!$L$5:$L$204,""),"")</f>
        <v/>
      </c>
      <c r="G867" s="8"/>
      <c r="H867" s="14"/>
      <c r="I867" s="14"/>
      <c r="J867" s="15" t="str">
        <f>IF(H867="","",H867*SETTINGS!$B$9)</f>
        <v/>
      </c>
      <c r="K867" s="15" t="str">
        <f>IF(I867="","",I867*SETTINGS!$B$10)</f>
        <v/>
      </c>
      <c r="L867" s="15" t="str">
        <f t="shared" si="53"/>
        <v/>
      </c>
      <c r="M867" s="10" t="str">
        <f t="shared" si="54"/>
        <v/>
      </c>
      <c r="N867" s="10" t="str">
        <f t="shared" si="55"/>
        <v/>
      </c>
      <c r="O867" s="8"/>
    </row>
    <row r="868" spans="1:15" x14ac:dyDescent="0.2">
      <c r="A868" s="10" t="str">
        <f t="shared" si="52"/>
        <v/>
      </c>
      <c r="B868" s="8"/>
      <c r="C868" s="8"/>
      <c r="D868" s="8"/>
      <c r="E868" s="8" t="str">
        <f ca="1">IFERROR(_xludf.XLOOKUP(D868,STUDENTS!$A$5:$A$204,STUDENTS!$C$5:$C$204,""),"")</f>
        <v/>
      </c>
      <c r="F868" s="8" t="str">
        <f ca="1">IFERROR(_xludf.XLOOKUP(D868,STUDENTS!$A$5:$A$204,STUDENTS!$L$5:$L$204,""),"")</f>
        <v/>
      </c>
      <c r="G868" s="8"/>
      <c r="H868" s="14"/>
      <c r="I868" s="14"/>
      <c r="J868" s="15" t="str">
        <f>IF(H868="","",H868*SETTINGS!$B$9)</f>
        <v/>
      </c>
      <c r="K868" s="15" t="str">
        <f>IF(I868="","",I868*SETTINGS!$B$10)</f>
        <v/>
      </c>
      <c r="L868" s="15" t="str">
        <f t="shared" si="53"/>
        <v/>
      </c>
      <c r="M868" s="10" t="str">
        <f t="shared" si="54"/>
        <v/>
      </c>
      <c r="N868" s="10" t="str">
        <f t="shared" si="55"/>
        <v/>
      </c>
      <c r="O868" s="8"/>
    </row>
    <row r="869" spans="1:15" x14ac:dyDescent="0.2">
      <c r="A869" s="10" t="str">
        <f t="shared" si="52"/>
        <v/>
      </c>
      <c r="B869" s="8"/>
      <c r="C869" s="8"/>
      <c r="D869" s="8"/>
      <c r="E869" s="8" t="str">
        <f ca="1">IFERROR(_xludf.XLOOKUP(D869,STUDENTS!$A$5:$A$204,STUDENTS!$C$5:$C$204,""),"")</f>
        <v/>
      </c>
      <c r="F869" s="8" t="str">
        <f ca="1">IFERROR(_xludf.XLOOKUP(D869,STUDENTS!$A$5:$A$204,STUDENTS!$L$5:$L$204,""),"")</f>
        <v/>
      </c>
      <c r="G869" s="8"/>
      <c r="H869" s="14"/>
      <c r="I869" s="14"/>
      <c r="J869" s="15" t="str">
        <f>IF(H869="","",H869*SETTINGS!$B$9)</f>
        <v/>
      </c>
      <c r="K869" s="15" t="str">
        <f>IF(I869="","",I869*SETTINGS!$B$10)</f>
        <v/>
      </c>
      <c r="L869" s="15" t="str">
        <f t="shared" si="53"/>
        <v/>
      </c>
      <c r="M869" s="10" t="str">
        <f t="shared" si="54"/>
        <v/>
      </c>
      <c r="N869" s="10" t="str">
        <f t="shared" si="55"/>
        <v/>
      </c>
      <c r="O869" s="8"/>
    </row>
    <row r="870" spans="1:15" x14ac:dyDescent="0.2">
      <c r="A870" s="10" t="str">
        <f t="shared" si="52"/>
        <v/>
      </c>
      <c r="B870" s="8"/>
      <c r="C870" s="8"/>
      <c r="D870" s="8"/>
      <c r="E870" s="8" t="str">
        <f ca="1">IFERROR(_xludf.XLOOKUP(D870,STUDENTS!$A$5:$A$204,STUDENTS!$C$5:$C$204,""),"")</f>
        <v/>
      </c>
      <c r="F870" s="8" t="str">
        <f ca="1">IFERROR(_xludf.XLOOKUP(D870,STUDENTS!$A$5:$A$204,STUDENTS!$L$5:$L$204,""),"")</f>
        <v/>
      </c>
      <c r="G870" s="8"/>
      <c r="H870" s="14"/>
      <c r="I870" s="14"/>
      <c r="J870" s="15" t="str">
        <f>IF(H870="","",H870*SETTINGS!$B$9)</f>
        <v/>
      </c>
      <c r="K870" s="15" t="str">
        <f>IF(I870="","",I870*SETTINGS!$B$10)</f>
        <v/>
      </c>
      <c r="L870" s="15" t="str">
        <f t="shared" si="53"/>
        <v/>
      </c>
      <c r="M870" s="10" t="str">
        <f t="shared" si="54"/>
        <v/>
      </c>
      <c r="N870" s="10" t="str">
        <f t="shared" si="55"/>
        <v/>
      </c>
      <c r="O870" s="8"/>
    </row>
    <row r="871" spans="1:15" x14ac:dyDescent="0.2">
      <c r="A871" s="10" t="str">
        <f t="shared" si="52"/>
        <v/>
      </c>
      <c r="B871" s="8"/>
      <c r="C871" s="8"/>
      <c r="D871" s="8"/>
      <c r="E871" s="8" t="str">
        <f ca="1">IFERROR(_xludf.XLOOKUP(D871,STUDENTS!$A$5:$A$204,STUDENTS!$C$5:$C$204,""),"")</f>
        <v/>
      </c>
      <c r="F871" s="8" t="str">
        <f ca="1">IFERROR(_xludf.XLOOKUP(D871,STUDENTS!$A$5:$A$204,STUDENTS!$L$5:$L$204,""),"")</f>
        <v/>
      </c>
      <c r="G871" s="8"/>
      <c r="H871" s="14"/>
      <c r="I871" s="14"/>
      <c r="J871" s="15" t="str">
        <f>IF(H871="","",H871*SETTINGS!$B$9)</f>
        <v/>
      </c>
      <c r="K871" s="15" t="str">
        <f>IF(I871="","",I871*SETTINGS!$B$10)</f>
        <v/>
      </c>
      <c r="L871" s="15" t="str">
        <f t="shared" si="53"/>
        <v/>
      </c>
      <c r="M871" s="10" t="str">
        <f t="shared" si="54"/>
        <v/>
      </c>
      <c r="N871" s="10" t="str">
        <f t="shared" si="55"/>
        <v/>
      </c>
      <c r="O871" s="8"/>
    </row>
    <row r="872" spans="1:15" x14ac:dyDescent="0.2">
      <c r="A872" s="10" t="str">
        <f t="shared" si="52"/>
        <v/>
      </c>
      <c r="B872" s="8"/>
      <c r="C872" s="8"/>
      <c r="D872" s="8"/>
      <c r="E872" s="8" t="str">
        <f ca="1">IFERROR(_xludf.XLOOKUP(D872,STUDENTS!$A$5:$A$204,STUDENTS!$C$5:$C$204,""),"")</f>
        <v/>
      </c>
      <c r="F872" s="8" t="str">
        <f ca="1">IFERROR(_xludf.XLOOKUP(D872,STUDENTS!$A$5:$A$204,STUDENTS!$L$5:$L$204,""),"")</f>
        <v/>
      </c>
      <c r="G872" s="8"/>
      <c r="H872" s="14"/>
      <c r="I872" s="14"/>
      <c r="J872" s="15" t="str">
        <f>IF(H872="","",H872*SETTINGS!$B$9)</f>
        <v/>
      </c>
      <c r="K872" s="15" t="str">
        <f>IF(I872="","",I872*SETTINGS!$B$10)</f>
        <v/>
      </c>
      <c r="L872" s="15" t="str">
        <f t="shared" si="53"/>
        <v/>
      </c>
      <c r="M872" s="10" t="str">
        <f t="shared" si="54"/>
        <v/>
      </c>
      <c r="N872" s="10" t="str">
        <f t="shared" si="55"/>
        <v/>
      </c>
      <c r="O872" s="8"/>
    </row>
    <row r="873" spans="1:15" x14ac:dyDescent="0.2">
      <c r="A873" s="10" t="str">
        <f t="shared" si="52"/>
        <v/>
      </c>
      <c r="B873" s="8"/>
      <c r="C873" s="8"/>
      <c r="D873" s="8"/>
      <c r="E873" s="8" t="str">
        <f ca="1">IFERROR(_xludf.XLOOKUP(D873,STUDENTS!$A$5:$A$204,STUDENTS!$C$5:$C$204,""),"")</f>
        <v/>
      </c>
      <c r="F873" s="8" t="str">
        <f ca="1">IFERROR(_xludf.XLOOKUP(D873,STUDENTS!$A$5:$A$204,STUDENTS!$L$5:$L$204,""),"")</f>
        <v/>
      </c>
      <c r="G873" s="8"/>
      <c r="H873" s="14"/>
      <c r="I873" s="14"/>
      <c r="J873" s="15" t="str">
        <f>IF(H873="","",H873*SETTINGS!$B$9)</f>
        <v/>
      </c>
      <c r="K873" s="15" t="str">
        <f>IF(I873="","",I873*SETTINGS!$B$10)</f>
        <v/>
      </c>
      <c r="L873" s="15" t="str">
        <f t="shared" si="53"/>
        <v/>
      </c>
      <c r="M873" s="10" t="str">
        <f t="shared" si="54"/>
        <v/>
      </c>
      <c r="N873" s="10" t="str">
        <f t="shared" si="55"/>
        <v/>
      </c>
      <c r="O873" s="8"/>
    </row>
    <row r="874" spans="1:15" x14ac:dyDescent="0.2">
      <c r="A874" s="10" t="str">
        <f t="shared" si="52"/>
        <v/>
      </c>
      <c r="B874" s="8"/>
      <c r="C874" s="8"/>
      <c r="D874" s="8"/>
      <c r="E874" s="8" t="str">
        <f ca="1">IFERROR(_xludf.XLOOKUP(D874,STUDENTS!$A$5:$A$204,STUDENTS!$C$5:$C$204,""),"")</f>
        <v/>
      </c>
      <c r="F874" s="8" t="str">
        <f ca="1">IFERROR(_xludf.XLOOKUP(D874,STUDENTS!$A$5:$A$204,STUDENTS!$L$5:$L$204,""),"")</f>
        <v/>
      </c>
      <c r="G874" s="8"/>
      <c r="H874" s="14"/>
      <c r="I874" s="14"/>
      <c r="J874" s="15" t="str">
        <f>IF(H874="","",H874*SETTINGS!$B$9)</f>
        <v/>
      </c>
      <c r="K874" s="15" t="str">
        <f>IF(I874="","",I874*SETTINGS!$B$10)</f>
        <v/>
      </c>
      <c r="L874" s="15" t="str">
        <f t="shared" si="53"/>
        <v/>
      </c>
      <c r="M874" s="10" t="str">
        <f t="shared" si="54"/>
        <v/>
      </c>
      <c r="N874" s="10" t="str">
        <f t="shared" si="55"/>
        <v/>
      </c>
      <c r="O874" s="8"/>
    </row>
    <row r="875" spans="1:15" x14ac:dyDescent="0.2">
      <c r="A875" s="10" t="str">
        <f t="shared" si="52"/>
        <v/>
      </c>
      <c r="B875" s="8"/>
      <c r="C875" s="8"/>
      <c r="D875" s="8"/>
      <c r="E875" s="8" t="str">
        <f ca="1">IFERROR(_xludf.XLOOKUP(D875,STUDENTS!$A$5:$A$204,STUDENTS!$C$5:$C$204,""),"")</f>
        <v/>
      </c>
      <c r="F875" s="8" t="str">
        <f ca="1">IFERROR(_xludf.XLOOKUP(D875,STUDENTS!$A$5:$A$204,STUDENTS!$L$5:$L$204,""),"")</f>
        <v/>
      </c>
      <c r="G875" s="8"/>
      <c r="H875" s="14"/>
      <c r="I875" s="14"/>
      <c r="J875" s="15" t="str">
        <f>IF(H875="","",H875*SETTINGS!$B$9)</f>
        <v/>
      </c>
      <c r="K875" s="15" t="str">
        <f>IF(I875="","",I875*SETTINGS!$B$10)</f>
        <v/>
      </c>
      <c r="L875" s="15" t="str">
        <f t="shared" si="53"/>
        <v/>
      </c>
      <c r="M875" s="10" t="str">
        <f t="shared" si="54"/>
        <v/>
      </c>
      <c r="N875" s="10" t="str">
        <f t="shared" si="55"/>
        <v/>
      </c>
      <c r="O875" s="8"/>
    </row>
    <row r="876" spans="1:15" x14ac:dyDescent="0.2">
      <c r="A876" s="10" t="str">
        <f t="shared" si="52"/>
        <v/>
      </c>
      <c r="B876" s="8"/>
      <c r="C876" s="8"/>
      <c r="D876" s="8"/>
      <c r="E876" s="8" t="str">
        <f ca="1">IFERROR(_xludf.XLOOKUP(D876,STUDENTS!$A$5:$A$204,STUDENTS!$C$5:$C$204,""),"")</f>
        <v/>
      </c>
      <c r="F876" s="8" t="str">
        <f ca="1">IFERROR(_xludf.XLOOKUP(D876,STUDENTS!$A$5:$A$204,STUDENTS!$L$5:$L$204,""),"")</f>
        <v/>
      </c>
      <c r="G876" s="8"/>
      <c r="H876" s="14"/>
      <c r="I876" s="14"/>
      <c r="J876" s="15" t="str">
        <f>IF(H876="","",H876*SETTINGS!$B$9)</f>
        <v/>
      </c>
      <c r="K876" s="15" t="str">
        <f>IF(I876="","",I876*SETTINGS!$B$10)</f>
        <v/>
      </c>
      <c r="L876" s="15" t="str">
        <f t="shared" si="53"/>
        <v/>
      </c>
      <c r="M876" s="10" t="str">
        <f t="shared" si="54"/>
        <v/>
      </c>
      <c r="N876" s="10" t="str">
        <f t="shared" si="55"/>
        <v/>
      </c>
      <c r="O876" s="8"/>
    </row>
    <row r="877" spans="1:15" x14ac:dyDescent="0.2">
      <c r="A877" s="10" t="str">
        <f t="shared" si="52"/>
        <v/>
      </c>
      <c r="B877" s="8"/>
      <c r="C877" s="8"/>
      <c r="D877" s="8"/>
      <c r="E877" s="8" t="str">
        <f ca="1">IFERROR(_xludf.XLOOKUP(D877,STUDENTS!$A$5:$A$204,STUDENTS!$C$5:$C$204,""),"")</f>
        <v/>
      </c>
      <c r="F877" s="8" t="str">
        <f ca="1">IFERROR(_xludf.XLOOKUP(D877,STUDENTS!$A$5:$A$204,STUDENTS!$L$5:$L$204,""),"")</f>
        <v/>
      </c>
      <c r="G877" s="8"/>
      <c r="H877" s="14"/>
      <c r="I877" s="14"/>
      <c r="J877" s="15" t="str">
        <f>IF(H877="","",H877*SETTINGS!$B$9)</f>
        <v/>
      </c>
      <c r="K877" s="15" t="str">
        <f>IF(I877="","",I877*SETTINGS!$B$10)</f>
        <v/>
      </c>
      <c r="L877" s="15" t="str">
        <f t="shared" si="53"/>
        <v/>
      </c>
      <c r="M877" s="10" t="str">
        <f t="shared" si="54"/>
        <v/>
      </c>
      <c r="N877" s="10" t="str">
        <f t="shared" si="55"/>
        <v/>
      </c>
      <c r="O877" s="8"/>
    </row>
    <row r="878" spans="1:15" x14ac:dyDescent="0.2">
      <c r="A878" s="10" t="str">
        <f t="shared" si="52"/>
        <v/>
      </c>
      <c r="B878" s="8"/>
      <c r="C878" s="8"/>
      <c r="D878" s="8"/>
      <c r="E878" s="8" t="str">
        <f ca="1">IFERROR(_xludf.XLOOKUP(D878,STUDENTS!$A$5:$A$204,STUDENTS!$C$5:$C$204,""),"")</f>
        <v/>
      </c>
      <c r="F878" s="8" t="str">
        <f ca="1">IFERROR(_xludf.XLOOKUP(D878,STUDENTS!$A$5:$A$204,STUDENTS!$L$5:$L$204,""),"")</f>
        <v/>
      </c>
      <c r="G878" s="8"/>
      <c r="H878" s="14"/>
      <c r="I878" s="14"/>
      <c r="J878" s="15" t="str">
        <f>IF(H878="","",H878*SETTINGS!$B$9)</f>
        <v/>
      </c>
      <c r="K878" s="15" t="str">
        <f>IF(I878="","",I878*SETTINGS!$B$10)</f>
        <v/>
      </c>
      <c r="L878" s="15" t="str">
        <f t="shared" si="53"/>
        <v/>
      </c>
      <c r="M878" s="10" t="str">
        <f t="shared" si="54"/>
        <v/>
      </c>
      <c r="N878" s="10" t="str">
        <f t="shared" si="55"/>
        <v/>
      </c>
      <c r="O878" s="8"/>
    </row>
    <row r="879" spans="1:15" x14ac:dyDescent="0.2">
      <c r="A879" s="10" t="str">
        <f t="shared" si="52"/>
        <v/>
      </c>
      <c r="B879" s="8"/>
      <c r="C879" s="8"/>
      <c r="D879" s="8"/>
      <c r="E879" s="8" t="str">
        <f ca="1">IFERROR(_xludf.XLOOKUP(D879,STUDENTS!$A$5:$A$204,STUDENTS!$C$5:$C$204,""),"")</f>
        <v/>
      </c>
      <c r="F879" s="8" t="str">
        <f ca="1">IFERROR(_xludf.XLOOKUP(D879,STUDENTS!$A$5:$A$204,STUDENTS!$L$5:$L$204,""),"")</f>
        <v/>
      </c>
      <c r="G879" s="8"/>
      <c r="H879" s="14"/>
      <c r="I879" s="14"/>
      <c r="J879" s="15" t="str">
        <f>IF(H879="","",H879*SETTINGS!$B$9)</f>
        <v/>
      </c>
      <c r="K879" s="15" t="str">
        <f>IF(I879="","",I879*SETTINGS!$B$10)</f>
        <v/>
      </c>
      <c r="L879" s="15" t="str">
        <f t="shared" si="53"/>
        <v/>
      </c>
      <c r="M879" s="10" t="str">
        <f t="shared" si="54"/>
        <v/>
      </c>
      <c r="N879" s="10" t="str">
        <f t="shared" si="55"/>
        <v/>
      </c>
      <c r="O879" s="8"/>
    </row>
    <row r="880" spans="1:15" x14ac:dyDescent="0.2">
      <c r="A880" s="10" t="str">
        <f t="shared" si="52"/>
        <v/>
      </c>
      <c r="B880" s="8"/>
      <c r="C880" s="8"/>
      <c r="D880" s="8"/>
      <c r="E880" s="8" t="str">
        <f ca="1">IFERROR(_xludf.XLOOKUP(D880,STUDENTS!$A$5:$A$204,STUDENTS!$C$5:$C$204,""),"")</f>
        <v/>
      </c>
      <c r="F880" s="8" t="str">
        <f ca="1">IFERROR(_xludf.XLOOKUP(D880,STUDENTS!$A$5:$A$204,STUDENTS!$L$5:$L$204,""),"")</f>
        <v/>
      </c>
      <c r="G880" s="8"/>
      <c r="H880" s="14"/>
      <c r="I880" s="14"/>
      <c r="J880" s="15" t="str">
        <f>IF(H880="","",H880*SETTINGS!$B$9)</f>
        <v/>
      </c>
      <c r="K880" s="15" t="str">
        <f>IF(I880="","",I880*SETTINGS!$B$10)</f>
        <v/>
      </c>
      <c r="L880" s="15" t="str">
        <f t="shared" si="53"/>
        <v/>
      </c>
      <c r="M880" s="10" t="str">
        <f t="shared" si="54"/>
        <v/>
      </c>
      <c r="N880" s="10" t="str">
        <f t="shared" si="55"/>
        <v/>
      </c>
      <c r="O880" s="8"/>
    </row>
    <row r="881" spans="1:15" x14ac:dyDescent="0.2">
      <c r="A881" s="10" t="str">
        <f t="shared" si="52"/>
        <v/>
      </c>
      <c r="B881" s="8"/>
      <c r="C881" s="8"/>
      <c r="D881" s="8"/>
      <c r="E881" s="8" t="str">
        <f ca="1">IFERROR(_xludf.XLOOKUP(D881,STUDENTS!$A$5:$A$204,STUDENTS!$C$5:$C$204,""),"")</f>
        <v/>
      </c>
      <c r="F881" s="8" t="str">
        <f ca="1">IFERROR(_xludf.XLOOKUP(D881,STUDENTS!$A$5:$A$204,STUDENTS!$L$5:$L$204,""),"")</f>
        <v/>
      </c>
      <c r="G881" s="8"/>
      <c r="H881" s="14"/>
      <c r="I881" s="14"/>
      <c r="J881" s="15" t="str">
        <f>IF(H881="","",H881*SETTINGS!$B$9)</f>
        <v/>
      </c>
      <c r="K881" s="15" t="str">
        <f>IF(I881="","",I881*SETTINGS!$B$10)</f>
        <v/>
      </c>
      <c r="L881" s="15" t="str">
        <f t="shared" si="53"/>
        <v/>
      </c>
      <c r="M881" s="10" t="str">
        <f t="shared" si="54"/>
        <v/>
      </c>
      <c r="N881" s="10" t="str">
        <f t="shared" si="55"/>
        <v/>
      </c>
      <c r="O881" s="8"/>
    </row>
    <row r="882" spans="1:15" x14ac:dyDescent="0.2">
      <c r="A882" s="10" t="str">
        <f t="shared" si="52"/>
        <v/>
      </c>
      <c r="B882" s="8"/>
      <c r="C882" s="8"/>
      <c r="D882" s="8"/>
      <c r="E882" s="8" t="str">
        <f ca="1">IFERROR(_xludf.XLOOKUP(D882,STUDENTS!$A$5:$A$204,STUDENTS!$C$5:$C$204,""),"")</f>
        <v/>
      </c>
      <c r="F882" s="8" t="str">
        <f ca="1">IFERROR(_xludf.XLOOKUP(D882,STUDENTS!$A$5:$A$204,STUDENTS!$L$5:$L$204,""),"")</f>
        <v/>
      </c>
      <c r="G882" s="8"/>
      <c r="H882" s="14"/>
      <c r="I882" s="14"/>
      <c r="J882" s="15" t="str">
        <f>IF(H882="","",H882*SETTINGS!$B$9)</f>
        <v/>
      </c>
      <c r="K882" s="15" t="str">
        <f>IF(I882="","",I882*SETTINGS!$B$10)</f>
        <v/>
      </c>
      <c r="L882" s="15" t="str">
        <f t="shared" si="53"/>
        <v/>
      </c>
      <c r="M882" s="10" t="str">
        <f t="shared" si="54"/>
        <v/>
      </c>
      <c r="N882" s="10" t="str">
        <f t="shared" si="55"/>
        <v/>
      </c>
      <c r="O882" s="8"/>
    </row>
    <row r="883" spans="1:15" x14ac:dyDescent="0.2">
      <c r="A883" s="10" t="str">
        <f t="shared" si="52"/>
        <v/>
      </c>
      <c r="B883" s="8"/>
      <c r="C883" s="8"/>
      <c r="D883" s="8"/>
      <c r="E883" s="8" t="str">
        <f ca="1">IFERROR(_xludf.XLOOKUP(D883,STUDENTS!$A$5:$A$204,STUDENTS!$C$5:$C$204,""),"")</f>
        <v/>
      </c>
      <c r="F883" s="8" t="str">
        <f ca="1">IFERROR(_xludf.XLOOKUP(D883,STUDENTS!$A$5:$A$204,STUDENTS!$L$5:$L$204,""),"")</f>
        <v/>
      </c>
      <c r="G883" s="8"/>
      <c r="H883" s="14"/>
      <c r="I883" s="14"/>
      <c r="J883" s="15" t="str">
        <f>IF(H883="","",H883*SETTINGS!$B$9)</f>
        <v/>
      </c>
      <c r="K883" s="15" t="str">
        <f>IF(I883="","",I883*SETTINGS!$B$10)</f>
        <v/>
      </c>
      <c r="L883" s="15" t="str">
        <f t="shared" si="53"/>
        <v/>
      </c>
      <c r="M883" s="10" t="str">
        <f t="shared" si="54"/>
        <v/>
      </c>
      <c r="N883" s="10" t="str">
        <f t="shared" si="55"/>
        <v/>
      </c>
      <c r="O883" s="8"/>
    </row>
    <row r="884" spans="1:15" x14ac:dyDescent="0.2">
      <c r="A884" s="10" t="str">
        <f t="shared" si="52"/>
        <v/>
      </c>
      <c r="B884" s="8"/>
      <c r="C884" s="8"/>
      <c r="D884" s="8"/>
      <c r="E884" s="8" t="str">
        <f ca="1">IFERROR(_xludf.XLOOKUP(D884,STUDENTS!$A$5:$A$204,STUDENTS!$C$5:$C$204,""),"")</f>
        <v/>
      </c>
      <c r="F884" s="8" t="str">
        <f ca="1">IFERROR(_xludf.XLOOKUP(D884,STUDENTS!$A$5:$A$204,STUDENTS!$L$5:$L$204,""),"")</f>
        <v/>
      </c>
      <c r="G884" s="8"/>
      <c r="H884" s="14"/>
      <c r="I884" s="14"/>
      <c r="J884" s="15" t="str">
        <f>IF(H884="","",H884*SETTINGS!$B$9)</f>
        <v/>
      </c>
      <c r="K884" s="15" t="str">
        <f>IF(I884="","",I884*SETTINGS!$B$10)</f>
        <v/>
      </c>
      <c r="L884" s="15" t="str">
        <f t="shared" si="53"/>
        <v/>
      </c>
      <c r="M884" s="10" t="str">
        <f t="shared" si="54"/>
        <v/>
      </c>
      <c r="N884" s="10" t="str">
        <f t="shared" si="55"/>
        <v/>
      </c>
      <c r="O884" s="8"/>
    </row>
    <row r="885" spans="1:15" x14ac:dyDescent="0.2">
      <c r="A885" s="10" t="str">
        <f t="shared" si="52"/>
        <v/>
      </c>
      <c r="B885" s="8"/>
      <c r="C885" s="8"/>
      <c r="D885" s="8"/>
      <c r="E885" s="8" t="str">
        <f ca="1">IFERROR(_xludf.XLOOKUP(D885,STUDENTS!$A$5:$A$204,STUDENTS!$C$5:$C$204,""),"")</f>
        <v/>
      </c>
      <c r="F885" s="8" t="str">
        <f ca="1">IFERROR(_xludf.XLOOKUP(D885,STUDENTS!$A$5:$A$204,STUDENTS!$L$5:$L$204,""),"")</f>
        <v/>
      </c>
      <c r="G885" s="8"/>
      <c r="H885" s="14"/>
      <c r="I885" s="14"/>
      <c r="J885" s="15" t="str">
        <f>IF(H885="","",H885*SETTINGS!$B$9)</f>
        <v/>
      </c>
      <c r="K885" s="15" t="str">
        <f>IF(I885="","",I885*SETTINGS!$B$10)</f>
        <v/>
      </c>
      <c r="L885" s="15" t="str">
        <f t="shared" si="53"/>
        <v/>
      </c>
      <c r="M885" s="10" t="str">
        <f t="shared" si="54"/>
        <v/>
      </c>
      <c r="N885" s="10" t="str">
        <f t="shared" si="55"/>
        <v/>
      </c>
      <c r="O885" s="8"/>
    </row>
    <row r="886" spans="1:15" x14ac:dyDescent="0.2">
      <c r="A886" s="10" t="str">
        <f t="shared" si="52"/>
        <v/>
      </c>
      <c r="B886" s="8"/>
      <c r="C886" s="8"/>
      <c r="D886" s="8"/>
      <c r="E886" s="8" t="str">
        <f ca="1">IFERROR(_xludf.XLOOKUP(D886,STUDENTS!$A$5:$A$204,STUDENTS!$C$5:$C$204,""),"")</f>
        <v/>
      </c>
      <c r="F886" s="8" t="str">
        <f ca="1">IFERROR(_xludf.XLOOKUP(D886,STUDENTS!$A$5:$A$204,STUDENTS!$L$5:$L$204,""),"")</f>
        <v/>
      </c>
      <c r="G886" s="8"/>
      <c r="H886" s="14"/>
      <c r="I886" s="14"/>
      <c r="J886" s="15" t="str">
        <f>IF(H886="","",H886*SETTINGS!$B$9)</f>
        <v/>
      </c>
      <c r="K886" s="15" t="str">
        <f>IF(I886="","",I886*SETTINGS!$B$10)</f>
        <v/>
      </c>
      <c r="L886" s="15" t="str">
        <f t="shared" si="53"/>
        <v/>
      </c>
      <c r="M886" s="10" t="str">
        <f t="shared" si="54"/>
        <v/>
      </c>
      <c r="N886" s="10" t="str">
        <f t="shared" si="55"/>
        <v/>
      </c>
      <c r="O886" s="8"/>
    </row>
    <row r="887" spans="1:15" x14ac:dyDescent="0.2">
      <c r="A887" s="10" t="str">
        <f t="shared" si="52"/>
        <v/>
      </c>
      <c r="B887" s="8"/>
      <c r="C887" s="8"/>
      <c r="D887" s="8"/>
      <c r="E887" s="8" t="str">
        <f ca="1">IFERROR(_xludf.XLOOKUP(D887,STUDENTS!$A$5:$A$204,STUDENTS!$C$5:$C$204,""),"")</f>
        <v/>
      </c>
      <c r="F887" s="8" t="str">
        <f ca="1">IFERROR(_xludf.XLOOKUP(D887,STUDENTS!$A$5:$A$204,STUDENTS!$L$5:$L$204,""),"")</f>
        <v/>
      </c>
      <c r="G887" s="8"/>
      <c r="H887" s="14"/>
      <c r="I887" s="14"/>
      <c r="J887" s="15" t="str">
        <f>IF(H887="","",H887*SETTINGS!$B$9)</f>
        <v/>
      </c>
      <c r="K887" s="15" t="str">
        <f>IF(I887="","",I887*SETTINGS!$B$10)</f>
        <v/>
      </c>
      <c r="L887" s="15" t="str">
        <f t="shared" si="53"/>
        <v/>
      </c>
      <c r="M887" s="10" t="str">
        <f t="shared" si="54"/>
        <v/>
      </c>
      <c r="N887" s="10" t="str">
        <f t="shared" si="55"/>
        <v/>
      </c>
      <c r="O887" s="8"/>
    </row>
    <row r="888" spans="1:15" x14ac:dyDescent="0.2">
      <c r="A888" s="10" t="str">
        <f t="shared" si="52"/>
        <v/>
      </c>
      <c r="B888" s="8"/>
      <c r="C888" s="8"/>
      <c r="D888" s="8"/>
      <c r="E888" s="8" t="str">
        <f ca="1">IFERROR(_xludf.XLOOKUP(D888,STUDENTS!$A$5:$A$204,STUDENTS!$C$5:$C$204,""),"")</f>
        <v/>
      </c>
      <c r="F888" s="8" t="str">
        <f ca="1">IFERROR(_xludf.XLOOKUP(D888,STUDENTS!$A$5:$A$204,STUDENTS!$L$5:$L$204,""),"")</f>
        <v/>
      </c>
      <c r="G888" s="8"/>
      <c r="H888" s="14"/>
      <c r="I888" s="14"/>
      <c r="J888" s="15" t="str">
        <f>IF(H888="","",H888*SETTINGS!$B$9)</f>
        <v/>
      </c>
      <c r="K888" s="15" t="str">
        <f>IF(I888="","",I888*SETTINGS!$B$10)</f>
        <v/>
      </c>
      <c r="L888" s="15" t="str">
        <f t="shared" si="53"/>
        <v/>
      </c>
      <c r="M888" s="10" t="str">
        <f t="shared" si="54"/>
        <v/>
      </c>
      <c r="N888" s="10" t="str">
        <f t="shared" si="55"/>
        <v/>
      </c>
      <c r="O888" s="8"/>
    </row>
    <row r="889" spans="1:15" x14ac:dyDescent="0.2">
      <c r="A889" s="10" t="str">
        <f t="shared" si="52"/>
        <v/>
      </c>
      <c r="B889" s="8"/>
      <c r="C889" s="8"/>
      <c r="D889" s="8"/>
      <c r="E889" s="8" t="str">
        <f ca="1">IFERROR(_xludf.XLOOKUP(D889,STUDENTS!$A$5:$A$204,STUDENTS!$C$5:$C$204,""),"")</f>
        <v/>
      </c>
      <c r="F889" s="8" t="str">
        <f ca="1">IFERROR(_xludf.XLOOKUP(D889,STUDENTS!$A$5:$A$204,STUDENTS!$L$5:$L$204,""),"")</f>
        <v/>
      </c>
      <c r="G889" s="8"/>
      <c r="H889" s="14"/>
      <c r="I889" s="14"/>
      <c r="J889" s="15" t="str">
        <f>IF(H889="","",H889*SETTINGS!$B$9)</f>
        <v/>
      </c>
      <c r="K889" s="15" t="str">
        <f>IF(I889="","",I889*SETTINGS!$B$10)</f>
        <v/>
      </c>
      <c r="L889" s="15" t="str">
        <f t="shared" si="53"/>
        <v/>
      </c>
      <c r="M889" s="10" t="str">
        <f t="shared" si="54"/>
        <v/>
      </c>
      <c r="N889" s="10" t="str">
        <f t="shared" si="55"/>
        <v/>
      </c>
      <c r="O889" s="8"/>
    </row>
    <row r="890" spans="1:15" x14ac:dyDescent="0.2">
      <c r="A890" s="10" t="str">
        <f t="shared" si="52"/>
        <v/>
      </c>
      <c r="B890" s="8"/>
      <c r="C890" s="8"/>
      <c r="D890" s="8"/>
      <c r="E890" s="8" t="str">
        <f ca="1">IFERROR(_xludf.XLOOKUP(D890,STUDENTS!$A$5:$A$204,STUDENTS!$C$5:$C$204,""),"")</f>
        <v/>
      </c>
      <c r="F890" s="8" t="str">
        <f ca="1">IFERROR(_xludf.XLOOKUP(D890,STUDENTS!$A$5:$A$204,STUDENTS!$L$5:$L$204,""),"")</f>
        <v/>
      </c>
      <c r="G890" s="8"/>
      <c r="H890" s="14"/>
      <c r="I890" s="14"/>
      <c r="J890" s="15" t="str">
        <f>IF(H890="","",H890*SETTINGS!$B$9)</f>
        <v/>
      </c>
      <c r="K890" s="15" t="str">
        <f>IF(I890="","",I890*SETTINGS!$B$10)</f>
        <v/>
      </c>
      <c r="L890" s="15" t="str">
        <f t="shared" si="53"/>
        <v/>
      </c>
      <c r="M890" s="10" t="str">
        <f t="shared" si="54"/>
        <v/>
      </c>
      <c r="N890" s="10" t="str">
        <f t="shared" si="55"/>
        <v/>
      </c>
      <c r="O890" s="8"/>
    </row>
    <row r="891" spans="1:15" x14ac:dyDescent="0.2">
      <c r="A891" s="10" t="str">
        <f t="shared" si="52"/>
        <v/>
      </c>
      <c r="B891" s="8"/>
      <c r="C891" s="8"/>
      <c r="D891" s="8"/>
      <c r="E891" s="8" t="str">
        <f ca="1">IFERROR(_xludf.XLOOKUP(D891,STUDENTS!$A$5:$A$204,STUDENTS!$C$5:$C$204,""),"")</f>
        <v/>
      </c>
      <c r="F891" s="8" t="str">
        <f ca="1">IFERROR(_xludf.XLOOKUP(D891,STUDENTS!$A$5:$A$204,STUDENTS!$L$5:$L$204,""),"")</f>
        <v/>
      </c>
      <c r="G891" s="8"/>
      <c r="H891" s="14"/>
      <c r="I891" s="14"/>
      <c r="J891" s="15" t="str">
        <f>IF(H891="","",H891*SETTINGS!$B$9)</f>
        <v/>
      </c>
      <c r="K891" s="15" t="str">
        <f>IF(I891="","",I891*SETTINGS!$B$10)</f>
        <v/>
      </c>
      <c r="L891" s="15" t="str">
        <f t="shared" si="53"/>
        <v/>
      </c>
      <c r="M891" s="10" t="str">
        <f t="shared" si="54"/>
        <v/>
      </c>
      <c r="N891" s="10" t="str">
        <f t="shared" si="55"/>
        <v/>
      </c>
      <c r="O891" s="8"/>
    </row>
    <row r="892" spans="1:15" x14ac:dyDescent="0.2">
      <c r="A892" s="10" t="str">
        <f t="shared" si="52"/>
        <v/>
      </c>
      <c r="B892" s="8"/>
      <c r="C892" s="8"/>
      <c r="D892" s="8"/>
      <c r="E892" s="8" t="str">
        <f ca="1">IFERROR(_xludf.XLOOKUP(D892,STUDENTS!$A$5:$A$204,STUDENTS!$C$5:$C$204,""),"")</f>
        <v/>
      </c>
      <c r="F892" s="8" t="str">
        <f ca="1">IFERROR(_xludf.XLOOKUP(D892,STUDENTS!$A$5:$A$204,STUDENTS!$L$5:$L$204,""),"")</f>
        <v/>
      </c>
      <c r="G892" s="8"/>
      <c r="H892" s="14"/>
      <c r="I892" s="14"/>
      <c r="J892" s="15" t="str">
        <f>IF(H892="","",H892*SETTINGS!$B$9)</f>
        <v/>
      </c>
      <c r="K892" s="15" t="str">
        <f>IF(I892="","",I892*SETTINGS!$B$10)</f>
        <v/>
      </c>
      <c r="L892" s="15" t="str">
        <f t="shared" si="53"/>
        <v/>
      </c>
      <c r="M892" s="10" t="str">
        <f t="shared" si="54"/>
        <v/>
      </c>
      <c r="N892" s="10" t="str">
        <f t="shared" si="55"/>
        <v/>
      </c>
      <c r="O892" s="8"/>
    </row>
    <row r="893" spans="1:15" x14ac:dyDescent="0.2">
      <c r="A893" s="10" t="str">
        <f t="shared" si="52"/>
        <v/>
      </c>
      <c r="B893" s="8"/>
      <c r="C893" s="8"/>
      <c r="D893" s="8"/>
      <c r="E893" s="8" t="str">
        <f ca="1">IFERROR(_xludf.XLOOKUP(D893,STUDENTS!$A$5:$A$204,STUDENTS!$C$5:$C$204,""),"")</f>
        <v/>
      </c>
      <c r="F893" s="8" t="str">
        <f ca="1">IFERROR(_xludf.XLOOKUP(D893,STUDENTS!$A$5:$A$204,STUDENTS!$L$5:$L$204,""),"")</f>
        <v/>
      </c>
      <c r="G893" s="8"/>
      <c r="H893" s="14"/>
      <c r="I893" s="14"/>
      <c r="J893" s="15" t="str">
        <f>IF(H893="","",H893*SETTINGS!$B$9)</f>
        <v/>
      </c>
      <c r="K893" s="15" t="str">
        <f>IF(I893="","",I893*SETTINGS!$B$10)</f>
        <v/>
      </c>
      <c r="L893" s="15" t="str">
        <f t="shared" si="53"/>
        <v/>
      </c>
      <c r="M893" s="10" t="str">
        <f t="shared" si="54"/>
        <v/>
      </c>
      <c r="N893" s="10" t="str">
        <f t="shared" si="55"/>
        <v/>
      </c>
      <c r="O893" s="8"/>
    </row>
    <row r="894" spans="1:15" x14ac:dyDescent="0.2">
      <c r="A894" s="10" t="str">
        <f t="shared" si="52"/>
        <v/>
      </c>
      <c r="B894" s="8"/>
      <c r="C894" s="8"/>
      <c r="D894" s="8"/>
      <c r="E894" s="8" t="str">
        <f ca="1">IFERROR(_xludf.XLOOKUP(D894,STUDENTS!$A$5:$A$204,STUDENTS!$C$5:$C$204,""),"")</f>
        <v/>
      </c>
      <c r="F894" s="8" t="str">
        <f ca="1">IFERROR(_xludf.XLOOKUP(D894,STUDENTS!$A$5:$A$204,STUDENTS!$L$5:$L$204,""),"")</f>
        <v/>
      </c>
      <c r="G894" s="8"/>
      <c r="H894" s="14"/>
      <c r="I894" s="14"/>
      <c r="J894" s="15" t="str">
        <f>IF(H894="","",H894*SETTINGS!$B$9)</f>
        <v/>
      </c>
      <c r="K894" s="15" t="str">
        <f>IF(I894="","",I894*SETTINGS!$B$10)</f>
        <v/>
      </c>
      <c r="L894" s="15" t="str">
        <f t="shared" si="53"/>
        <v/>
      </c>
      <c r="M894" s="10" t="str">
        <f t="shared" si="54"/>
        <v/>
      </c>
      <c r="N894" s="10" t="str">
        <f t="shared" si="55"/>
        <v/>
      </c>
      <c r="O894" s="8"/>
    </row>
    <row r="895" spans="1:15" x14ac:dyDescent="0.2">
      <c r="A895" s="10" t="str">
        <f t="shared" si="52"/>
        <v/>
      </c>
      <c r="B895" s="8"/>
      <c r="C895" s="8"/>
      <c r="D895" s="8"/>
      <c r="E895" s="8" t="str">
        <f ca="1">IFERROR(_xludf.XLOOKUP(D895,STUDENTS!$A$5:$A$204,STUDENTS!$C$5:$C$204,""),"")</f>
        <v/>
      </c>
      <c r="F895" s="8" t="str">
        <f ca="1">IFERROR(_xludf.XLOOKUP(D895,STUDENTS!$A$5:$A$204,STUDENTS!$L$5:$L$204,""),"")</f>
        <v/>
      </c>
      <c r="G895" s="8"/>
      <c r="H895" s="14"/>
      <c r="I895" s="14"/>
      <c r="J895" s="15" t="str">
        <f>IF(H895="","",H895*SETTINGS!$B$9)</f>
        <v/>
      </c>
      <c r="K895" s="15" t="str">
        <f>IF(I895="","",I895*SETTINGS!$B$10)</f>
        <v/>
      </c>
      <c r="L895" s="15" t="str">
        <f t="shared" si="53"/>
        <v/>
      </c>
      <c r="M895" s="10" t="str">
        <f t="shared" si="54"/>
        <v/>
      </c>
      <c r="N895" s="10" t="str">
        <f t="shared" si="55"/>
        <v/>
      </c>
      <c r="O895" s="8"/>
    </row>
    <row r="896" spans="1:15" x14ac:dyDescent="0.2">
      <c r="A896" s="10" t="str">
        <f t="shared" si="52"/>
        <v/>
      </c>
      <c r="B896" s="8"/>
      <c r="C896" s="8"/>
      <c r="D896" s="8"/>
      <c r="E896" s="8" t="str">
        <f ca="1">IFERROR(_xludf.XLOOKUP(D896,STUDENTS!$A$5:$A$204,STUDENTS!$C$5:$C$204,""),"")</f>
        <v/>
      </c>
      <c r="F896" s="8" t="str">
        <f ca="1">IFERROR(_xludf.XLOOKUP(D896,STUDENTS!$A$5:$A$204,STUDENTS!$L$5:$L$204,""),"")</f>
        <v/>
      </c>
      <c r="G896" s="8"/>
      <c r="H896" s="14"/>
      <c r="I896" s="14"/>
      <c r="J896" s="15" t="str">
        <f>IF(H896="","",H896*SETTINGS!$B$9)</f>
        <v/>
      </c>
      <c r="K896" s="15" t="str">
        <f>IF(I896="","",I896*SETTINGS!$B$10)</f>
        <v/>
      </c>
      <c r="L896" s="15" t="str">
        <f t="shared" si="53"/>
        <v/>
      </c>
      <c r="M896" s="10" t="str">
        <f t="shared" si="54"/>
        <v/>
      </c>
      <c r="N896" s="10" t="str">
        <f t="shared" si="55"/>
        <v/>
      </c>
      <c r="O896" s="8"/>
    </row>
    <row r="897" spans="1:15" x14ac:dyDescent="0.2">
      <c r="A897" s="10" t="str">
        <f t="shared" si="52"/>
        <v/>
      </c>
      <c r="B897" s="8"/>
      <c r="C897" s="8"/>
      <c r="D897" s="8"/>
      <c r="E897" s="8" t="str">
        <f ca="1">IFERROR(_xludf.XLOOKUP(D897,STUDENTS!$A$5:$A$204,STUDENTS!$C$5:$C$204,""),"")</f>
        <v/>
      </c>
      <c r="F897" s="8" t="str">
        <f ca="1">IFERROR(_xludf.XLOOKUP(D897,STUDENTS!$A$5:$A$204,STUDENTS!$L$5:$L$204,""),"")</f>
        <v/>
      </c>
      <c r="G897" s="8"/>
      <c r="H897" s="14"/>
      <c r="I897" s="14"/>
      <c r="J897" s="15" t="str">
        <f>IF(H897="","",H897*SETTINGS!$B$9)</f>
        <v/>
      </c>
      <c r="K897" s="15" t="str">
        <f>IF(I897="","",I897*SETTINGS!$B$10)</f>
        <v/>
      </c>
      <c r="L897" s="15" t="str">
        <f t="shared" si="53"/>
        <v/>
      </c>
      <c r="M897" s="10" t="str">
        <f t="shared" si="54"/>
        <v/>
      </c>
      <c r="N897" s="10" t="str">
        <f t="shared" si="55"/>
        <v/>
      </c>
      <c r="O897" s="8"/>
    </row>
    <row r="898" spans="1:15" x14ac:dyDescent="0.2">
      <c r="A898" s="10" t="str">
        <f t="shared" si="52"/>
        <v/>
      </c>
      <c r="B898" s="8"/>
      <c r="C898" s="8"/>
      <c r="D898" s="8"/>
      <c r="E898" s="8" t="str">
        <f ca="1">IFERROR(_xludf.XLOOKUP(D898,STUDENTS!$A$5:$A$204,STUDENTS!$C$5:$C$204,""),"")</f>
        <v/>
      </c>
      <c r="F898" s="8" t="str">
        <f ca="1">IFERROR(_xludf.XLOOKUP(D898,STUDENTS!$A$5:$A$204,STUDENTS!$L$5:$L$204,""),"")</f>
        <v/>
      </c>
      <c r="G898" s="8"/>
      <c r="H898" s="14"/>
      <c r="I898" s="14"/>
      <c r="J898" s="15" t="str">
        <f>IF(H898="","",H898*SETTINGS!$B$9)</f>
        <v/>
      </c>
      <c r="K898" s="15" t="str">
        <f>IF(I898="","",I898*SETTINGS!$B$10)</f>
        <v/>
      </c>
      <c r="L898" s="15" t="str">
        <f t="shared" si="53"/>
        <v/>
      </c>
      <c r="M898" s="10" t="str">
        <f t="shared" si="54"/>
        <v/>
      </c>
      <c r="N898" s="10" t="str">
        <f t="shared" si="55"/>
        <v/>
      </c>
      <c r="O898" s="8"/>
    </row>
    <row r="899" spans="1:15" x14ac:dyDescent="0.2">
      <c r="A899" s="10" t="str">
        <f t="shared" si="52"/>
        <v/>
      </c>
      <c r="B899" s="8"/>
      <c r="C899" s="8"/>
      <c r="D899" s="8"/>
      <c r="E899" s="8" t="str">
        <f ca="1">IFERROR(_xludf.XLOOKUP(D899,STUDENTS!$A$5:$A$204,STUDENTS!$C$5:$C$204,""),"")</f>
        <v/>
      </c>
      <c r="F899" s="8" t="str">
        <f ca="1">IFERROR(_xludf.XLOOKUP(D899,STUDENTS!$A$5:$A$204,STUDENTS!$L$5:$L$204,""),"")</f>
        <v/>
      </c>
      <c r="G899" s="8"/>
      <c r="H899" s="14"/>
      <c r="I899" s="14"/>
      <c r="J899" s="15" t="str">
        <f>IF(H899="","",H899*SETTINGS!$B$9)</f>
        <v/>
      </c>
      <c r="K899" s="15" t="str">
        <f>IF(I899="","",I899*SETTINGS!$B$10)</f>
        <v/>
      </c>
      <c r="L899" s="15" t="str">
        <f t="shared" si="53"/>
        <v/>
      </c>
      <c r="M899" s="10" t="str">
        <f t="shared" si="54"/>
        <v/>
      </c>
      <c r="N899" s="10" t="str">
        <f t="shared" si="55"/>
        <v/>
      </c>
      <c r="O899" s="8"/>
    </row>
    <row r="900" spans="1:15" x14ac:dyDescent="0.2">
      <c r="A900" s="10" t="str">
        <f t="shared" si="52"/>
        <v/>
      </c>
      <c r="B900" s="8"/>
      <c r="C900" s="8"/>
      <c r="D900" s="8"/>
      <c r="E900" s="8" t="str">
        <f ca="1">IFERROR(_xludf.XLOOKUP(D900,STUDENTS!$A$5:$A$204,STUDENTS!$C$5:$C$204,""),"")</f>
        <v/>
      </c>
      <c r="F900" s="8" t="str">
        <f ca="1">IFERROR(_xludf.XLOOKUP(D900,STUDENTS!$A$5:$A$204,STUDENTS!$L$5:$L$204,""),"")</f>
        <v/>
      </c>
      <c r="G900" s="8"/>
      <c r="H900" s="14"/>
      <c r="I900" s="14"/>
      <c r="J900" s="15" t="str">
        <f>IF(H900="","",H900*SETTINGS!$B$9)</f>
        <v/>
      </c>
      <c r="K900" s="15" t="str">
        <f>IF(I900="","",I900*SETTINGS!$B$10)</f>
        <v/>
      </c>
      <c r="L900" s="15" t="str">
        <f t="shared" si="53"/>
        <v/>
      </c>
      <c r="M900" s="10" t="str">
        <f t="shared" si="54"/>
        <v/>
      </c>
      <c r="N900" s="10" t="str">
        <f t="shared" si="55"/>
        <v/>
      </c>
      <c r="O900" s="8"/>
    </row>
    <row r="901" spans="1:15" x14ac:dyDescent="0.2">
      <c r="A901" s="10" t="str">
        <f t="shared" ref="A901:A964" si="56">IF(D901="","","R-"&amp;TEXT(ROW()-4,"00000"))</f>
        <v/>
      </c>
      <c r="B901" s="8"/>
      <c r="C901" s="8"/>
      <c r="D901" s="8"/>
      <c r="E901" s="8" t="str">
        <f ca="1">IFERROR(_xludf.XLOOKUP(D901,STUDENTS!$A$5:$A$204,STUDENTS!$C$5:$C$204,""),"")</f>
        <v/>
      </c>
      <c r="F901" s="8" t="str">
        <f ca="1">IFERROR(_xludf.XLOOKUP(D901,STUDENTS!$A$5:$A$204,STUDENTS!$L$5:$L$204,""),"")</f>
        <v/>
      </c>
      <c r="G901" s="8"/>
      <c r="H901" s="14"/>
      <c r="I901" s="14"/>
      <c r="J901" s="15" t="str">
        <f>IF(H901="","",H901*SETTINGS!$B$9)</f>
        <v/>
      </c>
      <c r="K901" s="15" t="str">
        <f>IF(I901="","",I901*SETTINGS!$B$10)</f>
        <v/>
      </c>
      <c r="L901" s="15" t="str">
        <f t="shared" ref="L901:L964" si="57">IF(OR(H901="",I901=""),"",J901+K901)</f>
        <v/>
      </c>
      <c r="M901" s="10" t="str">
        <f t="shared" ref="M901:M964" si="58">IF(L901="","",IF(L901&gt;=80,"A",IF(L901&gt;=70,"B",IF(L901&gt;=60,"C",IF(L901&gt;=50,"D","F")))))</f>
        <v/>
      </c>
      <c r="N901" s="10" t="str">
        <f t="shared" ref="N901:N964" si="59">IF(L901="","",1+COUNTIFS($F$5:$F$1004,F901,$C$5:$C$1004,C901,$G$5:$G$1004,G901,$L$5:$L$1004,"&gt;"&amp;L901))</f>
        <v/>
      </c>
      <c r="O901" s="8"/>
    </row>
    <row r="902" spans="1:15" x14ac:dyDescent="0.2">
      <c r="A902" s="10" t="str">
        <f t="shared" si="56"/>
        <v/>
      </c>
      <c r="B902" s="8"/>
      <c r="C902" s="8"/>
      <c r="D902" s="8"/>
      <c r="E902" s="8" t="str">
        <f ca="1">IFERROR(_xludf.XLOOKUP(D902,STUDENTS!$A$5:$A$204,STUDENTS!$C$5:$C$204,""),"")</f>
        <v/>
      </c>
      <c r="F902" s="8" t="str">
        <f ca="1">IFERROR(_xludf.XLOOKUP(D902,STUDENTS!$A$5:$A$204,STUDENTS!$L$5:$L$204,""),"")</f>
        <v/>
      </c>
      <c r="G902" s="8"/>
      <c r="H902" s="14"/>
      <c r="I902" s="14"/>
      <c r="J902" s="15" t="str">
        <f>IF(H902="","",H902*SETTINGS!$B$9)</f>
        <v/>
      </c>
      <c r="K902" s="15" t="str">
        <f>IF(I902="","",I902*SETTINGS!$B$10)</f>
        <v/>
      </c>
      <c r="L902" s="15" t="str">
        <f t="shared" si="57"/>
        <v/>
      </c>
      <c r="M902" s="10" t="str">
        <f t="shared" si="58"/>
        <v/>
      </c>
      <c r="N902" s="10" t="str">
        <f t="shared" si="59"/>
        <v/>
      </c>
      <c r="O902" s="8"/>
    </row>
    <row r="903" spans="1:15" x14ac:dyDescent="0.2">
      <c r="A903" s="10" t="str">
        <f t="shared" si="56"/>
        <v/>
      </c>
      <c r="B903" s="8"/>
      <c r="C903" s="8"/>
      <c r="D903" s="8"/>
      <c r="E903" s="8" t="str">
        <f ca="1">IFERROR(_xludf.XLOOKUP(D903,STUDENTS!$A$5:$A$204,STUDENTS!$C$5:$C$204,""),"")</f>
        <v/>
      </c>
      <c r="F903" s="8" t="str">
        <f ca="1">IFERROR(_xludf.XLOOKUP(D903,STUDENTS!$A$5:$A$204,STUDENTS!$L$5:$L$204,""),"")</f>
        <v/>
      </c>
      <c r="G903" s="8"/>
      <c r="H903" s="14"/>
      <c r="I903" s="14"/>
      <c r="J903" s="15" t="str">
        <f>IF(H903="","",H903*SETTINGS!$B$9)</f>
        <v/>
      </c>
      <c r="K903" s="15" t="str">
        <f>IF(I903="","",I903*SETTINGS!$B$10)</f>
        <v/>
      </c>
      <c r="L903" s="15" t="str">
        <f t="shared" si="57"/>
        <v/>
      </c>
      <c r="M903" s="10" t="str">
        <f t="shared" si="58"/>
        <v/>
      </c>
      <c r="N903" s="10" t="str">
        <f t="shared" si="59"/>
        <v/>
      </c>
      <c r="O903" s="8"/>
    </row>
    <row r="904" spans="1:15" x14ac:dyDescent="0.2">
      <c r="A904" s="10" t="str">
        <f t="shared" si="56"/>
        <v/>
      </c>
      <c r="B904" s="8"/>
      <c r="C904" s="8"/>
      <c r="D904" s="8"/>
      <c r="E904" s="8" t="str">
        <f ca="1">IFERROR(_xludf.XLOOKUP(D904,STUDENTS!$A$5:$A$204,STUDENTS!$C$5:$C$204,""),"")</f>
        <v/>
      </c>
      <c r="F904" s="8" t="str">
        <f ca="1">IFERROR(_xludf.XLOOKUP(D904,STUDENTS!$A$5:$A$204,STUDENTS!$L$5:$L$204,""),"")</f>
        <v/>
      </c>
      <c r="G904" s="8"/>
      <c r="H904" s="14"/>
      <c r="I904" s="14"/>
      <c r="J904" s="15" t="str">
        <f>IF(H904="","",H904*SETTINGS!$B$9)</f>
        <v/>
      </c>
      <c r="K904" s="15" t="str">
        <f>IF(I904="","",I904*SETTINGS!$B$10)</f>
        <v/>
      </c>
      <c r="L904" s="15" t="str">
        <f t="shared" si="57"/>
        <v/>
      </c>
      <c r="M904" s="10" t="str">
        <f t="shared" si="58"/>
        <v/>
      </c>
      <c r="N904" s="10" t="str">
        <f t="shared" si="59"/>
        <v/>
      </c>
      <c r="O904" s="8"/>
    </row>
    <row r="905" spans="1:15" x14ac:dyDescent="0.2">
      <c r="A905" s="10" t="str">
        <f t="shared" si="56"/>
        <v/>
      </c>
      <c r="B905" s="8"/>
      <c r="C905" s="8"/>
      <c r="D905" s="8"/>
      <c r="E905" s="8" t="str">
        <f ca="1">IFERROR(_xludf.XLOOKUP(D905,STUDENTS!$A$5:$A$204,STUDENTS!$C$5:$C$204,""),"")</f>
        <v/>
      </c>
      <c r="F905" s="8" t="str">
        <f ca="1">IFERROR(_xludf.XLOOKUP(D905,STUDENTS!$A$5:$A$204,STUDENTS!$L$5:$L$204,""),"")</f>
        <v/>
      </c>
      <c r="G905" s="8"/>
      <c r="H905" s="14"/>
      <c r="I905" s="14"/>
      <c r="J905" s="15" t="str">
        <f>IF(H905="","",H905*SETTINGS!$B$9)</f>
        <v/>
      </c>
      <c r="K905" s="15" t="str">
        <f>IF(I905="","",I905*SETTINGS!$B$10)</f>
        <v/>
      </c>
      <c r="L905" s="15" t="str">
        <f t="shared" si="57"/>
        <v/>
      </c>
      <c r="M905" s="10" t="str">
        <f t="shared" si="58"/>
        <v/>
      </c>
      <c r="N905" s="10" t="str">
        <f t="shared" si="59"/>
        <v/>
      </c>
      <c r="O905" s="8"/>
    </row>
    <row r="906" spans="1:15" x14ac:dyDescent="0.2">
      <c r="A906" s="10" t="str">
        <f t="shared" si="56"/>
        <v/>
      </c>
      <c r="B906" s="8"/>
      <c r="C906" s="8"/>
      <c r="D906" s="8"/>
      <c r="E906" s="8" t="str">
        <f ca="1">IFERROR(_xludf.XLOOKUP(D906,STUDENTS!$A$5:$A$204,STUDENTS!$C$5:$C$204,""),"")</f>
        <v/>
      </c>
      <c r="F906" s="8" t="str">
        <f ca="1">IFERROR(_xludf.XLOOKUP(D906,STUDENTS!$A$5:$A$204,STUDENTS!$L$5:$L$204,""),"")</f>
        <v/>
      </c>
      <c r="G906" s="8"/>
      <c r="H906" s="14"/>
      <c r="I906" s="14"/>
      <c r="J906" s="15" t="str">
        <f>IF(H906="","",H906*SETTINGS!$B$9)</f>
        <v/>
      </c>
      <c r="K906" s="15" t="str">
        <f>IF(I906="","",I906*SETTINGS!$B$10)</f>
        <v/>
      </c>
      <c r="L906" s="15" t="str">
        <f t="shared" si="57"/>
        <v/>
      </c>
      <c r="M906" s="10" t="str">
        <f t="shared" si="58"/>
        <v/>
      </c>
      <c r="N906" s="10" t="str">
        <f t="shared" si="59"/>
        <v/>
      </c>
      <c r="O906" s="8"/>
    </row>
    <row r="907" spans="1:15" x14ac:dyDescent="0.2">
      <c r="A907" s="10" t="str">
        <f t="shared" si="56"/>
        <v/>
      </c>
      <c r="B907" s="8"/>
      <c r="C907" s="8"/>
      <c r="D907" s="8"/>
      <c r="E907" s="8" t="str">
        <f ca="1">IFERROR(_xludf.XLOOKUP(D907,STUDENTS!$A$5:$A$204,STUDENTS!$C$5:$C$204,""),"")</f>
        <v/>
      </c>
      <c r="F907" s="8" t="str">
        <f ca="1">IFERROR(_xludf.XLOOKUP(D907,STUDENTS!$A$5:$A$204,STUDENTS!$L$5:$L$204,""),"")</f>
        <v/>
      </c>
      <c r="G907" s="8"/>
      <c r="H907" s="14"/>
      <c r="I907" s="14"/>
      <c r="J907" s="15" t="str">
        <f>IF(H907="","",H907*SETTINGS!$B$9)</f>
        <v/>
      </c>
      <c r="K907" s="15" t="str">
        <f>IF(I907="","",I907*SETTINGS!$B$10)</f>
        <v/>
      </c>
      <c r="L907" s="15" t="str">
        <f t="shared" si="57"/>
        <v/>
      </c>
      <c r="M907" s="10" t="str">
        <f t="shared" si="58"/>
        <v/>
      </c>
      <c r="N907" s="10" t="str">
        <f t="shared" si="59"/>
        <v/>
      </c>
      <c r="O907" s="8"/>
    </row>
    <row r="908" spans="1:15" x14ac:dyDescent="0.2">
      <c r="A908" s="10" t="str">
        <f t="shared" si="56"/>
        <v/>
      </c>
      <c r="B908" s="8"/>
      <c r="C908" s="8"/>
      <c r="D908" s="8"/>
      <c r="E908" s="8" t="str">
        <f ca="1">IFERROR(_xludf.XLOOKUP(D908,STUDENTS!$A$5:$A$204,STUDENTS!$C$5:$C$204,""),"")</f>
        <v/>
      </c>
      <c r="F908" s="8" t="str">
        <f ca="1">IFERROR(_xludf.XLOOKUP(D908,STUDENTS!$A$5:$A$204,STUDENTS!$L$5:$L$204,""),"")</f>
        <v/>
      </c>
      <c r="G908" s="8"/>
      <c r="H908" s="14"/>
      <c r="I908" s="14"/>
      <c r="J908" s="15" t="str">
        <f>IF(H908="","",H908*SETTINGS!$B$9)</f>
        <v/>
      </c>
      <c r="K908" s="15" t="str">
        <f>IF(I908="","",I908*SETTINGS!$B$10)</f>
        <v/>
      </c>
      <c r="L908" s="15" t="str">
        <f t="shared" si="57"/>
        <v/>
      </c>
      <c r="M908" s="10" t="str">
        <f t="shared" si="58"/>
        <v/>
      </c>
      <c r="N908" s="10" t="str">
        <f t="shared" si="59"/>
        <v/>
      </c>
      <c r="O908" s="8"/>
    </row>
    <row r="909" spans="1:15" x14ac:dyDescent="0.2">
      <c r="A909" s="10" t="str">
        <f t="shared" si="56"/>
        <v/>
      </c>
      <c r="B909" s="8"/>
      <c r="C909" s="8"/>
      <c r="D909" s="8"/>
      <c r="E909" s="8" t="str">
        <f ca="1">IFERROR(_xludf.XLOOKUP(D909,STUDENTS!$A$5:$A$204,STUDENTS!$C$5:$C$204,""),"")</f>
        <v/>
      </c>
      <c r="F909" s="8" t="str">
        <f ca="1">IFERROR(_xludf.XLOOKUP(D909,STUDENTS!$A$5:$A$204,STUDENTS!$L$5:$L$204,""),"")</f>
        <v/>
      </c>
      <c r="G909" s="8"/>
      <c r="H909" s="14"/>
      <c r="I909" s="14"/>
      <c r="J909" s="15" t="str">
        <f>IF(H909="","",H909*SETTINGS!$B$9)</f>
        <v/>
      </c>
      <c r="K909" s="15" t="str">
        <f>IF(I909="","",I909*SETTINGS!$B$10)</f>
        <v/>
      </c>
      <c r="L909" s="15" t="str">
        <f t="shared" si="57"/>
        <v/>
      </c>
      <c r="M909" s="10" t="str">
        <f t="shared" si="58"/>
        <v/>
      </c>
      <c r="N909" s="10" t="str">
        <f t="shared" si="59"/>
        <v/>
      </c>
      <c r="O909" s="8"/>
    </row>
    <row r="910" spans="1:15" x14ac:dyDescent="0.2">
      <c r="A910" s="10" t="str">
        <f t="shared" si="56"/>
        <v/>
      </c>
      <c r="B910" s="8"/>
      <c r="C910" s="8"/>
      <c r="D910" s="8"/>
      <c r="E910" s="8" t="str">
        <f ca="1">IFERROR(_xludf.XLOOKUP(D910,STUDENTS!$A$5:$A$204,STUDENTS!$C$5:$C$204,""),"")</f>
        <v/>
      </c>
      <c r="F910" s="8" t="str">
        <f ca="1">IFERROR(_xludf.XLOOKUP(D910,STUDENTS!$A$5:$A$204,STUDENTS!$L$5:$L$204,""),"")</f>
        <v/>
      </c>
      <c r="G910" s="8"/>
      <c r="H910" s="14"/>
      <c r="I910" s="14"/>
      <c r="J910" s="15" t="str">
        <f>IF(H910="","",H910*SETTINGS!$B$9)</f>
        <v/>
      </c>
      <c r="K910" s="15" t="str">
        <f>IF(I910="","",I910*SETTINGS!$B$10)</f>
        <v/>
      </c>
      <c r="L910" s="15" t="str">
        <f t="shared" si="57"/>
        <v/>
      </c>
      <c r="M910" s="10" t="str">
        <f t="shared" si="58"/>
        <v/>
      </c>
      <c r="N910" s="10" t="str">
        <f t="shared" si="59"/>
        <v/>
      </c>
      <c r="O910" s="8"/>
    </row>
    <row r="911" spans="1:15" x14ac:dyDescent="0.2">
      <c r="A911" s="10" t="str">
        <f t="shared" si="56"/>
        <v/>
      </c>
      <c r="B911" s="8"/>
      <c r="C911" s="8"/>
      <c r="D911" s="8"/>
      <c r="E911" s="8" t="str">
        <f ca="1">IFERROR(_xludf.XLOOKUP(D911,STUDENTS!$A$5:$A$204,STUDENTS!$C$5:$C$204,""),"")</f>
        <v/>
      </c>
      <c r="F911" s="8" t="str">
        <f ca="1">IFERROR(_xludf.XLOOKUP(D911,STUDENTS!$A$5:$A$204,STUDENTS!$L$5:$L$204,""),"")</f>
        <v/>
      </c>
      <c r="G911" s="8"/>
      <c r="H911" s="14"/>
      <c r="I911" s="14"/>
      <c r="J911" s="15" t="str">
        <f>IF(H911="","",H911*SETTINGS!$B$9)</f>
        <v/>
      </c>
      <c r="K911" s="15" t="str">
        <f>IF(I911="","",I911*SETTINGS!$B$10)</f>
        <v/>
      </c>
      <c r="L911" s="15" t="str">
        <f t="shared" si="57"/>
        <v/>
      </c>
      <c r="M911" s="10" t="str">
        <f t="shared" si="58"/>
        <v/>
      </c>
      <c r="N911" s="10" t="str">
        <f t="shared" si="59"/>
        <v/>
      </c>
      <c r="O911" s="8"/>
    </row>
    <row r="912" spans="1:15" x14ac:dyDescent="0.2">
      <c r="A912" s="10" t="str">
        <f t="shared" si="56"/>
        <v/>
      </c>
      <c r="B912" s="8"/>
      <c r="C912" s="8"/>
      <c r="D912" s="8"/>
      <c r="E912" s="8" t="str">
        <f ca="1">IFERROR(_xludf.XLOOKUP(D912,STUDENTS!$A$5:$A$204,STUDENTS!$C$5:$C$204,""),"")</f>
        <v/>
      </c>
      <c r="F912" s="8" t="str">
        <f ca="1">IFERROR(_xludf.XLOOKUP(D912,STUDENTS!$A$5:$A$204,STUDENTS!$L$5:$L$204,""),"")</f>
        <v/>
      </c>
      <c r="G912" s="8"/>
      <c r="H912" s="14"/>
      <c r="I912" s="14"/>
      <c r="J912" s="15" t="str">
        <f>IF(H912="","",H912*SETTINGS!$B$9)</f>
        <v/>
      </c>
      <c r="K912" s="15" t="str">
        <f>IF(I912="","",I912*SETTINGS!$B$10)</f>
        <v/>
      </c>
      <c r="L912" s="15" t="str">
        <f t="shared" si="57"/>
        <v/>
      </c>
      <c r="M912" s="10" t="str">
        <f t="shared" si="58"/>
        <v/>
      </c>
      <c r="N912" s="10" t="str">
        <f t="shared" si="59"/>
        <v/>
      </c>
      <c r="O912" s="8"/>
    </row>
    <row r="913" spans="1:15" x14ac:dyDescent="0.2">
      <c r="A913" s="10" t="str">
        <f t="shared" si="56"/>
        <v/>
      </c>
      <c r="B913" s="8"/>
      <c r="C913" s="8"/>
      <c r="D913" s="8"/>
      <c r="E913" s="8" t="str">
        <f ca="1">IFERROR(_xludf.XLOOKUP(D913,STUDENTS!$A$5:$A$204,STUDENTS!$C$5:$C$204,""),"")</f>
        <v/>
      </c>
      <c r="F913" s="8" t="str">
        <f ca="1">IFERROR(_xludf.XLOOKUP(D913,STUDENTS!$A$5:$A$204,STUDENTS!$L$5:$L$204,""),"")</f>
        <v/>
      </c>
      <c r="G913" s="8"/>
      <c r="H913" s="14"/>
      <c r="I913" s="14"/>
      <c r="J913" s="15" t="str">
        <f>IF(H913="","",H913*SETTINGS!$B$9)</f>
        <v/>
      </c>
      <c r="K913" s="15" t="str">
        <f>IF(I913="","",I913*SETTINGS!$B$10)</f>
        <v/>
      </c>
      <c r="L913" s="15" t="str">
        <f t="shared" si="57"/>
        <v/>
      </c>
      <c r="M913" s="10" t="str">
        <f t="shared" si="58"/>
        <v/>
      </c>
      <c r="N913" s="10" t="str">
        <f t="shared" si="59"/>
        <v/>
      </c>
      <c r="O913" s="8"/>
    </row>
    <row r="914" spans="1:15" x14ac:dyDescent="0.2">
      <c r="A914" s="10" t="str">
        <f t="shared" si="56"/>
        <v/>
      </c>
      <c r="B914" s="8"/>
      <c r="C914" s="8"/>
      <c r="D914" s="8"/>
      <c r="E914" s="8" t="str">
        <f ca="1">IFERROR(_xludf.XLOOKUP(D914,STUDENTS!$A$5:$A$204,STUDENTS!$C$5:$C$204,""),"")</f>
        <v/>
      </c>
      <c r="F914" s="8" t="str">
        <f ca="1">IFERROR(_xludf.XLOOKUP(D914,STUDENTS!$A$5:$A$204,STUDENTS!$L$5:$L$204,""),"")</f>
        <v/>
      </c>
      <c r="G914" s="8"/>
      <c r="H914" s="14"/>
      <c r="I914" s="14"/>
      <c r="J914" s="15" t="str">
        <f>IF(H914="","",H914*SETTINGS!$B$9)</f>
        <v/>
      </c>
      <c r="K914" s="15" t="str">
        <f>IF(I914="","",I914*SETTINGS!$B$10)</f>
        <v/>
      </c>
      <c r="L914" s="15" t="str">
        <f t="shared" si="57"/>
        <v/>
      </c>
      <c r="M914" s="10" t="str">
        <f t="shared" si="58"/>
        <v/>
      </c>
      <c r="N914" s="10" t="str">
        <f t="shared" si="59"/>
        <v/>
      </c>
      <c r="O914" s="8"/>
    </row>
    <row r="915" spans="1:15" x14ac:dyDescent="0.2">
      <c r="A915" s="10" t="str">
        <f t="shared" si="56"/>
        <v/>
      </c>
      <c r="B915" s="8"/>
      <c r="C915" s="8"/>
      <c r="D915" s="8"/>
      <c r="E915" s="8" t="str">
        <f ca="1">IFERROR(_xludf.XLOOKUP(D915,STUDENTS!$A$5:$A$204,STUDENTS!$C$5:$C$204,""),"")</f>
        <v/>
      </c>
      <c r="F915" s="8" t="str">
        <f ca="1">IFERROR(_xludf.XLOOKUP(D915,STUDENTS!$A$5:$A$204,STUDENTS!$L$5:$L$204,""),"")</f>
        <v/>
      </c>
      <c r="G915" s="8"/>
      <c r="H915" s="14"/>
      <c r="I915" s="14"/>
      <c r="J915" s="15" t="str">
        <f>IF(H915="","",H915*SETTINGS!$B$9)</f>
        <v/>
      </c>
      <c r="K915" s="15" t="str">
        <f>IF(I915="","",I915*SETTINGS!$B$10)</f>
        <v/>
      </c>
      <c r="L915" s="15" t="str">
        <f t="shared" si="57"/>
        <v/>
      </c>
      <c r="M915" s="10" t="str">
        <f t="shared" si="58"/>
        <v/>
      </c>
      <c r="N915" s="10" t="str">
        <f t="shared" si="59"/>
        <v/>
      </c>
      <c r="O915" s="8"/>
    </row>
    <row r="916" spans="1:15" x14ac:dyDescent="0.2">
      <c r="A916" s="10" t="str">
        <f t="shared" si="56"/>
        <v/>
      </c>
      <c r="B916" s="8"/>
      <c r="C916" s="8"/>
      <c r="D916" s="8"/>
      <c r="E916" s="8" t="str">
        <f ca="1">IFERROR(_xludf.XLOOKUP(D916,STUDENTS!$A$5:$A$204,STUDENTS!$C$5:$C$204,""),"")</f>
        <v/>
      </c>
      <c r="F916" s="8" t="str">
        <f ca="1">IFERROR(_xludf.XLOOKUP(D916,STUDENTS!$A$5:$A$204,STUDENTS!$L$5:$L$204,""),"")</f>
        <v/>
      </c>
      <c r="G916" s="8"/>
      <c r="H916" s="14"/>
      <c r="I916" s="14"/>
      <c r="J916" s="15" t="str">
        <f>IF(H916="","",H916*SETTINGS!$B$9)</f>
        <v/>
      </c>
      <c r="K916" s="15" t="str">
        <f>IF(I916="","",I916*SETTINGS!$B$10)</f>
        <v/>
      </c>
      <c r="L916" s="15" t="str">
        <f t="shared" si="57"/>
        <v/>
      </c>
      <c r="M916" s="10" t="str">
        <f t="shared" si="58"/>
        <v/>
      </c>
      <c r="N916" s="10" t="str">
        <f t="shared" si="59"/>
        <v/>
      </c>
      <c r="O916" s="8"/>
    </row>
    <row r="917" spans="1:15" x14ac:dyDescent="0.2">
      <c r="A917" s="10" t="str">
        <f t="shared" si="56"/>
        <v/>
      </c>
      <c r="B917" s="8"/>
      <c r="C917" s="8"/>
      <c r="D917" s="8"/>
      <c r="E917" s="8" t="str">
        <f ca="1">IFERROR(_xludf.XLOOKUP(D917,STUDENTS!$A$5:$A$204,STUDENTS!$C$5:$C$204,""),"")</f>
        <v/>
      </c>
      <c r="F917" s="8" t="str">
        <f ca="1">IFERROR(_xludf.XLOOKUP(D917,STUDENTS!$A$5:$A$204,STUDENTS!$L$5:$L$204,""),"")</f>
        <v/>
      </c>
      <c r="G917" s="8"/>
      <c r="H917" s="14"/>
      <c r="I917" s="14"/>
      <c r="J917" s="15" t="str">
        <f>IF(H917="","",H917*SETTINGS!$B$9)</f>
        <v/>
      </c>
      <c r="K917" s="15" t="str">
        <f>IF(I917="","",I917*SETTINGS!$B$10)</f>
        <v/>
      </c>
      <c r="L917" s="15" t="str">
        <f t="shared" si="57"/>
        <v/>
      </c>
      <c r="M917" s="10" t="str">
        <f t="shared" si="58"/>
        <v/>
      </c>
      <c r="N917" s="10" t="str">
        <f t="shared" si="59"/>
        <v/>
      </c>
      <c r="O917" s="8"/>
    </row>
    <row r="918" spans="1:15" x14ac:dyDescent="0.2">
      <c r="A918" s="10" t="str">
        <f t="shared" si="56"/>
        <v/>
      </c>
      <c r="B918" s="8"/>
      <c r="C918" s="8"/>
      <c r="D918" s="8"/>
      <c r="E918" s="8" t="str">
        <f ca="1">IFERROR(_xludf.XLOOKUP(D918,STUDENTS!$A$5:$A$204,STUDENTS!$C$5:$C$204,""),"")</f>
        <v/>
      </c>
      <c r="F918" s="8" t="str">
        <f ca="1">IFERROR(_xludf.XLOOKUP(D918,STUDENTS!$A$5:$A$204,STUDENTS!$L$5:$L$204,""),"")</f>
        <v/>
      </c>
      <c r="G918" s="8"/>
      <c r="H918" s="14"/>
      <c r="I918" s="14"/>
      <c r="J918" s="15" t="str">
        <f>IF(H918="","",H918*SETTINGS!$B$9)</f>
        <v/>
      </c>
      <c r="K918" s="15" t="str">
        <f>IF(I918="","",I918*SETTINGS!$B$10)</f>
        <v/>
      </c>
      <c r="L918" s="15" t="str">
        <f t="shared" si="57"/>
        <v/>
      </c>
      <c r="M918" s="10" t="str">
        <f t="shared" si="58"/>
        <v/>
      </c>
      <c r="N918" s="10" t="str">
        <f t="shared" si="59"/>
        <v/>
      </c>
      <c r="O918" s="8"/>
    </row>
    <row r="919" spans="1:15" x14ac:dyDescent="0.2">
      <c r="A919" s="10" t="str">
        <f t="shared" si="56"/>
        <v/>
      </c>
      <c r="B919" s="8"/>
      <c r="C919" s="8"/>
      <c r="D919" s="8"/>
      <c r="E919" s="8" t="str">
        <f ca="1">IFERROR(_xludf.XLOOKUP(D919,STUDENTS!$A$5:$A$204,STUDENTS!$C$5:$C$204,""),"")</f>
        <v/>
      </c>
      <c r="F919" s="8" t="str">
        <f ca="1">IFERROR(_xludf.XLOOKUP(D919,STUDENTS!$A$5:$A$204,STUDENTS!$L$5:$L$204,""),"")</f>
        <v/>
      </c>
      <c r="G919" s="8"/>
      <c r="H919" s="14"/>
      <c r="I919" s="14"/>
      <c r="J919" s="15" t="str">
        <f>IF(H919="","",H919*SETTINGS!$B$9)</f>
        <v/>
      </c>
      <c r="K919" s="15" t="str">
        <f>IF(I919="","",I919*SETTINGS!$B$10)</f>
        <v/>
      </c>
      <c r="L919" s="15" t="str">
        <f t="shared" si="57"/>
        <v/>
      </c>
      <c r="M919" s="10" t="str">
        <f t="shared" si="58"/>
        <v/>
      </c>
      <c r="N919" s="10" t="str">
        <f t="shared" si="59"/>
        <v/>
      </c>
      <c r="O919" s="8"/>
    </row>
    <row r="920" spans="1:15" x14ac:dyDescent="0.2">
      <c r="A920" s="10" t="str">
        <f t="shared" si="56"/>
        <v/>
      </c>
      <c r="B920" s="8"/>
      <c r="C920" s="8"/>
      <c r="D920" s="8"/>
      <c r="E920" s="8" t="str">
        <f ca="1">IFERROR(_xludf.XLOOKUP(D920,STUDENTS!$A$5:$A$204,STUDENTS!$C$5:$C$204,""),"")</f>
        <v/>
      </c>
      <c r="F920" s="8" t="str">
        <f ca="1">IFERROR(_xludf.XLOOKUP(D920,STUDENTS!$A$5:$A$204,STUDENTS!$L$5:$L$204,""),"")</f>
        <v/>
      </c>
      <c r="G920" s="8"/>
      <c r="H920" s="14"/>
      <c r="I920" s="14"/>
      <c r="J920" s="15" t="str">
        <f>IF(H920="","",H920*SETTINGS!$B$9)</f>
        <v/>
      </c>
      <c r="K920" s="15" t="str">
        <f>IF(I920="","",I920*SETTINGS!$B$10)</f>
        <v/>
      </c>
      <c r="L920" s="15" t="str">
        <f t="shared" si="57"/>
        <v/>
      </c>
      <c r="M920" s="10" t="str">
        <f t="shared" si="58"/>
        <v/>
      </c>
      <c r="N920" s="10" t="str">
        <f t="shared" si="59"/>
        <v/>
      </c>
      <c r="O920" s="8"/>
    </row>
    <row r="921" spans="1:15" x14ac:dyDescent="0.2">
      <c r="A921" s="10" t="str">
        <f t="shared" si="56"/>
        <v/>
      </c>
      <c r="B921" s="8"/>
      <c r="C921" s="8"/>
      <c r="D921" s="8"/>
      <c r="E921" s="8" t="str">
        <f ca="1">IFERROR(_xludf.XLOOKUP(D921,STUDENTS!$A$5:$A$204,STUDENTS!$C$5:$C$204,""),"")</f>
        <v/>
      </c>
      <c r="F921" s="8" t="str">
        <f ca="1">IFERROR(_xludf.XLOOKUP(D921,STUDENTS!$A$5:$A$204,STUDENTS!$L$5:$L$204,""),"")</f>
        <v/>
      </c>
      <c r="G921" s="8"/>
      <c r="H921" s="14"/>
      <c r="I921" s="14"/>
      <c r="J921" s="15" t="str">
        <f>IF(H921="","",H921*SETTINGS!$B$9)</f>
        <v/>
      </c>
      <c r="K921" s="15" t="str">
        <f>IF(I921="","",I921*SETTINGS!$B$10)</f>
        <v/>
      </c>
      <c r="L921" s="15" t="str">
        <f t="shared" si="57"/>
        <v/>
      </c>
      <c r="M921" s="10" t="str">
        <f t="shared" si="58"/>
        <v/>
      </c>
      <c r="N921" s="10" t="str">
        <f t="shared" si="59"/>
        <v/>
      </c>
      <c r="O921" s="8"/>
    </row>
    <row r="922" spans="1:15" x14ac:dyDescent="0.2">
      <c r="A922" s="10" t="str">
        <f t="shared" si="56"/>
        <v/>
      </c>
      <c r="B922" s="8"/>
      <c r="C922" s="8"/>
      <c r="D922" s="8"/>
      <c r="E922" s="8" t="str">
        <f ca="1">IFERROR(_xludf.XLOOKUP(D922,STUDENTS!$A$5:$A$204,STUDENTS!$C$5:$C$204,""),"")</f>
        <v/>
      </c>
      <c r="F922" s="8" t="str">
        <f ca="1">IFERROR(_xludf.XLOOKUP(D922,STUDENTS!$A$5:$A$204,STUDENTS!$L$5:$L$204,""),"")</f>
        <v/>
      </c>
      <c r="G922" s="8"/>
      <c r="H922" s="14"/>
      <c r="I922" s="14"/>
      <c r="J922" s="15" t="str">
        <f>IF(H922="","",H922*SETTINGS!$B$9)</f>
        <v/>
      </c>
      <c r="K922" s="15" t="str">
        <f>IF(I922="","",I922*SETTINGS!$B$10)</f>
        <v/>
      </c>
      <c r="L922" s="15" t="str">
        <f t="shared" si="57"/>
        <v/>
      </c>
      <c r="M922" s="10" t="str">
        <f t="shared" si="58"/>
        <v/>
      </c>
      <c r="N922" s="10" t="str">
        <f t="shared" si="59"/>
        <v/>
      </c>
      <c r="O922" s="8"/>
    </row>
    <row r="923" spans="1:15" x14ac:dyDescent="0.2">
      <c r="A923" s="10" t="str">
        <f t="shared" si="56"/>
        <v/>
      </c>
      <c r="B923" s="8"/>
      <c r="C923" s="8"/>
      <c r="D923" s="8"/>
      <c r="E923" s="8" t="str">
        <f ca="1">IFERROR(_xludf.XLOOKUP(D923,STUDENTS!$A$5:$A$204,STUDENTS!$C$5:$C$204,""),"")</f>
        <v/>
      </c>
      <c r="F923" s="8" t="str">
        <f ca="1">IFERROR(_xludf.XLOOKUP(D923,STUDENTS!$A$5:$A$204,STUDENTS!$L$5:$L$204,""),"")</f>
        <v/>
      </c>
      <c r="G923" s="8"/>
      <c r="H923" s="14"/>
      <c r="I923" s="14"/>
      <c r="J923" s="15" t="str">
        <f>IF(H923="","",H923*SETTINGS!$B$9)</f>
        <v/>
      </c>
      <c r="K923" s="15" t="str">
        <f>IF(I923="","",I923*SETTINGS!$B$10)</f>
        <v/>
      </c>
      <c r="L923" s="15" t="str">
        <f t="shared" si="57"/>
        <v/>
      </c>
      <c r="M923" s="10" t="str">
        <f t="shared" si="58"/>
        <v/>
      </c>
      <c r="N923" s="10" t="str">
        <f t="shared" si="59"/>
        <v/>
      </c>
      <c r="O923" s="8"/>
    </row>
    <row r="924" spans="1:15" x14ac:dyDescent="0.2">
      <c r="A924" s="10" t="str">
        <f t="shared" si="56"/>
        <v/>
      </c>
      <c r="B924" s="8"/>
      <c r="C924" s="8"/>
      <c r="D924" s="8"/>
      <c r="E924" s="8" t="str">
        <f ca="1">IFERROR(_xludf.XLOOKUP(D924,STUDENTS!$A$5:$A$204,STUDENTS!$C$5:$C$204,""),"")</f>
        <v/>
      </c>
      <c r="F924" s="8" t="str">
        <f ca="1">IFERROR(_xludf.XLOOKUP(D924,STUDENTS!$A$5:$A$204,STUDENTS!$L$5:$L$204,""),"")</f>
        <v/>
      </c>
      <c r="G924" s="8"/>
      <c r="H924" s="14"/>
      <c r="I924" s="14"/>
      <c r="J924" s="15" t="str">
        <f>IF(H924="","",H924*SETTINGS!$B$9)</f>
        <v/>
      </c>
      <c r="K924" s="15" t="str">
        <f>IF(I924="","",I924*SETTINGS!$B$10)</f>
        <v/>
      </c>
      <c r="L924" s="15" t="str">
        <f t="shared" si="57"/>
        <v/>
      </c>
      <c r="M924" s="10" t="str">
        <f t="shared" si="58"/>
        <v/>
      </c>
      <c r="N924" s="10" t="str">
        <f t="shared" si="59"/>
        <v/>
      </c>
      <c r="O924" s="8"/>
    </row>
    <row r="925" spans="1:15" x14ac:dyDescent="0.2">
      <c r="A925" s="10" t="str">
        <f t="shared" si="56"/>
        <v/>
      </c>
      <c r="B925" s="8"/>
      <c r="C925" s="8"/>
      <c r="D925" s="8"/>
      <c r="E925" s="8" t="str">
        <f ca="1">IFERROR(_xludf.XLOOKUP(D925,STUDENTS!$A$5:$A$204,STUDENTS!$C$5:$C$204,""),"")</f>
        <v/>
      </c>
      <c r="F925" s="8" t="str">
        <f ca="1">IFERROR(_xludf.XLOOKUP(D925,STUDENTS!$A$5:$A$204,STUDENTS!$L$5:$L$204,""),"")</f>
        <v/>
      </c>
      <c r="G925" s="8"/>
      <c r="H925" s="14"/>
      <c r="I925" s="14"/>
      <c r="J925" s="15" t="str">
        <f>IF(H925="","",H925*SETTINGS!$B$9)</f>
        <v/>
      </c>
      <c r="K925" s="15" t="str">
        <f>IF(I925="","",I925*SETTINGS!$B$10)</f>
        <v/>
      </c>
      <c r="L925" s="15" t="str">
        <f t="shared" si="57"/>
        <v/>
      </c>
      <c r="M925" s="10" t="str">
        <f t="shared" si="58"/>
        <v/>
      </c>
      <c r="N925" s="10" t="str">
        <f t="shared" si="59"/>
        <v/>
      </c>
      <c r="O925" s="8"/>
    </row>
    <row r="926" spans="1:15" x14ac:dyDescent="0.2">
      <c r="A926" s="10" t="str">
        <f t="shared" si="56"/>
        <v/>
      </c>
      <c r="B926" s="8"/>
      <c r="C926" s="8"/>
      <c r="D926" s="8"/>
      <c r="E926" s="8" t="str">
        <f ca="1">IFERROR(_xludf.XLOOKUP(D926,STUDENTS!$A$5:$A$204,STUDENTS!$C$5:$C$204,""),"")</f>
        <v/>
      </c>
      <c r="F926" s="8" t="str">
        <f ca="1">IFERROR(_xludf.XLOOKUP(D926,STUDENTS!$A$5:$A$204,STUDENTS!$L$5:$L$204,""),"")</f>
        <v/>
      </c>
      <c r="G926" s="8"/>
      <c r="H926" s="14"/>
      <c r="I926" s="14"/>
      <c r="J926" s="15" t="str">
        <f>IF(H926="","",H926*SETTINGS!$B$9)</f>
        <v/>
      </c>
      <c r="K926" s="15" t="str">
        <f>IF(I926="","",I926*SETTINGS!$B$10)</f>
        <v/>
      </c>
      <c r="L926" s="15" t="str">
        <f t="shared" si="57"/>
        <v/>
      </c>
      <c r="M926" s="10" t="str">
        <f t="shared" si="58"/>
        <v/>
      </c>
      <c r="N926" s="10" t="str">
        <f t="shared" si="59"/>
        <v/>
      </c>
      <c r="O926" s="8"/>
    </row>
    <row r="927" spans="1:15" x14ac:dyDescent="0.2">
      <c r="A927" s="10" t="str">
        <f t="shared" si="56"/>
        <v/>
      </c>
      <c r="B927" s="8"/>
      <c r="C927" s="8"/>
      <c r="D927" s="8"/>
      <c r="E927" s="8" t="str">
        <f ca="1">IFERROR(_xludf.XLOOKUP(D927,STUDENTS!$A$5:$A$204,STUDENTS!$C$5:$C$204,""),"")</f>
        <v/>
      </c>
      <c r="F927" s="8" t="str">
        <f ca="1">IFERROR(_xludf.XLOOKUP(D927,STUDENTS!$A$5:$A$204,STUDENTS!$L$5:$L$204,""),"")</f>
        <v/>
      </c>
      <c r="G927" s="8"/>
      <c r="H927" s="14"/>
      <c r="I927" s="14"/>
      <c r="J927" s="15" t="str">
        <f>IF(H927="","",H927*SETTINGS!$B$9)</f>
        <v/>
      </c>
      <c r="K927" s="15" t="str">
        <f>IF(I927="","",I927*SETTINGS!$B$10)</f>
        <v/>
      </c>
      <c r="L927" s="15" t="str">
        <f t="shared" si="57"/>
        <v/>
      </c>
      <c r="M927" s="10" t="str">
        <f t="shared" si="58"/>
        <v/>
      </c>
      <c r="N927" s="10" t="str">
        <f t="shared" si="59"/>
        <v/>
      </c>
      <c r="O927" s="8"/>
    </row>
    <row r="928" spans="1:15" x14ac:dyDescent="0.2">
      <c r="A928" s="10" t="str">
        <f t="shared" si="56"/>
        <v/>
      </c>
      <c r="B928" s="8"/>
      <c r="C928" s="8"/>
      <c r="D928" s="8"/>
      <c r="E928" s="8" t="str">
        <f ca="1">IFERROR(_xludf.XLOOKUP(D928,STUDENTS!$A$5:$A$204,STUDENTS!$C$5:$C$204,""),"")</f>
        <v/>
      </c>
      <c r="F928" s="8" t="str">
        <f ca="1">IFERROR(_xludf.XLOOKUP(D928,STUDENTS!$A$5:$A$204,STUDENTS!$L$5:$L$204,""),"")</f>
        <v/>
      </c>
      <c r="G928" s="8"/>
      <c r="H928" s="14"/>
      <c r="I928" s="14"/>
      <c r="J928" s="15" t="str">
        <f>IF(H928="","",H928*SETTINGS!$B$9)</f>
        <v/>
      </c>
      <c r="K928" s="15" t="str">
        <f>IF(I928="","",I928*SETTINGS!$B$10)</f>
        <v/>
      </c>
      <c r="L928" s="15" t="str">
        <f t="shared" si="57"/>
        <v/>
      </c>
      <c r="M928" s="10" t="str">
        <f t="shared" si="58"/>
        <v/>
      </c>
      <c r="N928" s="10" t="str">
        <f t="shared" si="59"/>
        <v/>
      </c>
      <c r="O928" s="8"/>
    </row>
    <row r="929" spans="1:15" x14ac:dyDescent="0.2">
      <c r="A929" s="10" t="str">
        <f t="shared" si="56"/>
        <v/>
      </c>
      <c r="B929" s="8"/>
      <c r="C929" s="8"/>
      <c r="D929" s="8"/>
      <c r="E929" s="8" t="str">
        <f ca="1">IFERROR(_xludf.XLOOKUP(D929,STUDENTS!$A$5:$A$204,STUDENTS!$C$5:$C$204,""),"")</f>
        <v/>
      </c>
      <c r="F929" s="8" t="str">
        <f ca="1">IFERROR(_xludf.XLOOKUP(D929,STUDENTS!$A$5:$A$204,STUDENTS!$L$5:$L$204,""),"")</f>
        <v/>
      </c>
      <c r="G929" s="8"/>
      <c r="H929" s="14"/>
      <c r="I929" s="14"/>
      <c r="J929" s="15" t="str">
        <f>IF(H929="","",H929*SETTINGS!$B$9)</f>
        <v/>
      </c>
      <c r="K929" s="15" t="str">
        <f>IF(I929="","",I929*SETTINGS!$B$10)</f>
        <v/>
      </c>
      <c r="L929" s="15" t="str">
        <f t="shared" si="57"/>
        <v/>
      </c>
      <c r="M929" s="10" t="str">
        <f t="shared" si="58"/>
        <v/>
      </c>
      <c r="N929" s="10" t="str">
        <f t="shared" si="59"/>
        <v/>
      </c>
      <c r="O929" s="8"/>
    </row>
    <row r="930" spans="1:15" x14ac:dyDescent="0.2">
      <c r="A930" s="10" t="str">
        <f t="shared" si="56"/>
        <v/>
      </c>
      <c r="B930" s="8"/>
      <c r="C930" s="8"/>
      <c r="D930" s="8"/>
      <c r="E930" s="8" t="str">
        <f ca="1">IFERROR(_xludf.XLOOKUP(D930,STUDENTS!$A$5:$A$204,STUDENTS!$C$5:$C$204,""),"")</f>
        <v/>
      </c>
      <c r="F930" s="8" t="str">
        <f ca="1">IFERROR(_xludf.XLOOKUP(D930,STUDENTS!$A$5:$A$204,STUDENTS!$L$5:$L$204,""),"")</f>
        <v/>
      </c>
      <c r="G930" s="8"/>
      <c r="H930" s="14"/>
      <c r="I930" s="14"/>
      <c r="J930" s="15" t="str">
        <f>IF(H930="","",H930*SETTINGS!$B$9)</f>
        <v/>
      </c>
      <c r="K930" s="15" t="str">
        <f>IF(I930="","",I930*SETTINGS!$B$10)</f>
        <v/>
      </c>
      <c r="L930" s="15" t="str">
        <f t="shared" si="57"/>
        <v/>
      </c>
      <c r="M930" s="10" t="str">
        <f t="shared" si="58"/>
        <v/>
      </c>
      <c r="N930" s="10" t="str">
        <f t="shared" si="59"/>
        <v/>
      </c>
      <c r="O930" s="8"/>
    </row>
    <row r="931" spans="1:15" x14ac:dyDescent="0.2">
      <c r="A931" s="10" t="str">
        <f t="shared" si="56"/>
        <v/>
      </c>
      <c r="B931" s="8"/>
      <c r="C931" s="8"/>
      <c r="D931" s="8"/>
      <c r="E931" s="8" t="str">
        <f ca="1">IFERROR(_xludf.XLOOKUP(D931,STUDENTS!$A$5:$A$204,STUDENTS!$C$5:$C$204,""),"")</f>
        <v/>
      </c>
      <c r="F931" s="8" t="str">
        <f ca="1">IFERROR(_xludf.XLOOKUP(D931,STUDENTS!$A$5:$A$204,STUDENTS!$L$5:$L$204,""),"")</f>
        <v/>
      </c>
      <c r="G931" s="8"/>
      <c r="H931" s="14"/>
      <c r="I931" s="14"/>
      <c r="J931" s="15" t="str">
        <f>IF(H931="","",H931*SETTINGS!$B$9)</f>
        <v/>
      </c>
      <c r="K931" s="15" t="str">
        <f>IF(I931="","",I931*SETTINGS!$B$10)</f>
        <v/>
      </c>
      <c r="L931" s="15" t="str">
        <f t="shared" si="57"/>
        <v/>
      </c>
      <c r="M931" s="10" t="str">
        <f t="shared" si="58"/>
        <v/>
      </c>
      <c r="N931" s="10" t="str">
        <f t="shared" si="59"/>
        <v/>
      </c>
      <c r="O931" s="8"/>
    </row>
    <row r="932" spans="1:15" x14ac:dyDescent="0.2">
      <c r="A932" s="10" t="str">
        <f t="shared" si="56"/>
        <v/>
      </c>
      <c r="B932" s="8"/>
      <c r="C932" s="8"/>
      <c r="D932" s="8"/>
      <c r="E932" s="8" t="str">
        <f ca="1">IFERROR(_xludf.XLOOKUP(D932,STUDENTS!$A$5:$A$204,STUDENTS!$C$5:$C$204,""),"")</f>
        <v/>
      </c>
      <c r="F932" s="8" t="str">
        <f ca="1">IFERROR(_xludf.XLOOKUP(D932,STUDENTS!$A$5:$A$204,STUDENTS!$L$5:$L$204,""),"")</f>
        <v/>
      </c>
      <c r="G932" s="8"/>
      <c r="H932" s="14"/>
      <c r="I932" s="14"/>
      <c r="J932" s="15" t="str">
        <f>IF(H932="","",H932*SETTINGS!$B$9)</f>
        <v/>
      </c>
      <c r="K932" s="15" t="str">
        <f>IF(I932="","",I932*SETTINGS!$B$10)</f>
        <v/>
      </c>
      <c r="L932" s="15" t="str">
        <f t="shared" si="57"/>
        <v/>
      </c>
      <c r="M932" s="10" t="str">
        <f t="shared" si="58"/>
        <v/>
      </c>
      <c r="N932" s="10" t="str">
        <f t="shared" si="59"/>
        <v/>
      </c>
      <c r="O932" s="8"/>
    </row>
    <row r="933" spans="1:15" x14ac:dyDescent="0.2">
      <c r="A933" s="10" t="str">
        <f t="shared" si="56"/>
        <v/>
      </c>
      <c r="B933" s="8"/>
      <c r="C933" s="8"/>
      <c r="D933" s="8"/>
      <c r="E933" s="8" t="str">
        <f ca="1">IFERROR(_xludf.XLOOKUP(D933,STUDENTS!$A$5:$A$204,STUDENTS!$C$5:$C$204,""),"")</f>
        <v/>
      </c>
      <c r="F933" s="8" t="str">
        <f ca="1">IFERROR(_xludf.XLOOKUP(D933,STUDENTS!$A$5:$A$204,STUDENTS!$L$5:$L$204,""),"")</f>
        <v/>
      </c>
      <c r="G933" s="8"/>
      <c r="H933" s="14"/>
      <c r="I933" s="14"/>
      <c r="J933" s="15" t="str">
        <f>IF(H933="","",H933*SETTINGS!$B$9)</f>
        <v/>
      </c>
      <c r="K933" s="15" t="str">
        <f>IF(I933="","",I933*SETTINGS!$B$10)</f>
        <v/>
      </c>
      <c r="L933" s="15" t="str">
        <f t="shared" si="57"/>
        <v/>
      </c>
      <c r="M933" s="10" t="str">
        <f t="shared" si="58"/>
        <v/>
      </c>
      <c r="N933" s="10" t="str">
        <f t="shared" si="59"/>
        <v/>
      </c>
      <c r="O933" s="8"/>
    </row>
    <row r="934" spans="1:15" x14ac:dyDescent="0.2">
      <c r="A934" s="10" t="str">
        <f t="shared" si="56"/>
        <v/>
      </c>
      <c r="B934" s="8"/>
      <c r="C934" s="8"/>
      <c r="D934" s="8"/>
      <c r="E934" s="8" t="str">
        <f ca="1">IFERROR(_xludf.XLOOKUP(D934,STUDENTS!$A$5:$A$204,STUDENTS!$C$5:$C$204,""),"")</f>
        <v/>
      </c>
      <c r="F934" s="8" t="str">
        <f ca="1">IFERROR(_xludf.XLOOKUP(D934,STUDENTS!$A$5:$A$204,STUDENTS!$L$5:$L$204,""),"")</f>
        <v/>
      </c>
      <c r="G934" s="8"/>
      <c r="H934" s="14"/>
      <c r="I934" s="14"/>
      <c r="J934" s="15" t="str">
        <f>IF(H934="","",H934*SETTINGS!$B$9)</f>
        <v/>
      </c>
      <c r="K934" s="15" t="str">
        <f>IF(I934="","",I934*SETTINGS!$B$10)</f>
        <v/>
      </c>
      <c r="L934" s="15" t="str">
        <f t="shared" si="57"/>
        <v/>
      </c>
      <c r="M934" s="10" t="str">
        <f t="shared" si="58"/>
        <v/>
      </c>
      <c r="N934" s="10" t="str">
        <f t="shared" si="59"/>
        <v/>
      </c>
      <c r="O934" s="8"/>
    </row>
    <row r="935" spans="1:15" x14ac:dyDescent="0.2">
      <c r="A935" s="10" t="str">
        <f t="shared" si="56"/>
        <v/>
      </c>
      <c r="B935" s="8"/>
      <c r="C935" s="8"/>
      <c r="D935" s="8"/>
      <c r="E935" s="8" t="str">
        <f ca="1">IFERROR(_xludf.XLOOKUP(D935,STUDENTS!$A$5:$A$204,STUDENTS!$C$5:$C$204,""),"")</f>
        <v/>
      </c>
      <c r="F935" s="8" t="str">
        <f ca="1">IFERROR(_xludf.XLOOKUP(D935,STUDENTS!$A$5:$A$204,STUDENTS!$L$5:$L$204,""),"")</f>
        <v/>
      </c>
      <c r="G935" s="8"/>
      <c r="H935" s="14"/>
      <c r="I935" s="14"/>
      <c r="J935" s="15" t="str">
        <f>IF(H935="","",H935*SETTINGS!$B$9)</f>
        <v/>
      </c>
      <c r="K935" s="15" t="str">
        <f>IF(I935="","",I935*SETTINGS!$B$10)</f>
        <v/>
      </c>
      <c r="L935" s="15" t="str">
        <f t="shared" si="57"/>
        <v/>
      </c>
      <c r="M935" s="10" t="str">
        <f t="shared" si="58"/>
        <v/>
      </c>
      <c r="N935" s="10" t="str">
        <f t="shared" si="59"/>
        <v/>
      </c>
      <c r="O935" s="8"/>
    </row>
    <row r="936" spans="1:15" x14ac:dyDescent="0.2">
      <c r="A936" s="10" t="str">
        <f t="shared" si="56"/>
        <v/>
      </c>
      <c r="B936" s="8"/>
      <c r="C936" s="8"/>
      <c r="D936" s="8"/>
      <c r="E936" s="8" t="str">
        <f ca="1">IFERROR(_xludf.XLOOKUP(D936,STUDENTS!$A$5:$A$204,STUDENTS!$C$5:$C$204,""),"")</f>
        <v/>
      </c>
      <c r="F936" s="8" t="str">
        <f ca="1">IFERROR(_xludf.XLOOKUP(D936,STUDENTS!$A$5:$A$204,STUDENTS!$L$5:$L$204,""),"")</f>
        <v/>
      </c>
      <c r="G936" s="8"/>
      <c r="H936" s="14"/>
      <c r="I936" s="14"/>
      <c r="J936" s="15" t="str">
        <f>IF(H936="","",H936*SETTINGS!$B$9)</f>
        <v/>
      </c>
      <c r="K936" s="15" t="str">
        <f>IF(I936="","",I936*SETTINGS!$B$10)</f>
        <v/>
      </c>
      <c r="L936" s="15" t="str">
        <f t="shared" si="57"/>
        <v/>
      </c>
      <c r="M936" s="10" t="str">
        <f t="shared" si="58"/>
        <v/>
      </c>
      <c r="N936" s="10" t="str">
        <f t="shared" si="59"/>
        <v/>
      </c>
      <c r="O936" s="8"/>
    </row>
    <row r="937" spans="1:15" x14ac:dyDescent="0.2">
      <c r="A937" s="10" t="str">
        <f t="shared" si="56"/>
        <v/>
      </c>
      <c r="B937" s="8"/>
      <c r="C937" s="8"/>
      <c r="D937" s="8"/>
      <c r="E937" s="8" t="str">
        <f ca="1">IFERROR(_xludf.XLOOKUP(D937,STUDENTS!$A$5:$A$204,STUDENTS!$C$5:$C$204,""),"")</f>
        <v/>
      </c>
      <c r="F937" s="8" t="str">
        <f ca="1">IFERROR(_xludf.XLOOKUP(D937,STUDENTS!$A$5:$A$204,STUDENTS!$L$5:$L$204,""),"")</f>
        <v/>
      </c>
      <c r="G937" s="8"/>
      <c r="H937" s="14"/>
      <c r="I937" s="14"/>
      <c r="J937" s="15" t="str">
        <f>IF(H937="","",H937*SETTINGS!$B$9)</f>
        <v/>
      </c>
      <c r="K937" s="15" t="str">
        <f>IF(I937="","",I937*SETTINGS!$B$10)</f>
        <v/>
      </c>
      <c r="L937" s="15" t="str">
        <f t="shared" si="57"/>
        <v/>
      </c>
      <c r="M937" s="10" t="str">
        <f t="shared" si="58"/>
        <v/>
      </c>
      <c r="N937" s="10" t="str">
        <f t="shared" si="59"/>
        <v/>
      </c>
      <c r="O937" s="8"/>
    </row>
    <row r="938" spans="1:15" x14ac:dyDescent="0.2">
      <c r="A938" s="10" t="str">
        <f t="shared" si="56"/>
        <v/>
      </c>
      <c r="B938" s="8"/>
      <c r="C938" s="8"/>
      <c r="D938" s="8"/>
      <c r="E938" s="8" t="str">
        <f ca="1">IFERROR(_xludf.XLOOKUP(D938,STUDENTS!$A$5:$A$204,STUDENTS!$C$5:$C$204,""),"")</f>
        <v/>
      </c>
      <c r="F938" s="8" t="str">
        <f ca="1">IFERROR(_xludf.XLOOKUP(D938,STUDENTS!$A$5:$A$204,STUDENTS!$L$5:$L$204,""),"")</f>
        <v/>
      </c>
      <c r="G938" s="8"/>
      <c r="H938" s="14"/>
      <c r="I938" s="14"/>
      <c r="J938" s="15" t="str">
        <f>IF(H938="","",H938*SETTINGS!$B$9)</f>
        <v/>
      </c>
      <c r="K938" s="15" t="str">
        <f>IF(I938="","",I938*SETTINGS!$B$10)</f>
        <v/>
      </c>
      <c r="L938" s="15" t="str">
        <f t="shared" si="57"/>
        <v/>
      </c>
      <c r="M938" s="10" t="str">
        <f t="shared" si="58"/>
        <v/>
      </c>
      <c r="N938" s="10" t="str">
        <f t="shared" si="59"/>
        <v/>
      </c>
      <c r="O938" s="8"/>
    </row>
    <row r="939" spans="1:15" x14ac:dyDescent="0.2">
      <c r="A939" s="10" t="str">
        <f t="shared" si="56"/>
        <v/>
      </c>
      <c r="B939" s="8"/>
      <c r="C939" s="8"/>
      <c r="D939" s="8"/>
      <c r="E939" s="8" t="str">
        <f ca="1">IFERROR(_xludf.XLOOKUP(D939,STUDENTS!$A$5:$A$204,STUDENTS!$C$5:$C$204,""),"")</f>
        <v/>
      </c>
      <c r="F939" s="8" t="str">
        <f ca="1">IFERROR(_xludf.XLOOKUP(D939,STUDENTS!$A$5:$A$204,STUDENTS!$L$5:$L$204,""),"")</f>
        <v/>
      </c>
      <c r="G939" s="8"/>
      <c r="H939" s="14"/>
      <c r="I939" s="14"/>
      <c r="J939" s="15" t="str">
        <f>IF(H939="","",H939*SETTINGS!$B$9)</f>
        <v/>
      </c>
      <c r="K939" s="15" t="str">
        <f>IF(I939="","",I939*SETTINGS!$B$10)</f>
        <v/>
      </c>
      <c r="L939" s="15" t="str">
        <f t="shared" si="57"/>
        <v/>
      </c>
      <c r="M939" s="10" t="str">
        <f t="shared" si="58"/>
        <v/>
      </c>
      <c r="N939" s="10" t="str">
        <f t="shared" si="59"/>
        <v/>
      </c>
      <c r="O939" s="8"/>
    </row>
    <row r="940" spans="1:15" x14ac:dyDescent="0.2">
      <c r="A940" s="10" t="str">
        <f t="shared" si="56"/>
        <v/>
      </c>
      <c r="B940" s="8"/>
      <c r="C940" s="8"/>
      <c r="D940" s="8"/>
      <c r="E940" s="8" t="str">
        <f ca="1">IFERROR(_xludf.XLOOKUP(D940,STUDENTS!$A$5:$A$204,STUDENTS!$C$5:$C$204,""),"")</f>
        <v/>
      </c>
      <c r="F940" s="8" t="str">
        <f ca="1">IFERROR(_xludf.XLOOKUP(D940,STUDENTS!$A$5:$A$204,STUDENTS!$L$5:$L$204,""),"")</f>
        <v/>
      </c>
      <c r="G940" s="8"/>
      <c r="H940" s="14"/>
      <c r="I940" s="14"/>
      <c r="J940" s="15" t="str">
        <f>IF(H940="","",H940*SETTINGS!$B$9)</f>
        <v/>
      </c>
      <c r="K940" s="15" t="str">
        <f>IF(I940="","",I940*SETTINGS!$B$10)</f>
        <v/>
      </c>
      <c r="L940" s="15" t="str">
        <f t="shared" si="57"/>
        <v/>
      </c>
      <c r="M940" s="10" t="str">
        <f t="shared" si="58"/>
        <v/>
      </c>
      <c r="N940" s="10" t="str">
        <f t="shared" si="59"/>
        <v/>
      </c>
      <c r="O940" s="8"/>
    </row>
    <row r="941" spans="1:15" x14ac:dyDescent="0.2">
      <c r="A941" s="10" t="str">
        <f t="shared" si="56"/>
        <v/>
      </c>
      <c r="B941" s="8"/>
      <c r="C941" s="8"/>
      <c r="D941" s="8"/>
      <c r="E941" s="8" t="str">
        <f ca="1">IFERROR(_xludf.XLOOKUP(D941,STUDENTS!$A$5:$A$204,STUDENTS!$C$5:$C$204,""),"")</f>
        <v/>
      </c>
      <c r="F941" s="8" t="str">
        <f ca="1">IFERROR(_xludf.XLOOKUP(D941,STUDENTS!$A$5:$A$204,STUDENTS!$L$5:$L$204,""),"")</f>
        <v/>
      </c>
      <c r="G941" s="8"/>
      <c r="H941" s="14"/>
      <c r="I941" s="14"/>
      <c r="J941" s="15" t="str">
        <f>IF(H941="","",H941*SETTINGS!$B$9)</f>
        <v/>
      </c>
      <c r="K941" s="15" t="str">
        <f>IF(I941="","",I941*SETTINGS!$B$10)</f>
        <v/>
      </c>
      <c r="L941" s="15" t="str">
        <f t="shared" si="57"/>
        <v/>
      </c>
      <c r="M941" s="10" t="str">
        <f t="shared" si="58"/>
        <v/>
      </c>
      <c r="N941" s="10" t="str">
        <f t="shared" si="59"/>
        <v/>
      </c>
      <c r="O941" s="8"/>
    </row>
    <row r="942" spans="1:15" x14ac:dyDescent="0.2">
      <c r="A942" s="10" t="str">
        <f t="shared" si="56"/>
        <v/>
      </c>
      <c r="B942" s="8"/>
      <c r="C942" s="8"/>
      <c r="D942" s="8"/>
      <c r="E942" s="8" t="str">
        <f ca="1">IFERROR(_xludf.XLOOKUP(D942,STUDENTS!$A$5:$A$204,STUDENTS!$C$5:$C$204,""),"")</f>
        <v/>
      </c>
      <c r="F942" s="8" t="str">
        <f ca="1">IFERROR(_xludf.XLOOKUP(D942,STUDENTS!$A$5:$A$204,STUDENTS!$L$5:$L$204,""),"")</f>
        <v/>
      </c>
      <c r="G942" s="8"/>
      <c r="H942" s="14"/>
      <c r="I942" s="14"/>
      <c r="J942" s="15" t="str">
        <f>IF(H942="","",H942*SETTINGS!$B$9)</f>
        <v/>
      </c>
      <c r="K942" s="15" t="str">
        <f>IF(I942="","",I942*SETTINGS!$B$10)</f>
        <v/>
      </c>
      <c r="L942" s="15" t="str">
        <f t="shared" si="57"/>
        <v/>
      </c>
      <c r="M942" s="10" t="str">
        <f t="shared" si="58"/>
        <v/>
      </c>
      <c r="N942" s="10" t="str">
        <f t="shared" si="59"/>
        <v/>
      </c>
      <c r="O942" s="8"/>
    </row>
    <row r="943" spans="1:15" x14ac:dyDescent="0.2">
      <c r="A943" s="10" t="str">
        <f t="shared" si="56"/>
        <v/>
      </c>
      <c r="B943" s="8"/>
      <c r="C943" s="8"/>
      <c r="D943" s="8"/>
      <c r="E943" s="8" t="str">
        <f ca="1">IFERROR(_xludf.XLOOKUP(D943,STUDENTS!$A$5:$A$204,STUDENTS!$C$5:$C$204,""),"")</f>
        <v/>
      </c>
      <c r="F943" s="8" t="str">
        <f ca="1">IFERROR(_xludf.XLOOKUP(D943,STUDENTS!$A$5:$A$204,STUDENTS!$L$5:$L$204,""),"")</f>
        <v/>
      </c>
      <c r="G943" s="8"/>
      <c r="H943" s="14"/>
      <c r="I943" s="14"/>
      <c r="J943" s="15" t="str">
        <f>IF(H943="","",H943*SETTINGS!$B$9)</f>
        <v/>
      </c>
      <c r="K943" s="15" t="str">
        <f>IF(I943="","",I943*SETTINGS!$B$10)</f>
        <v/>
      </c>
      <c r="L943" s="15" t="str">
        <f t="shared" si="57"/>
        <v/>
      </c>
      <c r="M943" s="10" t="str">
        <f t="shared" si="58"/>
        <v/>
      </c>
      <c r="N943" s="10" t="str">
        <f t="shared" si="59"/>
        <v/>
      </c>
      <c r="O943" s="8"/>
    </row>
    <row r="944" spans="1:15" x14ac:dyDescent="0.2">
      <c r="A944" s="10" t="str">
        <f t="shared" si="56"/>
        <v/>
      </c>
      <c r="B944" s="8"/>
      <c r="C944" s="8"/>
      <c r="D944" s="8"/>
      <c r="E944" s="8" t="str">
        <f ca="1">IFERROR(_xludf.XLOOKUP(D944,STUDENTS!$A$5:$A$204,STUDENTS!$C$5:$C$204,""),"")</f>
        <v/>
      </c>
      <c r="F944" s="8" t="str">
        <f ca="1">IFERROR(_xludf.XLOOKUP(D944,STUDENTS!$A$5:$A$204,STUDENTS!$L$5:$L$204,""),"")</f>
        <v/>
      </c>
      <c r="G944" s="8"/>
      <c r="H944" s="14"/>
      <c r="I944" s="14"/>
      <c r="J944" s="15" t="str">
        <f>IF(H944="","",H944*SETTINGS!$B$9)</f>
        <v/>
      </c>
      <c r="K944" s="15" t="str">
        <f>IF(I944="","",I944*SETTINGS!$B$10)</f>
        <v/>
      </c>
      <c r="L944" s="15" t="str">
        <f t="shared" si="57"/>
        <v/>
      </c>
      <c r="M944" s="10" t="str">
        <f t="shared" si="58"/>
        <v/>
      </c>
      <c r="N944" s="10" t="str">
        <f t="shared" si="59"/>
        <v/>
      </c>
      <c r="O944" s="8"/>
    </row>
    <row r="945" spans="1:15" x14ac:dyDescent="0.2">
      <c r="A945" s="10" t="str">
        <f t="shared" si="56"/>
        <v/>
      </c>
      <c r="B945" s="8"/>
      <c r="C945" s="8"/>
      <c r="D945" s="8"/>
      <c r="E945" s="8" t="str">
        <f ca="1">IFERROR(_xludf.XLOOKUP(D945,STUDENTS!$A$5:$A$204,STUDENTS!$C$5:$C$204,""),"")</f>
        <v/>
      </c>
      <c r="F945" s="8" t="str">
        <f ca="1">IFERROR(_xludf.XLOOKUP(D945,STUDENTS!$A$5:$A$204,STUDENTS!$L$5:$L$204,""),"")</f>
        <v/>
      </c>
      <c r="G945" s="8"/>
      <c r="H945" s="14"/>
      <c r="I945" s="14"/>
      <c r="J945" s="15" t="str">
        <f>IF(H945="","",H945*SETTINGS!$B$9)</f>
        <v/>
      </c>
      <c r="K945" s="15" t="str">
        <f>IF(I945="","",I945*SETTINGS!$B$10)</f>
        <v/>
      </c>
      <c r="L945" s="15" t="str">
        <f t="shared" si="57"/>
        <v/>
      </c>
      <c r="M945" s="10" t="str">
        <f t="shared" si="58"/>
        <v/>
      </c>
      <c r="N945" s="10" t="str">
        <f t="shared" si="59"/>
        <v/>
      </c>
      <c r="O945" s="8"/>
    </row>
    <row r="946" spans="1:15" x14ac:dyDescent="0.2">
      <c r="A946" s="10" t="str">
        <f t="shared" si="56"/>
        <v/>
      </c>
      <c r="B946" s="8"/>
      <c r="C946" s="8"/>
      <c r="D946" s="8"/>
      <c r="E946" s="8" t="str">
        <f ca="1">IFERROR(_xludf.XLOOKUP(D946,STUDENTS!$A$5:$A$204,STUDENTS!$C$5:$C$204,""),"")</f>
        <v/>
      </c>
      <c r="F946" s="8" t="str">
        <f ca="1">IFERROR(_xludf.XLOOKUP(D946,STUDENTS!$A$5:$A$204,STUDENTS!$L$5:$L$204,""),"")</f>
        <v/>
      </c>
      <c r="G946" s="8"/>
      <c r="H946" s="14"/>
      <c r="I946" s="14"/>
      <c r="J946" s="15" t="str">
        <f>IF(H946="","",H946*SETTINGS!$B$9)</f>
        <v/>
      </c>
      <c r="K946" s="15" t="str">
        <f>IF(I946="","",I946*SETTINGS!$B$10)</f>
        <v/>
      </c>
      <c r="L946" s="15" t="str">
        <f t="shared" si="57"/>
        <v/>
      </c>
      <c r="M946" s="10" t="str">
        <f t="shared" si="58"/>
        <v/>
      </c>
      <c r="N946" s="10" t="str">
        <f t="shared" si="59"/>
        <v/>
      </c>
      <c r="O946" s="8"/>
    </row>
    <row r="947" spans="1:15" x14ac:dyDescent="0.2">
      <c r="A947" s="10" t="str">
        <f t="shared" si="56"/>
        <v/>
      </c>
      <c r="B947" s="8"/>
      <c r="C947" s="8"/>
      <c r="D947" s="8"/>
      <c r="E947" s="8" t="str">
        <f ca="1">IFERROR(_xludf.XLOOKUP(D947,STUDENTS!$A$5:$A$204,STUDENTS!$C$5:$C$204,""),"")</f>
        <v/>
      </c>
      <c r="F947" s="8" t="str">
        <f ca="1">IFERROR(_xludf.XLOOKUP(D947,STUDENTS!$A$5:$A$204,STUDENTS!$L$5:$L$204,""),"")</f>
        <v/>
      </c>
      <c r="G947" s="8"/>
      <c r="H947" s="14"/>
      <c r="I947" s="14"/>
      <c r="J947" s="15" t="str">
        <f>IF(H947="","",H947*SETTINGS!$B$9)</f>
        <v/>
      </c>
      <c r="K947" s="15" t="str">
        <f>IF(I947="","",I947*SETTINGS!$B$10)</f>
        <v/>
      </c>
      <c r="L947" s="15" t="str">
        <f t="shared" si="57"/>
        <v/>
      </c>
      <c r="M947" s="10" t="str">
        <f t="shared" si="58"/>
        <v/>
      </c>
      <c r="N947" s="10" t="str">
        <f t="shared" si="59"/>
        <v/>
      </c>
      <c r="O947" s="8"/>
    </row>
    <row r="948" spans="1:15" x14ac:dyDescent="0.2">
      <c r="A948" s="10" t="str">
        <f t="shared" si="56"/>
        <v/>
      </c>
      <c r="B948" s="8"/>
      <c r="C948" s="8"/>
      <c r="D948" s="8"/>
      <c r="E948" s="8" t="str">
        <f ca="1">IFERROR(_xludf.XLOOKUP(D948,STUDENTS!$A$5:$A$204,STUDENTS!$C$5:$C$204,""),"")</f>
        <v/>
      </c>
      <c r="F948" s="8" t="str">
        <f ca="1">IFERROR(_xludf.XLOOKUP(D948,STUDENTS!$A$5:$A$204,STUDENTS!$L$5:$L$204,""),"")</f>
        <v/>
      </c>
      <c r="G948" s="8"/>
      <c r="H948" s="14"/>
      <c r="I948" s="14"/>
      <c r="J948" s="15" t="str">
        <f>IF(H948="","",H948*SETTINGS!$B$9)</f>
        <v/>
      </c>
      <c r="K948" s="15" t="str">
        <f>IF(I948="","",I948*SETTINGS!$B$10)</f>
        <v/>
      </c>
      <c r="L948" s="15" t="str">
        <f t="shared" si="57"/>
        <v/>
      </c>
      <c r="M948" s="10" t="str">
        <f t="shared" si="58"/>
        <v/>
      </c>
      <c r="N948" s="10" t="str">
        <f t="shared" si="59"/>
        <v/>
      </c>
      <c r="O948" s="8"/>
    </row>
    <row r="949" spans="1:15" x14ac:dyDescent="0.2">
      <c r="A949" s="10" t="str">
        <f t="shared" si="56"/>
        <v/>
      </c>
      <c r="B949" s="8"/>
      <c r="C949" s="8"/>
      <c r="D949" s="8"/>
      <c r="E949" s="8" t="str">
        <f ca="1">IFERROR(_xludf.XLOOKUP(D949,STUDENTS!$A$5:$A$204,STUDENTS!$C$5:$C$204,""),"")</f>
        <v/>
      </c>
      <c r="F949" s="8" t="str">
        <f ca="1">IFERROR(_xludf.XLOOKUP(D949,STUDENTS!$A$5:$A$204,STUDENTS!$L$5:$L$204,""),"")</f>
        <v/>
      </c>
      <c r="G949" s="8"/>
      <c r="H949" s="14"/>
      <c r="I949" s="14"/>
      <c r="J949" s="15" t="str">
        <f>IF(H949="","",H949*SETTINGS!$B$9)</f>
        <v/>
      </c>
      <c r="K949" s="15" t="str">
        <f>IF(I949="","",I949*SETTINGS!$B$10)</f>
        <v/>
      </c>
      <c r="L949" s="15" t="str">
        <f t="shared" si="57"/>
        <v/>
      </c>
      <c r="M949" s="10" t="str">
        <f t="shared" si="58"/>
        <v/>
      </c>
      <c r="N949" s="10" t="str">
        <f t="shared" si="59"/>
        <v/>
      </c>
      <c r="O949" s="8"/>
    </row>
    <row r="950" spans="1:15" x14ac:dyDescent="0.2">
      <c r="A950" s="10" t="str">
        <f t="shared" si="56"/>
        <v/>
      </c>
      <c r="B950" s="8"/>
      <c r="C950" s="8"/>
      <c r="D950" s="8"/>
      <c r="E950" s="8" t="str">
        <f ca="1">IFERROR(_xludf.XLOOKUP(D950,STUDENTS!$A$5:$A$204,STUDENTS!$C$5:$C$204,""),"")</f>
        <v/>
      </c>
      <c r="F950" s="8" t="str">
        <f ca="1">IFERROR(_xludf.XLOOKUP(D950,STUDENTS!$A$5:$A$204,STUDENTS!$L$5:$L$204,""),"")</f>
        <v/>
      </c>
      <c r="G950" s="8"/>
      <c r="H950" s="14"/>
      <c r="I950" s="14"/>
      <c r="J950" s="15" t="str">
        <f>IF(H950="","",H950*SETTINGS!$B$9)</f>
        <v/>
      </c>
      <c r="K950" s="15" t="str">
        <f>IF(I950="","",I950*SETTINGS!$B$10)</f>
        <v/>
      </c>
      <c r="L950" s="15" t="str">
        <f t="shared" si="57"/>
        <v/>
      </c>
      <c r="M950" s="10" t="str">
        <f t="shared" si="58"/>
        <v/>
      </c>
      <c r="N950" s="10" t="str">
        <f t="shared" si="59"/>
        <v/>
      </c>
      <c r="O950" s="8"/>
    </row>
    <row r="951" spans="1:15" x14ac:dyDescent="0.2">
      <c r="A951" s="10" t="str">
        <f t="shared" si="56"/>
        <v/>
      </c>
      <c r="B951" s="8"/>
      <c r="C951" s="8"/>
      <c r="D951" s="8"/>
      <c r="E951" s="8" t="str">
        <f ca="1">IFERROR(_xludf.XLOOKUP(D951,STUDENTS!$A$5:$A$204,STUDENTS!$C$5:$C$204,""),"")</f>
        <v/>
      </c>
      <c r="F951" s="8" t="str">
        <f ca="1">IFERROR(_xludf.XLOOKUP(D951,STUDENTS!$A$5:$A$204,STUDENTS!$L$5:$L$204,""),"")</f>
        <v/>
      </c>
      <c r="G951" s="8"/>
      <c r="H951" s="14"/>
      <c r="I951" s="14"/>
      <c r="J951" s="15" t="str">
        <f>IF(H951="","",H951*SETTINGS!$B$9)</f>
        <v/>
      </c>
      <c r="K951" s="15" t="str">
        <f>IF(I951="","",I951*SETTINGS!$B$10)</f>
        <v/>
      </c>
      <c r="L951" s="15" t="str">
        <f t="shared" si="57"/>
        <v/>
      </c>
      <c r="M951" s="10" t="str">
        <f t="shared" si="58"/>
        <v/>
      </c>
      <c r="N951" s="10" t="str">
        <f t="shared" si="59"/>
        <v/>
      </c>
      <c r="O951" s="8"/>
    </row>
    <row r="952" spans="1:15" x14ac:dyDescent="0.2">
      <c r="A952" s="10" t="str">
        <f t="shared" si="56"/>
        <v/>
      </c>
      <c r="B952" s="8"/>
      <c r="C952" s="8"/>
      <c r="D952" s="8"/>
      <c r="E952" s="8" t="str">
        <f ca="1">IFERROR(_xludf.XLOOKUP(D952,STUDENTS!$A$5:$A$204,STUDENTS!$C$5:$C$204,""),"")</f>
        <v/>
      </c>
      <c r="F952" s="8" t="str">
        <f ca="1">IFERROR(_xludf.XLOOKUP(D952,STUDENTS!$A$5:$A$204,STUDENTS!$L$5:$L$204,""),"")</f>
        <v/>
      </c>
      <c r="G952" s="8"/>
      <c r="H952" s="14"/>
      <c r="I952" s="14"/>
      <c r="J952" s="15" t="str">
        <f>IF(H952="","",H952*SETTINGS!$B$9)</f>
        <v/>
      </c>
      <c r="K952" s="15" t="str">
        <f>IF(I952="","",I952*SETTINGS!$B$10)</f>
        <v/>
      </c>
      <c r="L952" s="15" t="str">
        <f t="shared" si="57"/>
        <v/>
      </c>
      <c r="M952" s="10" t="str">
        <f t="shared" si="58"/>
        <v/>
      </c>
      <c r="N952" s="10" t="str">
        <f t="shared" si="59"/>
        <v/>
      </c>
      <c r="O952" s="8"/>
    </row>
    <row r="953" spans="1:15" x14ac:dyDescent="0.2">
      <c r="A953" s="10" t="str">
        <f t="shared" si="56"/>
        <v/>
      </c>
      <c r="B953" s="8"/>
      <c r="C953" s="8"/>
      <c r="D953" s="8"/>
      <c r="E953" s="8" t="str">
        <f ca="1">IFERROR(_xludf.XLOOKUP(D953,STUDENTS!$A$5:$A$204,STUDENTS!$C$5:$C$204,""),"")</f>
        <v/>
      </c>
      <c r="F953" s="8" t="str">
        <f ca="1">IFERROR(_xludf.XLOOKUP(D953,STUDENTS!$A$5:$A$204,STUDENTS!$L$5:$L$204,""),"")</f>
        <v/>
      </c>
      <c r="G953" s="8"/>
      <c r="H953" s="14"/>
      <c r="I953" s="14"/>
      <c r="J953" s="15" t="str">
        <f>IF(H953="","",H953*SETTINGS!$B$9)</f>
        <v/>
      </c>
      <c r="K953" s="15" t="str">
        <f>IF(I953="","",I953*SETTINGS!$B$10)</f>
        <v/>
      </c>
      <c r="L953" s="15" t="str">
        <f t="shared" si="57"/>
        <v/>
      </c>
      <c r="M953" s="10" t="str">
        <f t="shared" si="58"/>
        <v/>
      </c>
      <c r="N953" s="10" t="str">
        <f t="shared" si="59"/>
        <v/>
      </c>
      <c r="O953" s="8"/>
    </row>
    <row r="954" spans="1:15" x14ac:dyDescent="0.2">
      <c r="A954" s="10" t="str">
        <f t="shared" si="56"/>
        <v/>
      </c>
      <c r="B954" s="8"/>
      <c r="C954" s="8"/>
      <c r="D954" s="8"/>
      <c r="E954" s="8" t="str">
        <f ca="1">IFERROR(_xludf.XLOOKUP(D954,STUDENTS!$A$5:$A$204,STUDENTS!$C$5:$C$204,""),"")</f>
        <v/>
      </c>
      <c r="F954" s="8" t="str">
        <f ca="1">IFERROR(_xludf.XLOOKUP(D954,STUDENTS!$A$5:$A$204,STUDENTS!$L$5:$L$204,""),"")</f>
        <v/>
      </c>
      <c r="G954" s="8"/>
      <c r="H954" s="14"/>
      <c r="I954" s="14"/>
      <c r="J954" s="15" t="str">
        <f>IF(H954="","",H954*SETTINGS!$B$9)</f>
        <v/>
      </c>
      <c r="K954" s="15" t="str">
        <f>IF(I954="","",I954*SETTINGS!$B$10)</f>
        <v/>
      </c>
      <c r="L954" s="15" t="str">
        <f t="shared" si="57"/>
        <v/>
      </c>
      <c r="M954" s="10" t="str">
        <f t="shared" si="58"/>
        <v/>
      </c>
      <c r="N954" s="10" t="str">
        <f t="shared" si="59"/>
        <v/>
      </c>
      <c r="O954" s="8"/>
    </row>
    <row r="955" spans="1:15" x14ac:dyDescent="0.2">
      <c r="A955" s="10" t="str">
        <f t="shared" si="56"/>
        <v/>
      </c>
      <c r="B955" s="8"/>
      <c r="C955" s="8"/>
      <c r="D955" s="8"/>
      <c r="E955" s="8" t="str">
        <f ca="1">IFERROR(_xludf.XLOOKUP(D955,STUDENTS!$A$5:$A$204,STUDENTS!$C$5:$C$204,""),"")</f>
        <v/>
      </c>
      <c r="F955" s="8" t="str">
        <f ca="1">IFERROR(_xludf.XLOOKUP(D955,STUDENTS!$A$5:$A$204,STUDENTS!$L$5:$L$204,""),"")</f>
        <v/>
      </c>
      <c r="G955" s="8"/>
      <c r="H955" s="14"/>
      <c r="I955" s="14"/>
      <c r="J955" s="15" t="str">
        <f>IF(H955="","",H955*SETTINGS!$B$9)</f>
        <v/>
      </c>
      <c r="K955" s="15" t="str">
        <f>IF(I955="","",I955*SETTINGS!$B$10)</f>
        <v/>
      </c>
      <c r="L955" s="15" t="str">
        <f t="shared" si="57"/>
        <v/>
      </c>
      <c r="M955" s="10" t="str">
        <f t="shared" si="58"/>
        <v/>
      </c>
      <c r="N955" s="10" t="str">
        <f t="shared" si="59"/>
        <v/>
      </c>
      <c r="O955" s="8"/>
    </row>
    <row r="956" spans="1:15" x14ac:dyDescent="0.2">
      <c r="A956" s="10" t="str">
        <f t="shared" si="56"/>
        <v/>
      </c>
      <c r="B956" s="8"/>
      <c r="C956" s="8"/>
      <c r="D956" s="8"/>
      <c r="E956" s="8" t="str">
        <f ca="1">IFERROR(_xludf.XLOOKUP(D956,STUDENTS!$A$5:$A$204,STUDENTS!$C$5:$C$204,""),"")</f>
        <v/>
      </c>
      <c r="F956" s="8" t="str">
        <f ca="1">IFERROR(_xludf.XLOOKUP(D956,STUDENTS!$A$5:$A$204,STUDENTS!$L$5:$L$204,""),"")</f>
        <v/>
      </c>
      <c r="G956" s="8"/>
      <c r="H956" s="14"/>
      <c r="I956" s="14"/>
      <c r="J956" s="15" t="str">
        <f>IF(H956="","",H956*SETTINGS!$B$9)</f>
        <v/>
      </c>
      <c r="K956" s="15" t="str">
        <f>IF(I956="","",I956*SETTINGS!$B$10)</f>
        <v/>
      </c>
      <c r="L956" s="15" t="str">
        <f t="shared" si="57"/>
        <v/>
      </c>
      <c r="M956" s="10" t="str">
        <f t="shared" si="58"/>
        <v/>
      </c>
      <c r="N956" s="10" t="str">
        <f t="shared" si="59"/>
        <v/>
      </c>
      <c r="O956" s="8"/>
    </row>
    <row r="957" spans="1:15" x14ac:dyDescent="0.2">
      <c r="A957" s="10" t="str">
        <f t="shared" si="56"/>
        <v/>
      </c>
      <c r="B957" s="8"/>
      <c r="C957" s="8"/>
      <c r="D957" s="8"/>
      <c r="E957" s="8" t="str">
        <f ca="1">IFERROR(_xludf.XLOOKUP(D957,STUDENTS!$A$5:$A$204,STUDENTS!$C$5:$C$204,""),"")</f>
        <v/>
      </c>
      <c r="F957" s="8" t="str">
        <f ca="1">IFERROR(_xludf.XLOOKUP(D957,STUDENTS!$A$5:$A$204,STUDENTS!$L$5:$L$204,""),"")</f>
        <v/>
      </c>
      <c r="G957" s="8"/>
      <c r="H957" s="14"/>
      <c r="I957" s="14"/>
      <c r="J957" s="15" t="str">
        <f>IF(H957="","",H957*SETTINGS!$B$9)</f>
        <v/>
      </c>
      <c r="K957" s="15" t="str">
        <f>IF(I957="","",I957*SETTINGS!$B$10)</f>
        <v/>
      </c>
      <c r="L957" s="15" t="str">
        <f t="shared" si="57"/>
        <v/>
      </c>
      <c r="M957" s="10" t="str">
        <f t="shared" si="58"/>
        <v/>
      </c>
      <c r="N957" s="10" t="str">
        <f t="shared" si="59"/>
        <v/>
      </c>
      <c r="O957" s="8"/>
    </row>
    <row r="958" spans="1:15" x14ac:dyDescent="0.2">
      <c r="A958" s="10" t="str">
        <f t="shared" si="56"/>
        <v/>
      </c>
      <c r="B958" s="8"/>
      <c r="C958" s="8"/>
      <c r="D958" s="8"/>
      <c r="E958" s="8" t="str">
        <f ca="1">IFERROR(_xludf.XLOOKUP(D958,STUDENTS!$A$5:$A$204,STUDENTS!$C$5:$C$204,""),"")</f>
        <v/>
      </c>
      <c r="F958" s="8" t="str">
        <f ca="1">IFERROR(_xludf.XLOOKUP(D958,STUDENTS!$A$5:$A$204,STUDENTS!$L$5:$L$204,""),"")</f>
        <v/>
      </c>
      <c r="G958" s="8"/>
      <c r="H958" s="14"/>
      <c r="I958" s="14"/>
      <c r="J958" s="15" t="str">
        <f>IF(H958="","",H958*SETTINGS!$B$9)</f>
        <v/>
      </c>
      <c r="K958" s="15" t="str">
        <f>IF(I958="","",I958*SETTINGS!$B$10)</f>
        <v/>
      </c>
      <c r="L958" s="15" t="str">
        <f t="shared" si="57"/>
        <v/>
      </c>
      <c r="M958" s="10" t="str">
        <f t="shared" si="58"/>
        <v/>
      </c>
      <c r="N958" s="10" t="str">
        <f t="shared" si="59"/>
        <v/>
      </c>
      <c r="O958" s="8"/>
    </row>
    <row r="959" spans="1:15" x14ac:dyDescent="0.2">
      <c r="A959" s="10" t="str">
        <f t="shared" si="56"/>
        <v/>
      </c>
      <c r="B959" s="8"/>
      <c r="C959" s="8"/>
      <c r="D959" s="8"/>
      <c r="E959" s="8" t="str">
        <f ca="1">IFERROR(_xludf.XLOOKUP(D959,STUDENTS!$A$5:$A$204,STUDENTS!$C$5:$C$204,""),"")</f>
        <v/>
      </c>
      <c r="F959" s="8" t="str">
        <f ca="1">IFERROR(_xludf.XLOOKUP(D959,STUDENTS!$A$5:$A$204,STUDENTS!$L$5:$L$204,""),"")</f>
        <v/>
      </c>
      <c r="G959" s="8"/>
      <c r="H959" s="14"/>
      <c r="I959" s="14"/>
      <c r="J959" s="15" t="str">
        <f>IF(H959="","",H959*SETTINGS!$B$9)</f>
        <v/>
      </c>
      <c r="K959" s="15" t="str">
        <f>IF(I959="","",I959*SETTINGS!$B$10)</f>
        <v/>
      </c>
      <c r="L959" s="15" t="str">
        <f t="shared" si="57"/>
        <v/>
      </c>
      <c r="M959" s="10" t="str">
        <f t="shared" si="58"/>
        <v/>
      </c>
      <c r="N959" s="10" t="str">
        <f t="shared" si="59"/>
        <v/>
      </c>
      <c r="O959" s="8"/>
    </row>
    <row r="960" spans="1:15" x14ac:dyDescent="0.2">
      <c r="A960" s="10" t="str">
        <f t="shared" si="56"/>
        <v/>
      </c>
      <c r="B960" s="8"/>
      <c r="C960" s="8"/>
      <c r="D960" s="8"/>
      <c r="E960" s="8" t="str">
        <f ca="1">IFERROR(_xludf.XLOOKUP(D960,STUDENTS!$A$5:$A$204,STUDENTS!$C$5:$C$204,""),"")</f>
        <v/>
      </c>
      <c r="F960" s="8" t="str">
        <f ca="1">IFERROR(_xludf.XLOOKUP(D960,STUDENTS!$A$5:$A$204,STUDENTS!$L$5:$L$204,""),"")</f>
        <v/>
      </c>
      <c r="G960" s="8"/>
      <c r="H960" s="14"/>
      <c r="I960" s="14"/>
      <c r="J960" s="15" t="str">
        <f>IF(H960="","",H960*SETTINGS!$B$9)</f>
        <v/>
      </c>
      <c r="K960" s="15" t="str">
        <f>IF(I960="","",I960*SETTINGS!$B$10)</f>
        <v/>
      </c>
      <c r="L960" s="15" t="str">
        <f t="shared" si="57"/>
        <v/>
      </c>
      <c r="M960" s="10" t="str">
        <f t="shared" si="58"/>
        <v/>
      </c>
      <c r="N960" s="10" t="str">
        <f t="shared" si="59"/>
        <v/>
      </c>
      <c r="O960" s="8"/>
    </row>
    <row r="961" spans="1:15" x14ac:dyDescent="0.2">
      <c r="A961" s="10" t="str">
        <f t="shared" si="56"/>
        <v/>
      </c>
      <c r="B961" s="8"/>
      <c r="C961" s="8"/>
      <c r="D961" s="8"/>
      <c r="E961" s="8" t="str">
        <f ca="1">IFERROR(_xludf.XLOOKUP(D961,STUDENTS!$A$5:$A$204,STUDENTS!$C$5:$C$204,""),"")</f>
        <v/>
      </c>
      <c r="F961" s="8" t="str">
        <f ca="1">IFERROR(_xludf.XLOOKUP(D961,STUDENTS!$A$5:$A$204,STUDENTS!$L$5:$L$204,""),"")</f>
        <v/>
      </c>
      <c r="G961" s="8"/>
      <c r="H961" s="14"/>
      <c r="I961" s="14"/>
      <c r="J961" s="15" t="str">
        <f>IF(H961="","",H961*SETTINGS!$B$9)</f>
        <v/>
      </c>
      <c r="K961" s="15" t="str">
        <f>IF(I961="","",I961*SETTINGS!$B$10)</f>
        <v/>
      </c>
      <c r="L961" s="15" t="str">
        <f t="shared" si="57"/>
        <v/>
      </c>
      <c r="M961" s="10" t="str">
        <f t="shared" si="58"/>
        <v/>
      </c>
      <c r="N961" s="10" t="str">
        <f t="shared" si="59"/>
        <v/>
      </c>
      <c r="O961" s="8"/>
    </row>
    <row r="962" spans="1:15" x14ac:dyDescent="0.2">
      <c r="A962" s="10" t="str">
        <f t="shared" si="56"/>
        <v/>
      </c>
      <c r="B962" s="8"/>
      <c r="C962" s="8"/>
      <c r="D962" s="8"/>
      <c r="E962" s="8" t="str">
        <f ca="1">IFERROR(_xludf.XLOOKUP(D962,STUDENTS!$A$5:$A$204,STUDENTS!$C$5:$C$204,""),"")</f>
        <v/>
      </c>
      <c r="F962" s="8" t="str">
        <f ca="1">IFERROR(_xludf.XLOOKUP(D962,STUDENTS!$A$5:$A$204,STUDENTS!$L$5:$L$204,""),"")</f>
        <v/>
      </c>
      <c r="G962" s="8"/>
      <c r="H962" s="14"/>
      <c r="I962" s="14"/>
      <c r="J962" s="15" t="str">
        <f>IF(H962="","",H962*SETTINGS!$B$9)</f>
        <v/>
      </c>
      <c r="K962" s="15" t="str">
        <f>IF(I962="","",I962*SETTINGS!$B$10)</f>
        <v/>
      </c>
      <c r="L962" s="15" t="str">
        <f t="shared" si="57"/>
        <v/>
      </c>
      <c r="M962" s="10" t="str">
        <f t="shared" si="58"/>
        <v/>
      </c>
      <c r="N962" s="10" t="str">
        <f t="shared" si="59"/>
        <v/>
      </c>
      <c r="O962" s="8"/>
    </row>
    <row r="963" spans="1:15" x14ac:dyDescent="0.2">
      <c r="A963" s="10" t="str">
        <f t="shared" si="56"/>
        <v/>
      </c>
      <c r="B963" s="8"/>
      <c r="C963" s="8"/>
      <c r="D963" s="8"/>
      <c r="E963" s="8" t="str">
        <f ca="1">IFERROR(_xludf.XLOOKUP(D963,STUDENTS!$A$5:$A$204,STUDENTS!$C$5:$C$204,""),"")</f>
        <v/>
      </c>
      <c r="F963" s="8" t="str">
        <f ca="1">IFERROR(_xludf.XLOOKUP(D963,STUDENTS!$A$5:$A$204,STUDENTS!$L$5:$L$204,""),"")</f>
        <v/>
      </c>
      <c r="G963" s="8"/>
      <c r="H963" s="14"/>
      <c r="I963" s="14"/>
      <c r="J963" s="15" t="str">
        <f>IF(H963="","",H963*SETTINGS!$B$9)</f>
        <v/>
      </c>
      <c r="K963" s="15" t="str">
        <f>IF(I963="","",I963*SETTINGS!$B$10)</f>
        <v/>
      </c>
      <c r="L963" s="15" t="str">
        <f t="shared" si="57"/>
        <v/>
      </c>
      <c r="M963" s="10" t="str">
        <f t="shared" si="58"/>
        <v/>
      </c>
      <c r="N963" s="10" t="str">
        <f t="shared" si="59"/>
        <v/>
      </c>
      <c r="O963" s="8"/>
    </row>
    <row r="964" spans="1:15" x14ac:dyDescent="0.2">
      <c r="A964" s="10" t="str">
        <f t="shared" si="56"/>
        <v/>
      </c>
      <c r="B964" s="8"/>
      <c r="C964" s="8"/>
      <c r="D964" s="8"/>
      <c r="E964" s="8" t="str">
        <f ca="1">IFERROR(_xludf.XLOOKUP(D964,STUDENTS!$A$5:$A$204,STUDENTS!$C$5:$C$204,""),"")</f>
        <v/>
      </c>
      <c r="F964" s="8" t="str">
        <f ca="1">IFERROR(_xludf.XLOOKUP(D964,STUDENTS!$A$5:$A$204,STUDENTS!$L$5:$L$204,""),"")</f>
        <v/>
      </c>
      <c r="G964" s="8"/>
      <c r="H964" s="14"/>
      <c r="I964" s="14"/>
      <c r="J964" s="15" t="str">
        <f>IF(H964="","",H964*SETTINGS!$B$9)</f>
        <v/>
      </c>
      <c r="K964" s="15" t="str">
        <f>IF(I964="","",I964*SETTINGS!$B$10)</f>
        <v/>
      </c>
      <c r="L964" s="15" t="str">
        <f t="shared" si="57"/>
        <v/>
      </c>
      <c r="M964" s="10" t="str">
        <f t="shared" si="58"/>
        <v/>
      </c>
      <c r="N964" s="10" t="str">
        <f t="shared" si="59"/>
        <v/>
      </c>
      <c r="O964" s="8"/>
    </row>
    <row r="965" spans="1:15" x14ac:dyDescent="0.2">
      <c r="A965" s="10" t="str">
        <f t="shared" ref="A965:A1004" si="60">IF(D965="","","R-"&amp;TEXT(ROW()-4,"00000"))</f>
        <v/>
      </c>
      <c r="B965" s="8"/>
      <c r="C965" s="8"/>
      <c r="D965" s="8"/>
      <c r="E965" s="8" t="str">
        <f ca="1">IFERROR(_xludf.XLOOKUP(D965,STUDENTS!$A$5:$A$204,STUDENTS!$C$5:$C$204,""),"")</f>
        <v/>
      </c>
      <c r="F965" s="8" t="str">
        <f ca="1">IFERROR(_xludf.XLOOKUP(D965,STUDENTS!$A$5:$A$204,STUDENTS!$L$5:$L$204,""),"")</f>
        <v/>
      </c>
      <c r="G965" s="8"/>
      <c r="H965" s="14"/>
      <c r="I965" s="14"/>
      <c r="J965" s="15" t="str">
        <f>IF(H965="","",H965*SETTINGS!$B$9)</f>
        <v/>
      </c>
      <c r="K965" s="15" t="str">
        <f>IF(I965="","",I965*SETTINGS!$B$10)</f>
        <v/>
      </c>
      <c r="L965" s="15" t="str">
        <f t="shared" ref="L965:L1004" si="61">IF(OR(H965="",I965=""),"",J965+K965)</f>
        <v/>
      </c>
      <c r="M965" s="10" t="str">
        <f t="shared" ref="M965:M1004" si="62">IF(L965="","",IF(L965&gt;=80,"A",IF(L965&gt;=70,"B",IF(L965&gt;=60,"C",IF(L965&gt;=50,"D","F")))))</f>
        <v/>
      </c>
      <c r="N965" s="10" t="str">
        <f t="shared" ref="N965:N1004" si="63">IF(L965="","",1+COUNTIFS($F$5:$F$1004,F965,$C$5:$C$1004,C965,$G$5:$G$1004,G965,$L$5:$L$1004,"&gt;"&amp;L965))</f>
        <v/>
      </c>
      <c r="O965" s="8"/>
    </row>
    <row r="966" spans="1:15" x14ac:dyDescent="0.2">
      <c r="A966" s="10" t="str">
        <f t="shared" si="60"/>
        <v/>
      </c>
      <c r="B966" s="8"/>
      <c r="C966" s="8"/>
      <c r="D966" s="8"/>
      <c r="E966" s="8" t="str">
        <f ca="1">IFERROR(_xludf.XLOOKUP(D966,STUDENTS!$A$5:$A$204,STUDENTS!$C$5:$C$204,""),"")</f>
        <v/>
      </c>
      <c r="F966" s="8" t="str">
        <f ca="1">IFERROR(_xludf.XLOOKUP(D966,STUDENTS!$A$5:$A$204,STUDENTS!$L$5:$L$204,""),"")</f>
        <v/>
      </c>
      <c r="G966" s="8"/>
      <c r="H966" s="14"/>
      <c r="I966" s="14"/>
      <c r="J966" s="15" t="str">
        <f>IF(H966="","",H966*SETTINGS!$B$9)</f>
        <v/>
      </c>
      <c r="K966" s="15" t="str">
        <f>IF(I966="","",I966*SETTINGS!$B$10)</f>
        <v/>
      </c>
      <c r="L966" s="15" t="str">
        <f t="shared" si="61"/>
        <v/>
      </c>
      <c r="M966" s="10" t="str">
        <f t="shared" si="62"/>
        <v/>
      </c>
      <c r="N966" s="10" t="str">
        <f t="shared" si="63"/>
        <v/>
      </c>
      <c r="O966" s="8"/>
    </row>
    <row r="967" spans="1:15" x14ac:dyDescent="0.2">
      <c r="A967" s="10" t="str">
        <f t="shared" si="60"/>
        <v/>
      </c>
      <c r="B967" s="8"/>
      <c r="C967" s="8"/>
      <c r="D967" s="8"/>
      <c r="E967" s="8" t="str">
        <f ca="1">IFERROR(_xludf.XLOOKUP(D967,STUDENTS!$A$5:$A$204,STUDENTS!$C$5:$C$204,""),"")</f>
        <v/>
      </c>
      <c r="F967" s="8" t="str">
        <f ca="1">IFERROR(_xludf.XLOOKUP(D967,STUDENTS!$A$5:$A$204,STUDENTS!$L$5:$L$204,""),"")</f>
        <v/>
      </c>
      <c r="G967" s="8"/>
      <c r="H967" s="14"/>
      <c r="I967" s="14"/>
      <c r="J967" s="15" t="str">
        <f>IF(H967="","",H967*SETTINGS!$B$9)</f>
        <v/>
      </c>
      <c r="K967" s="15" t="str">
        <f>IF(I967="","",I967*SETTINGS!$B$10)</f>
        <v/>
      </c>
      <c r="L967" s="15" t="str">
        <f t="shared" si="61"/>
        <v/>
      </c>
      <c r="M967" s="10" t="str">
        <f t="shared" si="62"/>
        <v/>
      </c>
      <c r="N967" s="10" t="str">
        <f t="shared" si="63"/>
        <v/>
      </c>
      <c r="O967" s="8"/>
    </row>
    <row r="968" spans="1:15" x14ac:dyDescent="0.2">
      <c r="A968" s="10" t="str">
        <f t="shared" si="60"/>
        <v/>
      </c>
      <c r="B968" s="8"/>
      <c r="C968" s="8"/>
      <c r="D968" s="8"/>
      <c r="E968" s="8" t="str">
        <f ca="1">IFERROR(_xludf.XLOOKUP(D968,STUDENTS!$A$5:$A$204,STUDENTS!$C$5:$C$204,""),"")</f>
        <v/>
      </c>
      <c r="F968" s="8" t="str">
        <f ca="1">IFERROR(_xludf.XLOOKUP(D968,STUDENTS!$A$5:$A$204,STUDENTS!$L$5:$L$204,""),"")</f>
        <v/>
      </c>
      <c r="G968" s="8"/>
      <c r="H968" s="14"/>
      <c r="I968" s="14"/>
      <c r="J968" s="15" t="str">
        <f>IF(H968="","",H968*SETTINGS!$B$9)</f>
        <v/>
      </c>
      <c r="K968" s="15" t="str">
        <f>IF(I968="","",I968*SETTINGS!$B$10)</f>
        <v/>
      </c>
      <c r="L968" s="15" t="str">
        <f t="shared" si="61"/>
        <v/>
      </c>
      <c r="M968" s="10" t="str">
        <f t="shared" si="62"/>
        <v/>
      </c>
      <c r="N968" s="10" t="str">
        <f t="shared" si="63"/>
        <v/>
      </c>
      <c r="O968" s="8"/>
    </row>
    <row r="969" spans="1:15" x14ac:dyDescent="0.2">
      <c r="A969" s="10" t="str">
        <f t="shared" si="60"/>
        <v/>
      </c>
      <c r="B969" s="8"/>
      <c r="C969" s="8"/>
      <c r="D969" s="8"/>
      <c r="E969" s="8" t="str">
        <f ca="1">IFERROR(_xludf.XLOOKUP(D969,STUDENTS!$A$5:$A$204,STUDENTS!$C$5:$C$204,""),"")</f>
        <v/>
      </c>
      <c r="F969" s="8" t="str">
        <f ca="1">IFERROR(_xludf.XLOOKUP(D969,STUDENTS!$A$5:$A$204,STUDENTS!$L$5:$L$204,""),"")</f>
        <v/>
      </c>
      <c r="G969" s="8"/>
      <c r="H969" s="14"/>
      <c r="I969" s="14"/>
      <c r="J969" s="15" t="str">
        <f>IF(H969="","",H969*SETTINGS!$B$9)</f>
        <v/>
      </c>
      <c r="K969" s="15" t="str">
        <f>IF(I969="","",I969*SETTINGS!$B$10)</f>
        <v/>
      </c>
      <c r="L969" s="15" t="str">
        <f t="shared" si="61"/>
        <v/>
      </c>
      <c r="M969" s="10" t="str">
        <f t="shared" si="62"/>
        <v/>
      </c>
      <c r="N969" s="10" t="str">
        <f t="shared" si="63"/>
        <v/>
      </c>
      <c r="O969" s="8"/>
    </row>
    <row r="970" spans="1:15" x14ac:dyDescent="0.2">
      <c r="A970" s="10" t="str">
        <f t="shared" si="60"/>
        <v/>
      </c>
      <c r="B970" s="8"/>
      <c r="C970" s="8"/>
      <c r="D970" s="8"/>
      <c r="E970" s="8" t="str">
        <f ca="1">IFERROR(_xludf.XLOOKUP(D970,STUDENTS!$A$5:$A$204,STUDENTS!$C$5:$C$204,""),"")</f>
        <v/>
      </c>
      <c r="F970" s="8" t="str">
        <f ca="1">IFERROR(_xludf.XLOOKUP(D970,STUDENTS!$A$5:$A$204,STUDENTS!$L$5:$L$204,""),"")</f>
        <v/>
      </c>
      <c r="G970" s="8"/>
      <c r="H970" s="14"/>
      <c r="I970" s="14"/>
      <c r="J970" s="15" t="str">
        <f>IF(H970="","",H970*SETTINGS!$B$9)</f>
        <v/>
      </c>
      <c r="K970" s="15" t="str">
        <f>IF(I970="","",I970*SETTINGS!$B$10)</f>
        <v/>
      </c>
      <c r="L970" s="15" t="str">
        <f t="shared" si="61"/>
        <v/>
      </c>
      <c r="M970" s="10" t="str">
        <f t="shared" si="62"/>
        <v/>
      </c>
      <c r="N970" s="10" t="str">
        <f t="shared" si="63"/>
        <v/>
      </c>
      <c r="O970" s="8"/>
    </row>
    <row r="971" spans="1:15" x14ac:dyDescent="0.2">
      <c r="A971" s="10" t="str">
        <f t="shared" si="60"/>
        <v/>
      </c>
      <c r="B971" s="8"/>
      <c r="C971" s="8"/>
      <c r="D971" s="8"/>
      <c r="E971" s="8" t="str">
        <f ca="1">IFERROR(_xludf.XLOOKUP(D971,STUDENTS!$A$5:$A$204,STUDENTS!$C$5:$C$204,""),"")</f>
        <v/>
      </c>
      <c r="F971" s="8" t="str">
        <f ca="1">IFERROR(_xludf.XLOOKUP(D971,STUDENTS!$A$5:$A$204,STUDENTS!$L$5:$L$204,""),"")</f>
        <v/>
      </c>
      <c r="G971" s="8"/>
      <c r="H971" s="14"/>
      <c r="I971" s="14"/>
      <c r="J971" s="15" t="str">
        <f>IF(H971="","",H971*SETTINGS!$B$9)</f>
        <v/>
      </c>
      <c r="K971" s="15" t="str">
        <f>IF(I971="","",I971*SETTINGS!$B$10)</f>
        <v/>
      </c>
      <c r="L971" s="15" t="str">
        <f t="shared" si="61"/>
        <v/>
      </c>
      <c r="M971" s="10" t="str">
        <f t="shared" si="62"/>
        <v/>
      </c>
      <c r="N971" s="10" t="str">
        <f t="shared" si="63"/>
        <v/>
      </c>
      <c r="O971" s="8"/>
    </row>
    <row r="972" spans="1:15" x14ac:dyDescent="0.2">
      <c r="A972" s="10" t="str">
        <f t="shared" si="60"/>
        <v/>
      </c>
      <c r="B972" s="8"/>
      <c r="C972" s="8"/>
      <c r="D972" s="8"/>
      <c r="E972" s="8" t="str">
        <f ca="1">IFERROR(_xludf.XLOOKUP(D972,STUDENTS!$A$5:$A$204,STUDENTS!$C$5:$C$204,""),"")</f>
        <v/>
      </c>
      <c r="F972" s="8" t="str">
        <f ca="1">IFERROR(_xludf.XLOOKUP(D972,STUDENTS!$A$5:$A$204,STUDENTS!$L$5:$L$204,""),"")</f>
        <v/>
      </c>
      <c r="G972" s="8"/>
      <c r="H972" s="14"/>
      <c r="I972" s="14"/>
      <c r="J972" s="15" t="str">
        <f>IF(H972="","",H972*SETTINGS!$B$9)</f>
        <v/>
      </c>
      <c r="K972" s="15" t="str">
        <f>IF(I972="","",I972*SETTINGS!$B$10)</f>
        <v/>
      </c>
      <c r="L972" s="15" t="str">
        <f t="shared" si="61"/>
        <v/>
      </c>
      <c r="M972" s="10" t="str">
        <f t="shared" si="62"/>
        <v/>
      </c>
      <c r="N972" s="10" t="str">
        <f t="shared" si="63"/>
        <v/>
      </c>
      <c r="O972" s="8"/>
    </row>
    <row r="973" spans="1:15" x14ac:dyDescent="0.2">
      <c r="A973" s="10" t="str">
        <f t="shared" si="60"/>
        <v/>
      </c>
      <c r="B973" s="8"/>
      <c r="C973" s="8"/>
      <c r="D973" s="8"/>
      <c r="E973" s="8" t="str">
        <f ca="1">IFERROR(_xludf.XLOOKUP(D973,STUDENTS!$A$5:$A$204,STUDENTS!$C$5:$C$204,""),"")</f>
        <v/>
      </c>
      <c r="F973" s="8" t="str">
        <f ca="1">IFERROR(_xludf.XLOOKUP(D973,STUDENTS!$A$5:$A$204,STUDENTS!$L$5:$L$204,""),"")</f>
        <v/>
      </c>
      <c r="G973" s="8"/>
      <c r="H973" s="14"/>
      <c r="I973" s="14"/>
      <c r="J973" s="15" t="str">
        <f>IF(H973="","",H973*SETTINGS!$B$9)</f>
        <v/>
      </c>
      <c r="K973" s="15" t="str">
        <f>IF(I973="","",I973*SETTINGS!$B$10)</f>
        <v/>
      </c>
      <c r="L973" s="15" t="str">
        <f t="shared" si="61"/>
        <v/>
      </c>
      <c r="M973" s="10" t="str">
        <f t="shared" si="62"/>
        <v/>
      </c>
      <c r="N973" s="10" t="str">
        <f t="shared" si="63"/>
        <v/>
      </c>
      <c r="O973" s="8"/>
    </row>
    <row r="974" spans="1:15" x14ac:dyDescent="0.2">
      <c r="A974" s="10" t="str">
        <f t="shared" si="60"/>
        <v/>
      </c>
      <c r="B974" s="8"/>
      <c r="C974" s="8"/>
      <c r="D974" s="8"/>
      <c r="E974" s="8" t="str">
        <f ca="1">IFERROR(_xludf.XLOOKUP(D974,STUDENTS!$A$5:$A$204,STUDENTS!$C$5:$C$204,""),"")</f>
        <v/>
      </c>
      <c r="F974" s="8" t="str">
        <f ca="1">IFERROR(_xludf.XLOOKUP(D974,STUDENTS!$A$5:$A$204,STUDENTS!$L$5:$L$204,""),"")</f>
        <v/>
      </c>
      <c r="G974" s="8"/>
      <c r="H974" s="14"/>
      <c r="I974" s="14"/>
      <c r="J974" s="15" t="str">
        <f>IF(H974="","",H974*SETTINGS!$B$9)</f>
        <v/>
      </c>
      <c r="K974" s="15" t="str">
        <f>IF(I974="","",I974*SETTINGS!$B$10)</f>
        <v/>
      </c>
      <c r="L974" s="15" t="str">
        <f t="shared" si="61"/>
        <v/>
      </c>
      <c r="M974" s="10" t="str">
        <f t="shared" si="62"/>
        <v/>
      </c>
      <c r="N974" s="10" t="str">
        <f t="shared" si="63"/>
        <v/>
      </c>
      <c r="O974" s="8"/>
    </row>
    <row r="975" spans="1:15" x14ac:dyDescent="0.2">
      <c r="A975" s="10" t="str">
        <f t="shared" si="60"/>
        <v/>
      </c>
      <c r="B975" s="8"/>
      <c r="C975" s="8"/>
      <c r="D975" s="8"/>
      <c r="E975" s="8" t="str">
        <f ca="1">IFERROR(_xludf.XLOOKUP(D975,STUDENTS!$A$5:$A$204,STUDENTS!$C$5:$C$204,""),"")</f>
        <v/>
      </c>
      <c r="F975" s="8" t="str">
        <f ca="1">IFERROR(_xludf.XLOOKUP(D975,STUDENTS!$A$5:$A$204,STUDENTS!$L$5:$L$204,""),"")</f>
        <v/>
      </c>
      <c r="G975" s="8"/>
      <c r="H975" s="14"/>
      <c r="I975" s="14"/>
      <c r="J975" s="15" t="str">
        <f>IF(H975="","",H975*SETTINGS!$B$9)</f>
        <v/>
      </c>
      <c r="K975" s="15" t="str">
        <f>IF(I975="","",I975*SETTINGS!$B$10)</f>
        <v/>
      </c>
      <c r="L975" s="15" t="str">
        <f t="shared" si="61"/>
        <v/>
      </c>
      <c r="M975" s="10" t="str">
        <f t="shared" si="62"/>
        <v/>
      </c>
      <c r="N975" s="10" t="str">
        <f t="shared" si="63"/>
        <v/>
      </c>
      <c r="O975" s="8"/>
    </row>
    <row r="976" spans="1:15" x14ac:dyDescent="0.2">
      <c r="A976" s="10" t="str">
        <f t="shared" si="60"/>
        <v/>
      </c>
      <c r="B976" s="8"/>
      <c r="C976" s="8"/>
      <c r="D976" s="8"/>
      <c r="E976" s="8" t="str">
        <f ca="1">IFERROR(_xludf.XLOOKUP(D976,STUDENTS!$A$5:$A$204,STUDENTS!$C$5:$C$204,""),"")</f>
        <v/>
      </c>
      <c r="F976" s="8" t="str">
        <f ca="1">IFERROR(_xludf.XLOOKUP(D976,STUDENTS!$A$5:$A$204,STUDENTS!$L$5:$L$204,""),"")</f>
        <v/>
      </c>
      <c r="G976" s="8"/>
      <c r="H976" s="14"/>
      <c r="I976" s="14"/>
      <c r="J976" s="15" t="str">
        <f>IF(H976="","",H976*SETTINGS!$B$9)</f>
        <v/>
      </c>
      <c r="K976" s="15" t="str">
        <f>IF(I976="","",I976*SETTINGS!$B$10)</f>
        <v/>
      </c>
      <c r="L976" s="15" t="str">
        <f t="shared" si="61"/>
        <v/>
      </c>
      <c r="M976" s="10" t="str">
        <f t="shared" si="62"/>
        <v/>
      </c>
      <c r="N976" s="10" t="str">
        <f t="shared" si="63"/>
        <v/>
      </c>
      <c r="O976" s="8"/>
    </row>
    <row r="977" spans="1:15" x14ac:dyDescent="0.2">
      <c r="A977" s="10" t="str">
        <f t="shared" si="60"/>
        <v/>
      </c>
      <c r="B977" s="8"/>
      <c r="C977" s="8"/>
      <c r="D977" s="8"/>
      <c r="E977" s="8" t="str">
        <f ca="1">IFERROR(_xludf.XLOOKUP(D977,STUDENTS!$A$5:$A$204,STUDENTS!$C$5:$C$204,""),"")</f>
        <v/>
      </c>
      <c r="F977" s="8" t="str">
        <f ca="1">IFERROR(_xludf.XLOOKUP(D977,STUDENTS!$A$5:$A$204,STUDENTS!$L$5:$L$204,""),"")</f>
        <v/>
      </c>
      <c r="G977" s="8"/>
      <c r="H977" s="14"/>
      <c r="I977" s="14"/>
      <c r="J977" s="15" t="str">
        <f>IF(H977="","",H977*SETTINGS!$B$9)</f>
        <v/>
      </c>
      <c r="K977" s="15" t="str">
        <f>IF(I977="","",I977*SETTINGS!$B$10)</f>
        <v/>
      </c>
      <c r="L977" s="15" t="str">
        <f t="shared" si="61"/>
        <v/>
      </c>
      <c r="M977" s="10" t="str">
        <f t="shared" si="62"/>
        <v/>
      </c>
      <c r="N977" s="10" t="str">
        <f t="shared" si="63"/>
        <v/>
      </c>
      <c r="O977" s="8"/>
    </row>
    <row r="978" spans="1:15" x14ac:dyDescent="0.2">
      <c r="A978" s="10" t="str">
        <f t="shared" si="60"/>
        <v/>
      </c>
      <c r="B978" s="8"/>
      <c r="C978" s="8"/>
      <c r="D978" s="8"/>
      <c r="E978" s="8" t="str">
        <f ca="1">IFERROR(_xludf.XLOOKUP(D978,STUDENTS!$A$5:$A$204,STUDENTS!$C$5:$C$204,""),"")</f>
        <v/>
      </c>
      <c r="F978" s="8" t="str">
        <f ca="1">IFERROR(_xludf.XLOOKUP(D978,STUDENTS!$A$5:$A$204,STUDENTS!$L$5:$L$204,""),"")</f>
        <v/>
      </c>
      <c r="G978" s="8"/>
      <c r="H978" s="14"/>
      <c r="I978" s="14"/>
      <c r="J978" s="15" t="str">
        <f>IF(H978="","",H978*SETTINGS!$B$9)</f>
        <v/>
      </c>
      <c r="K978" s="15" t="str">
        <f>IF(I978="","",I978*SETTINGS!$B$10)</f>
        <v/>
      </c>
      <c r="L978" s="15" t="str">
        <f t="shared" si="61"/>
        <v/>
      </c>
      <c r="M978" s="10" t="str">
        <f t="shared" si="62"/>
        <v/>
      </c>
      <c r="N978" s="10" t="str">
        <f t="shared" si="63"/>
        <v/>
      </c>
      <c r="O978" s="8"/>
    </row>
    <row r="979" spans="1:15" x14ac:dyDescent="0.2">
      <c r="A979" s="10" t="str">
        <f t="shared" si="60"/>
        <v/>
      </c>
      <c r="B979" s="8"/>
      <c r="C979" s="8"/>
      <c r="D979" s="8"/>
      <c r="E979" s="8" t="str">
        <f ca="1">IFERROR(_xludf.XLOOKUP(D979,STUDENTS!$A$5:$A$204,STUDENTS!$C$5:$C$204,""),"")</f>
        <v/>
      </c>
      <c r="F979" s="8" t="str">
        <f ca="1">IFERROR(_xludf.XLOOKUP(D979,STUDENTS!$A$5:$A$204,STUDENTS!$L$5:$L$204,""),"")</f>
        <v/>
      </c>
      <c r="G979" s="8"/>
      <c r="H979" s="14"/>
      <c r="I979" s="14"/>
      <c r="J979" s="15" t="str">
        <f>IF(H979="","",H979*SETTINGS!$B$9)</f>
        <v/>
      </c>
      <c r="K979" s="15" t="str">
        <f>IF(I979="","",I979*SETTINGS!$B$10)</f>
        <v/>
      </c>
      <c r="L979" s="15" t="str">
        <f t="shared" si="61"/>
        <v/>
      </c>
      <c r="M979" s="10" t="str">
        <f t="shared" si="62"/>
        <v/>
      </c>
      <c r="N979" s="10" t="str">
        <f t="shared" si="63"/>
        <v/>
      </c>
      <c r="O979" s="8"/>
    </row>
    <row r="980" spans="1:15" x14ac:dyDescent="0.2">
      <c r="A980" s="10" t="str">
        <f t="shared" si="60"/>
        <v/>
      </c>
      <c r="B980" s="8"/>
      <c r="C980" s="8"/>
      <c r="D980" s="8"/>
      <c r="E980" s="8" t="str">
        <f ca="1">IFERROR(_xludf.XLOOKUP(D980,STUDENTS!$A$5:$A$204,STUDENTS!$C$5:$C$204,""),"")</f>
        <v/>
      </c>
      <c r="F980" s="8" t="str">
        <f ca="1">IFERROR(_xludf.XLOOKUP(D980,STUDENTS!$A$5:$A$204,STUDENTS!$L$5:$L$204,""),"")</f>
        <v/>
      </c>
      <c r="G980" s="8"/>
      <c r="H980" s="14"/>
      <c r="I980" s="14"/>
      <c r="J980" s="15" t="str">
        <f>IF(H980="","",H980*SETTINGS!$B$9)</f>
        <v/>
      </c>
      <c r="K980" s="15" t="str">
        <f>IF(I980="","",I980*SETTINGS!$B$10)</f>
        <v/>
      </c>
      <c r="L980" s="15" t="str">
        <f t="shared" si="61"/>
        <v/>
      </c>
      <c r="M980" s="10" t="str">
        <f t="shared" si="62"/>
        <v/>
      </c>
      <c r="N980" s="10" t="str">
        <f t="shared" si="63"/>
        <v/>
      </c>
      <c r="O980" s="8"/>
    </row>
    <row r="981" spans="1:15" x14ac:dyDescent="0.2">
      <c r="A981" s="10" t="str">
        <f t="shared" si="60"/>
        <v/>
      </c>
      <c r="B981" s="8"/>
      <c r="C981" s="8"/>
      <c r="D981" s="8"/>
      <c r="E981" s="8" t="str">
        <f ca="1">IFERROR(_xludf.XLOOKUP(D981,STUDENTS!$A$5:$A$204,STUDENTS!$C$5:$C$204,""),"")</f>
        <v/>
      </c>
      <c r="F981" s="8" t="str">
        <f ca="1">IFERROR(_xludf.XLOOKUP(D981,STUDENTS!$A$5:$A$204,STUDENTS!$L$5:$L$204,""),"")</f>
        <v/>
      </c>
      <c r="G981" s="8"/>
      <c r="H981" s="14"/>
      <c r="I981" s="14"/>
      <c r="J981" s="15" t="str">
        <f>IF(H981="","",H981*SETTINGS!$B$9)</f>
        <v/>
      </c>
      <c r="K981" s="15" t="str">
        <f>IF(I981="","",I981*SETTINGS!$B$10)</f>
        <v/>
      </c>
      <c r="L981" s="15" t="str">
        <f t="shared" si="61"/>
        <v/>
      </c>
      <c r="M981" s="10" t="str">
        <f t="shared" si="62"/>
        <v/>
      </c>
      <c r="N981" s="10" t="str">
        <f t="shared" si="63"/>
        <v/>
      </c>
      <c r="O981" s="8"/>
    </row>
    <row r="982" spans="1:15" x14ac:dyDescent="0.2">
      <c r="A982" s="10" t="str">
        <f t="shared" si="60"/>
        <v/>
      </c>
      <c r="B982" s="8"/>
      <c r="C982" s="8"/>
      <c r="D982" s="8"/>
      <c r="E982" s="8" t="str">
        <f ca="1">IFERROR(_xludf.XLOOKUP(D982,STUDENTS!$A$5:$A$204,STUDENTS!$C$5:$C$204,""),"")</f>
        <v/>
      </c>
      <c r="F982" s="8" t="str">
        <f ca="1">IFERROR(_xludf.XLOOKUP(D982,STUDENTS!$A$5:$A$204,STUDENTS!$L$5:$L$204,""),"")</f>
        <v/>
      </c>
      <c r="G982" s="8"/>
      <c r="H982" s="14"/>
      <c r="I982" s="14"/>
      <c r="J982" s="15" t="str">
        <f>IF(H982="","",H982*SETTINGS!$B$9)</f>
        <v/>
      </c>
      <c r="K982" s="15" t="str">
        <f>IF(I982="","",I982*SETTINGS!$B$10)</f>
        <v/>
      </c>
      <c r="L982" s="15" t="str">
        <f t="shared" si="61"/>
        <v/>
      </c>
      <c r="M982" s="10" t="str">
        <f t="shared" si="62"/>
        <v/>
      </c>
      <c r="N982" s="10" t="str">
        <f t="shared" si="63"/>
        <v/>
      </c>
      <c r="O982" s="8"/>
    </row>
    <row r="983" spans="1:15" x14ac:dyDescent="0.2">
      <c r="A983" s="10" t="str">
        <f t="shared" si="60"/>
        <v/>
      </c>
      <c r="B983" s="8"/>
      <c r="C983" s="8"/>
      <c r="D983" s="8"/>
      <c r="E983" s="8" t="str">
        <f ca="1">IFERROR(_xludf.XLOOKUP(D983,STUDENTS!$A$5:$A$204,STUDENTS!$C$5:$C$204,""),"")</f>
        <v/>
      </c>
      <c r="F983" s="8" t="str">
        <f ca="1">IFERROR(_xludf.XLOOKUP(D983,STUDENTS!$A$5:$A$204,STUDENTS!$L$5:$L$204,""),"")</f>
        <v/>
      </c>
      <c r="G983" s="8"/>
      <c r="H983" s="14"/>
      <c r="I983" s="14"/>
      <c r="J983" s="15" t="str">
        <f>IF(H983="","",H983*SETTINGS!$B$9)</f>
        <v/>
      </c>
      <c r="K983" s="15" t="str">
        <f>IF(I983="","",I983*SETTINGS!$B$10)</f>
        <v/>
      </c>
      <c r="L983" s="15" t="str">
        <f t="shared" si="61"/>
        <v/>
      </c>
      <c r="M983" s="10" t="str">
        <f t="shared" si="62"/>
        <v/>
      </c>
      <c r="N983" s="10" t="str">
        <f t="shared" si="63"/>
        <v/>
      </c>
      <c r="O983" s="8"/>
    </row>
    <row r="984" spans="1:15" x14ac:dyDescent="0.2">
      <c r="A984" s="10" t="str">
        <f t="shared" si="60"/>
        <v/>
      </c>
      <c r="B984" s="8"/>
      <c r="C984" s="8"/>
      <c r="D984" s="8"/>
      <c r="E984" s="8" t="str">
        <f ca="1">IFERROR(_xludf.XLOOKUP(D984,STUDENTS!$A$5:$A$204,STUDENTS!$C$5:$C$204,""),"")</f>
        <v/>
      </c>
      <c r="F984" s="8" t="str">
        <f ca="1">IFERROR(_xludf.XLOOKUP(D984,STUDENTS!$A$5:$A$204,STUDENTS!$L$5:$L$204,""),"")</f>
        <v/>
      </c>
      <c r="G984" s="8"/>
      <c r="H984" s="14"/>
      <c r="I984" s="14"/>
      <c r="J984" s="15" t="str">
        <f>IF(H984="","",H984*SETTINGS!$B$9)</f>
        <v/>
      </c>
      <c r="K984" s="15" t="str">
        <f>IF(I984="","",I984*SETTINGS!$B$10)</f>
        <v/>
      </c>
      <c r="L984" s="15" t="str">
        <f t="shared" si="61"/>
        <v/>
      </c>
      <c r="M984" s="10" t="str">
        <f t="shared" si="62"/>
        <v/>
      </c>
      <c r="N984" s="10" t="str">
        <f t="shared" si="63"/>
        <v/>
      </c>
      <c r="O984" s="8"/>
    </row>
    <row r="985" spans="1:15" x14ac:dyDescent="0.2">
      <c r="A985" s="10" t="str">
        <f t="shared" si="60"/>
        <v/>
      </c>
      <c r="B985" s="8"/>
      <c r="C985" s="8"/>
      <c r="D985" s="8"/>
      <c r="E985" s="8" t="str">
        <f ca="1">IFERROR(_xludf.XLOOKUP(D985,STUDENTS!$A$5:$A$204,STUDENTS!$C$5:$C$204,""),"")</f>
        <v/>
      </c>
      <c r="F985" s="8" t="str">
        <f ca="1">IFERROR(_xludf.XLOOKUP(D985,STUDENTS!$A$5:$A$204,STUDENTS!$L$5:$L$204,""),"")</f>
        <v/>
      </c>
      <c r="G985" s="8"/>
      <c r="H985" s="14"/>
      <c r="I985" s="14"/>
      <c r="J985" s="15" t="str">
        <f>IF(H985="","",H985*SETTINGS!$B$9)</f>
        <v/>
      </c>
      <c r="K985" s="15" t="str">
        <f>IF(I985="","",I985*SETTINGS!$B$10)</f>
        <v/>
      </c>
      <c r="L985" s="15" t="str">
        <f t="shared" si="61"/>
        <v/>
      </c>
      <c r="M985" s="10" t="str">
        <f t="shared" si="62"/>
        <v/>
      </c>
      <c r="N985" s="10" t="str">
        <f t="shared" si="63"/>
        <v/>
      </c>
      <c r="O985" s="8"/>
    </row>
    <row r="986" spans="1:15" x14ac:dyDescent="0.2">
      <c r="A986" s="10" t="str">
        <f t="shared" si="60"/>
        <v/>
      </c>
      <c r="B986" s="8"/>
      <c r="C986" s="8"/>
      <c r="D986" s="8"/>
      <c r="E986" s="8" t="str">
        <f ca="1">IFERROR(_xludf.XLOOKUP(D986,STUDENTS!$A$5:$A$204,STUDENTS!$C$5:$C$204,""),"")</f>
        <v/>
      </c>
      <c r="F986" s="8" t="str">
        <f ca="1">IFERROR(_xludf.XLOOKUP(D986,STUDENTS!$A$5:$A$204,STUDENTS!$L$5:$L$204,""),"")</f>
        <v/>
      </c>
      <c r="G986" s="8"/>
      <c r="H986" s="14"/>
      <c r="I986" s="14"/>
      <c r="J986" s="15" t="str">
        <f>IF(H986="","",H986*SETTINGS!$B$9)</f>
        <v/>
      </c>
      <c r="K986" s="15" t="str">
        <f>IF(I986="","",I986*SETTINGS!$B$10)</f>
        <v/>
      </c>
      <c r="L986" s="15" t="str">
        <f t="shared" si="61"/>
        <v/>
      </c>
      <c r="M986" s="10" t="str">
        <f t="shared" si="62"/>
        <v/>
      </c>
      <c r="N986" s="10" t="str">
        <f t="shared" si="63"/>
        <v/>
      </c>
      <c r="O986" s="8"/>
    </row>
    <row r="987" spans="1:15" x14ac:dyDescent="0.2">
      <c r="A987" s="10" t="str">
        <f t="shared" si="60"/>
        <v/>
      </c>
      <c r="B987" s="8"/>
      <c r="C987" s="8"/>
      <c r="D987" s="8"/>
      <c r="E987" s="8" t="str">
        <f ca="1">IFERROR(_xludf.XLOOKUP(D987,STUDENTS!$A$5:$A$204,STUDENTS!$C$5:$C$204,""),"")</f>
        <v/>
      </c>
      <c r="F987" s="8" t="str">
        <f ca="1">IFERROR(_xludf.XLOOKUP(D987,STUDENTS!$A$5:$A$204,STUDENTS!$L$5:$L$204,""),"")</f>
        <v/>
      </c>
      <c r="G987" s="8"/>
      <c r="H987" s="14"/>
      <c r="I987" s="14"/>
      <c r="J987" s="15" t="str">
        <f>IF(H987="","",H987*SETTINGS!$B$9)</f>
        <v/>
      </c>
      <c r="K987" s="15" t="str">
        <f>IF(I987="","",I987*SETTINGS!$B$10)</f>
        <v/>
      </c>
      <c r="L987" s="15" t="str">
        <f t="shared" si="61"/>
        <v/>
      </c>
      <c r="M987" s="10" t="str">
        <f t="shared" si="62"/>
        <v/>
      </c>
      <c r="N987" s="10" t="str">
        <f t="shared" si="63"/>
        <v/>
      </c>
      <c r="O987" s="8"/>
    </row>
    <row r="988" spans="1:15" x14ac:dyDescent="0.2">
      <c r="A988" s="10" t="str">
        <f t="shared" si="60"/>
        <v/>
      </c>
      <c r="B988" s="8"/>
      <c r="C988" s="8"/>
      <c r="D988" s="8"/>
      <c r="E988" s="8" t="str">
        <f ca="1">IFERROR(_xludf.XLOOKUP(D988,STUDENTS!$A$5:$A$204,STUDENTS!$C$5:$C$204,""),"")</f>
        <v/>
      </c>
      <c r="F988" s="8" t="str">
        <f ca="1">IFERROR(_xludf.XLOOKUP(D988,STUDENTS!$A$5:$A$204,STUDENTS!$L$5:$L$204,""),"")</f>
        <v/>
      </c>
      <c r="G988" s="8"/>
      <c r="H988" s="14"/>
      <c r="I988" s="14"/>
      <c r="J988" s="15" t="str">
        <f>IF(H988="","",H988*SETTINGS!$B$9)</f>
        <v/>
      </c>
      <c r="K988" s="15" t="str">
        <f>IF(I988="","",I988*SETTINGS!$B$10)</f>
        <v/>
      </c>
      <c r="L988" s="15" t="str">
        <f t="shared" si="61"/>
        <v/>
      </c>
      <c r="M988" s="10" t="str">
        <f t="shared" si="62"/>
        <v/>
      </c>
      <c r="N988" s="10" t="str">
        <f t="shared" si="63"/>
        <v/>
      </c>
      <c r="O988" s="8"/>
    </row>
    <row r="989" spans="1:15" x14ac:dyDescent="0.2">
      <c r="A989" s="10" t="str">
        <f t="shared" si="60"/>
        <v/>
      </c>
      <c r="B989" s="8"/>
      <c r="C989" s="8"/>
      <c r="D989" s="8"/>
      <c r="E989" s="8" t="str">
        <f ca="1">IFERROR(_xludf.XLOOKUP(D989,STUDENTS!$A$5:$A$204,STUDENTS!$C$5:$C$204,""),"")</f>
        <v/>
      </c>
      <c r="F989" s="8" t="str">
        <f ca="1">IFERROR(_xludf.XLOOKUP(D989,STUDENTS!$A$5:$A$204,STUDENTS!$L$5:$L$204,""),"")</f>
        <v/>
      </c>
      <c r="G989" s="8"/>
      <c r="H989" s="14"/>
      <c r="I989" s="14"/>
      <c r="J989" s="15" t="str">
        <f>IF(H989="","",H989*SETTINGS!$B$9)</f>
        <v/>
      </c>
      <c r="K989" s="15" t="str">
        <f>IF(I989="","",I989*SETTINGS!$B$10)</f>
        <v/>
      </c>
      <c r="L989" s="15" t="str">
        <f t="shared" si="61"/>
        <v/>
      </c>
      <c r="M989" s="10" t="str">
        <f t="shared" si="62"/>
        <v/>
      </c>
      <c r="N989" s="10" t="str">
        <f t="shared" si="63"/>
        <v/>
      </c>
      <c r="O989" s="8"/>
    </row>
    <row r="990" spans="1:15" x14ac:dyDescent="0.2">
      <c r="A990" s="10" t="str">
        <f t="shared" si="60"/>
        <v/>
      </c>
      <c r="B990" s="8"/>
      <c r="C990" s="8"/>
      <c r="D990" s="8"/>
      <c r="E990" s="8" t="str">
        <f ca="1">IFERROR(_xludf.XLOOKUP(D990,STUDENTS!$A$5:$A$204,STUDENTS!$C$5:$C$204,""),"")</f>
        <v/>
      </c>
      <c r="F990" s="8" t="str">
        <f ca="1">IFERROR(_xludf.XLOOKUP(D990,STUDENTS!$A$5:$A$204,STUDENTS!$L$5:$L$204,""),"")</f>
        <v/>
      </c>
      <c r="G990" s="8"/>
      <c r="H990" s="14"/>
      <c r="I990" s="14"/>
      <c r="J990" s="15" t="str">
        <f>IF(H990="","",H990*SETTINGS!$B$9)</f>
        <v/>
      </c>
      <c r="K990" s="15" t="str">
        <f>IF(I990="","",I990*SETTINGS!$B$10)</f>
        <v/>
      </c>
      <c r="L990" s="15" t="str">
        <f t="shared" si="61"/>
        <v/>
      </c>
      <c r="M990" s="10" t="str">
        <f t="shared" si="62"/>
        <v/>
      </c>
      <c r="N990" s="10" t="str">
        <f t="shared" si="63"/>
        <v/>
      </c>
      <c r="O990" s="8"/>
    </row>
    <row r="991" spans="1:15" x14ac:dyDescent="0.2">
      <c r="A991" s="10" t="str">
        <f t="shared" si="60"/>
        <v/>
      </c>
      <c r="B991" s="8"/>
      <c r="C991" s="8"/>
      <c r="D991" s="8"/>
      <c r="E991" s="8" t="str">
        <f ca="1">IFERROR(_xludf.XLOOKUP(D991,STUDENTS!$A$5:$A$204,STUDENTS!$C$5:$C$204,""),"")</f>
        <v/>
      </c>
      <c r="F991" s="8" t="str">
        <f ca="1">IFERROR(_xludf.XLOOKUP(D991,STUDENTS!$A$5:$A$204,STUDENTS!$L$5:$L$204,""),"")</f>
        <v/>
      </c>
      <c r="G991" s="8"/>
      <c r="H991" s="14"/>
      <c r="I991" s="14"/>
      <c r="J991" s="15" t="str">
        <f>IF(H991="","",H991*SETTINGS!$B$9)</f>
        <v/>
      </c>
      <c r="K991" s="15" t="str">
        <f>IF(I991="","",I991*SETTINGS!$B$10)</f>
        <v/>
      </c>
      <c r="L991" s="15" t="str">
        <f t="shared" si="61"/>
        <v/>
      </c>
      <c r="M991" s="10" t="str">
        <f t="shared" si="62"/>
        <v/>
      </c>
      <c r="N991" s="10" t="str">
        <f t="shared" si="63"/>
        <v/>
      </c>
      <c r="O991" s="8"/>
    </row>
    <row r="992" spans="1:15" x14ac:dyDescent="0.2">
      <c r="A992" s="10" t="str">
        <f t="shared" si="60"/>
        <v/>
      </c>
      <c r="B992" s="8"/>
      <c r="C992" s="8"/>
      <c r="D992" s="8"/>
      <c r="E992" s="8" t="str">
        <f ca="1">IFERROR(_xludf.XLOOKUP(D992,STUDENTS!$A$5:$A$204,STUDENTS!$C$5:$C$204,""),"")</f>
        <v/>
      </c>
      <c r="F992" s="8" t="str">
        <f ca="1">IFERROR(_xludf.XLOOKUP(D992,STUDENTS!$A$5:$A$204,STUDENTS!$L$5:$L$204,""),"")</f>
        <v/>
      </c>
      <c r="G992" s="8"/>
      <c r="H992" s="14"/>
      <c r="I992" s="14"/>
      <c r="J992" s="15" t="str">
        <f>IF(H992="","",H992*SETTINGS!$B$9)</f>
        <v/>
      </c>
      <c r="K992" s="15" t="str">
        <f>IF(I992="","",I992*SETTINGS!$B$10)</f>
        <v/>
      </c>
      <c r="L992" s="15" t="str">
        <f t="shared" si="61"/>
        <v/>
      </c>
      <c r="M992" s="10" t="str">
        <f t="shared" si="62"/>
        <v/>
      </c>
      <c r="N992" s="10" t="str">
        <f t="shared" si="63"/>
        <v/>
      </c>
      <c r="O992" s="8"/>
    </row>
    <row r="993" spans="1:15" x14ac:dyDescent="0.2">
      <c r="A993" s="10" t="str">
        <f t="shared" si="60"/>
        <v/>
      </c>
      <c r="B993" s="8"/>
      <c r="C993" s="8"/>
      <c r="D993" s="8"/>
      <c r="E993" s="8" t="str">
        <f ca="1">IFERROR(_xludf.XLOOKUP(D993,STUDENTS!$A$5:$A$204,STUDENTS!$C$5:$C$204,""),"")</f>
        <v/>
      </c>
      <c r="F993" s="8" t="str">
        <f ca="1">IFERROR(_xludf.XLOOKUP(D993,STUDENTS!$A$5:$A$204,STUDENTS!$L$5:$L$204,""),"")</f>
        <v/>
      </c>
      <c r="G993" s="8"/>
      <c r="H993" s="14"/>
      <c r="I993" s="14"/>
      <c r="J993" s="15" t="str">
        <f>IF(H993="","",H993*SETTINGS!$B$9)</f>
        <v/>
      </c>
      <c r="K993" s="15" t="str">
        <f>IF(I993="","",I993*SETTINGS!$B$10)</f>
        <v/>
      </c>
      <c r="L993" s="15" t="str">
        <f t="shared" si="61"/>
        <v/>
      </c>
      <c r="M993" s="10" t="str">
        <f t="shared" si="62"/>
        <v/>
      </c>
      <c r="N993" s="10" t="str">
        <f t="shared" si="63"/>
        <v/>
      </c>
      <c r="O993" s="8"/>
    </row>
    <row r="994" spans="1:15" x14ac:dyDescent="0.2">
      <c r="A994" s="10" t="str">
        <f t="shared" si="60"/>
        <v/>
      </c>
      <c r="B994" s="8"/>
      <c r="C994" s="8"/>
      <c r="D994" s="8"/>
      <c r="E994" s="8" t="str">
        <f ca="1">IFERROR(_xludf.XLOOKUP(D994,STUDENTS!$A$5:$A$204,STUDENTS!$C$5:$C$204,""),"")</f>
        <v/>
      </c>
      <c r="F994" s="8" t="str">
        <f ca="1">IFERROR(_xludf.XLOOKUP(D994,STUDENTS!$A$5:$A$204,STUDENTS!$L$5:$L$204,""),"")</f>
        <v/>
      </c>
      <c r="G994" s="8"/>
      <c r="H994" s="14"/>
      <c r="I994" s="14"/>
      <c r="J994" s="15" t="str">
        <f>IF(H994="","",H994*SETTINGS!$B$9)</f>
        <v/>
      </c>
      <c r="K994" s="15" t="str">
        <f>IF(I994="","",I994*SETTINGS!$B$10)</f>
        <v/>
      </c>
      <c r="L994" s="15" t="str">
        <f t="shared" si="61"/>
        <v/>
      </c>
      <c r="M994" s="10" t="str">
        <f t="shared" si="62"/>
        <v/>
      </c>
      <c r="N994" s="10" t="str">
        <f t="shared" si="63"/>
        <v/>
      </c>
      <c r="O994" s="8"/>
    </row>
    <row r="995" spans="1:15" x14ac:dyDescent="0.2">
      <c r="A995" s="10" t="str">
        <f t="shared" si="60"/>
        <v/>
      </c>
      <c r="B995" s="8"/>
      <c r="C995" s="8"/>
      <c r="D995" s="8"/>
      <c r="E995" s="8" t="str">
        <f ca="1">IFERROR(_xludf.XLOOKUP(D995,STUDENTS!$A$5:$A$204,STUDENTS!$C$5:$C$204,""),"")</f>
        <v/>
      </c>
      <c r="F995" s="8" t="str">
        <f ca="1">IFERROR(_xludf.XLOOKUP(D995,STUDENTS!$A$5:$A$204,STUDENTS!$L$5:$L$204,""),"")</f>
        <v/>
      </c>
      <c r="G995" s="8"/>
      <c r="H995" s="14"/>
      <c r="I995" s="14"/>
      <c r="J995" s="15" t="str">
        <f>IF(H995="","",H995*SETTINGS!$B$9)</f>
        <v/>
      </c>
      <c r="K995" s="15" t="str">
        <f>IF(I995="","",I995*SETTINGS!$B$10)</f>
        <v/>
      </c>
      <c r="L995" s="15" t="str">
        <f t="shared" si="61"/>
        <v/>
      </c>
      <c r="M995" s="10" t="str">
        <f t="shared" si="62"/>
        <v/>
      </c>
      <c r="N995" s="10" t="str">
        <f t="shared" si="63"/>
        <v/>
      </c>
      <c r="O995" s="8"/>
    </row>
    <row r="996" spans="1:15" x14ac:dyDescent="0.2">
      <c r="A996" s="10" t="str">
        <f t="shared" si="60"/>
        <v/>
      </c>
      <c r="B996" s="8"/>
      <c r="C996" s="8"/>
      <c r="D996" s="8"/>
      <c r="E996" s="8" t="str">
        <f ca="1">IFERROR(_xludf.XLOOKUP(D996,STUDENTS!$A$5:$A$204,STUDENTS!$C$5:$C$204,""),"")</f>
        <v/>
      </c>
      <c r="F996" s="8" t="str">
        <f ca="1">IFERROR(_xludf.XLOOKUP(D996,STUDENTS!$A$5:$A$204,STUDENTS!$L$5:$L$204,""),"")</f>
        <v/>
      </c>
      <c r="G996" s="8"/>
      <c r="H996" s="14"/>
      <c r="I996" s="14"/>
      <c r="J996" s="15" t="str">
        <f>IF(H996="","",H996*SETTINGS!$B$9)</f>
        <v/>
      </c>
      <c r="K996" s="15" t="str">
        <f>IF(I996="","",I996*SETTINGS!$B$10)</f>
        <v/>
      </c>
      <c r="L996" s="15" t="str">
        <f t="shared" si="61"/>
        <v/>
      </c>
      <c r="M996" s="10" t="str">
        <f t="shared" si="62"/>
        <v/>
      </c>
      <c r="N996" s="10" t="str">
        <f t="shared" si="63"/>
        <v/>
      </c>
      <c r="O996" s="8"/>
    </row>
    <row r="997" spans="1:15" x14ac:dyDescent="0.2">
      <c r="A997" s="10" t="str">
        <f t="shared" si="60"/>
        <v/>
      </c>
      <c r="B997" s="8"/>
      <c r="C997" s="8"/>
      <c r="D997" s="8"/>
      <c r="E997" s="8" t="str">
        <f ca="1">IFERROR(_xludf.XLOOKUP(D997,STUDENTS!$A$5:$A$204,STUDENTS!$C$5:$C$204,""),"")</f>
        <v/>
      </c>
      <c r="F997" s="8" t="str">
        <f ca="1">IFERROR(_xludf.XLOOKUP(D997,STUDENTS!$A$5:$A$204,STUDENTS!$L$5:$L$204,""),"")</f>
        <v/>
      </c>
      <c r="G997" s="8"/>
      <c r="H997" s="14"/>
      <c r="I997" s="14"/>
      <c r="J997" s="15" t="str">
        <f>IF(H997="","",H997*SETTINGS!$B$9)</f>
        <v/>
      </c>
      <c r="K997" s="15" t="str">
        <f>IF(I997="","",I997*SETTINGS!$B$10)</f>
        <v/>
      </c>
      <c r="L997" s="15" t="str">
        <f t="shared" si="61"/>
        <v/>
      </c>
      <c r="M997" s="10" t="str">
        <f t="shared" si="62"/>
        <v/>
      </c>
      <c r="N997" s="10" t="str">
        <f t="shared" si="63"/>
        <v/>
      </c>
      <c r="O997" s="8"/>
    </row>
    <row r="998" spans="1:15" x14ac:dyDescent="0.2">
      <c r="A998" s="10" t="str">
        <f t="shared" si="60"/>
        <v/>
      </c>
      <c r="B998" s="8"/>
      <c r="C998" s="8"/>
      <c r="D998" s="8"/>
      <c r="E998" s="8" t="str">
        <f ca="1">IFERROR(_xludf.XLOOKUP(D998,STUDENTS!$A$5:$A$204,STUDENTS!$C$5:$C$204,""),"")</f>
        <v/>
      </c>
      <c r="F998" s="8" t="str">
        <f ca="1">IFERROR(_xludf.XLOOKUP(D998,STUDENTS!$A$5:$A$204,STUDENTS!$L$5:$L$204,""),"")</f>
        <v/>
      </c>
      <c r="G998" s="8"/>
      <c r="H998" s="14"/>
      <c r="I998" s="14"/>
      <c r="J998" s="15" t="str">
        <f>IF(H998="","",H998*SETTINGS!$B$9)</f>
        <v/>
      </c>
      <c r="K998" s="15" t="str">
        <f>IF(I998="","",I998*SETTINGS!$B$10)</f>
        <v/>
      </c>
      <c r="L998" s="15" t="str">
        <f t="shared" si="61"/>
        <v/>
      </c>
      <c r="M998" s="10" t="str">
        <f t="shared" si="62"/>
        <v/>
      </c>
      <c r="N998" s="10" t="str">
        <f t="shared" si="63"/>
        <v/>
      </c>
      <c r="O998" s="8"/>
    </row>
    <row r="999" spans="1:15" x14ac:dyDescent="0.2">
      <c r="A999" s="10" t="str">
        <f t="shared" si="60"/>
        <v/>
      </c>
      <c r="B999" s="8"/>
      <c r="C999" s="8"/>
      <c r="D999" s="8"/>
      <c r="E999" s="8" t="str">
        <f ca="1">IFERROR(_xludf.XLOOKUP(D999,STUDENTS!$A$5:$A$204,STUDENTS!$C$5:$C$204,""),"")</f>
        <v/>
      </c>
      <c r="F999" s="8" t="str">
        <f ca="1">IFERROR(_xludf.XLOOKUP(D999,STUDENTS!$A$5:$A$204,STUDENTS!$L$5:$L$204,""),"")</f>
        <v/>
      </c>
      <c r="G999" s="8"/>
      <c r="H999" s="14"/>
      <c r="I999" s="14"/>
      <c r="J999" s="15" t="str">
        <f>IF(H999="","",H999*SETTINGS!$B$9)</f>
        <v/>
      </c>
      <c r="K999" s="15" t="str">
        <f>IF(I999="","",I999*SETTINGS!$B$10)</f>
        <v/>
      </c>
      <c r="L999" s="15" t="str">
        <f t="shared" si="61"/>
        <v/>
      </c>
      <c r="M999" s="10" t="str">
        <f t="shared" si="62"/>
        <v/>
      </c>
      <c r="N999" s="10" t="str">
        <f t="shared" si="63"/>
        <v/>
      </c>
      <c r="O999" s="8"/>
    </row>
    <row r="1000" spans="1:15" x14ac:dyDescent="0.2">
      <c r="A1000" s="10" t="str">
        <f t="shared" si="60"/>
        <v/>
      </c>
      <c r="B1000" s="8"/>
      <c r="C1000" s="8"/>
      <c r="D1000" s="8"/>
      <c r="E1000" s="8" t="str">
        <f ca="1">IFERROR(_xludf.XLOOKUP(D1000,STUDENTS!$A$5:$A$204,STUDENTS!$C$5:$C$204,""),"")</f>
        <v/>
      </c>
      <c r="F1000" s="8" t="str">
        <f ca="1">IFERROR(_xludf.XLOOKUP(D1000,STUDENTS!$A$5:$A$204,STUDENTS!$L$5:$L$204,""),"")</f>
        <v/>
      </c>
      <c r="G1000" s="8"/>
      <c r="H1000" s="14"/>
      <c r="I1000" s="14"/>
      <c r="J1000" s="15" t="str">
        <f>IF(H1000="","",H1000*SETTINGS!$B$9)</f>
        <v/>
      </c>
      <c r="K1000" s="15" t="str">
        <f>IF(I1000="","",I1000*SETTINGS!$B$10)</f>
        <v/>
      </c>
      <c r="L1000" s="15" t="str">
        <f t="shared" si="61"/>
        <v/>
      </c>
      <c r="M1000" s="10" t="str">
        <f t="shared" si="62"/>
        <v/>
      </c>
      <c r="N1000" s="10" t="str">
        <f t="shared" si="63"/>
        <v/>
      </c>
      <c r="O1000" s="8"/>
    </row>
    <row r="1001" spans="1:15" x14ac:dyDescent="0.2">
      <c r="A1001" s="10" t="str">
        <f t="shared" si="60"/>
        <v/>
      </c>
      <c r="B1001" s="8"/>
      <c r="C1001" s="8"/>
      <c r="D1001" s="8"/>
      <c r="E1001" s="8" t="str">
        <f ca="1">IFERROR(_xludf.XLOOKUP(D1001,STUDENTS!$A$5:$A$204,STUDENTS!$C$5:$C$204,""),"")</f>
        <v/>
      </c>
      <c r="F1001" s="8" t="str">
        <f ca="1">IFERROR(_xludf.XLOOKUP(D1001,STUDENTS!$A$5:$A$204,STUDENTS!$L$5:$L$204,""),"")</f>
        <v/>
      </c>
      <c r="G1001" s="8"/>
      <c r="H1001" s="14"/>
      <c r="I1001" s="14"/>
      <c r="J1001" s="15" t="str">
        <f>IF(H1001="","",H1001*SETTINGS!$B$9)</f>
        <v/>
      </c>
      <c r="K1001" s="15" t="str">
        <f>IF(I1001="","",I1001*SETTINGS!$B$10)</f>
        <v/>
      </c>
      <c r="L1001" s="15" t="str">
        <f t="shared" si="61"/>
        <v/>
      </c>
      <c r="M1001" s="10" t="str">
        <f t="shared" si="62"/>
        <v/>
      </c>
      <c r="N1001" s="10" t="str">
        <f t="shared" si="63"/>
        <v/>
      </c>
      <c r="O1001" s="8"/>
    </row>
    <row r="1002" spans="1:15" x14ac:dyDescent="0.2">
      <c r="A1002" s="10" t="str">
        <f t="shared" si="60"/>
        <v/>
      </c>
      <c r="B1002" s="8"/>
      <c r="C1002" s="8"/>
      <c r="D1002" s="8"/>
      <c r="E1002" s="8" t="str">
        <f ca="1">IFERROR(_xludf.XLOOKUP(D1002,STUDENTS!$A$5:$A$204,STUDENTS!$C$5:$C$204,""),"")</f>
        <v/>
      </c>
      <c r="F1002" s="8" t="str">
        <f ca="1">IFERROR(_xludf.XLOOKUP(D1002,STUDENTS!$A$5:$A$204,STUDENTS!$L$5:$L$204,""),"")</f>
        <v/>
      </c>
      <c r="G1002" s="8"/>
      <c r="H1002" s="14"/>
      <c r="I1002" s="14"/>
      <c r="J1002" s="15" t="str">
        <f>IF(H1002="","",H1002*SETTINGS!$B$9)</f>
        <v/>
      </c>
      <c r="K1002" s="15" t="str">
        <f>IF(I1002="","",I1002*SETTINGS!$B$10)</f>
        <v/>
      </c>
      <c r="L1002" s="15" t="str">
        <f t="shared" si="61"/>
        <v/>
      </c>
      <c r="M1002" s="10" t="str">
        <f t="shared" si="62"/>
        <v/>
      </c>
      <c r="N1002" s="10" t="str">
        <f t="shared" si="63"/>
        <v/>
      </c>
      <c r="O1002" s="8"/>
    </row>
    <row r="1003" spans="1:15" x14ac:dyDescent="0.2">
      <c r="A1003" s="10" t="str">
        <f t="shared" si="60"/>
        <v/>
      </c>
      <c r="B1003" s="8"/>
      <c r="C1003" s="8"/>
      <c r="D1003" s="8"/>
      <c r="E1003" s="8" t="str">
        <f ca="1">IFERROR(_xludf.XLOOKUP(D1003,STUDENTS!$A$5:$A$204,STUDENTS!$C$5:$C$204,""),"")</f>
        <v/>
      </c>
      <c r="F1003" s="8" t="str">
        <f ca="1">IFERROR(_xludf.XLOOKUP(D1003,STUDENTS!$A$5:$A$204,STUDENTS!$L$5:$L$204,""),"")</f>
        <v/>
      </c>
      <c r="G1003" s="8"/>
      <c r="H1003" s="14"/>
      <c r="I1003" s="14"/>
      <c r="J1003" s="15" t="str">
        <f>IF(H1003="","",H1003*SETTINGS!$B$9)</f>
        <v/>
      </c>
      <c r="K1003" s="15" t="str">
        <f>IF(I1003="","",I1003*SETTINGS!$B$10)</f>
        <v/>
      </c>
      <c r="L1003" s="15" t="str">
        <f t="shared" si="61"/>
        <v/>
      </c>
      <c r="M1003" s="10" t="str">
        <f t="shared" si="62"/>
        <v/>
      </c>
      <c r="N1003" s="10" t="str">
        <f t="shared" si="63"/>
        <v/>
      </c>
      <c r="O1003" s="8"/>
    </row>
    <row r="1004" spans="1:15" x14ac:dyDescent="0.2">
      <c r="A1004" s="10" t="str">
        <f t="shared" si="60"/>
        <v/>
      </c>
      <c r="B1004" s="8"/>
      <c r="C1004" s="8"/>
      <c r="D1004" s="8"/>
      <c r="E1004" s="8" t="str">
        <f ca="1">IFERROR(_xludf.XLOOKUP(D1004,STUDENTS!$A$5:$A$204,STUDENTS!$C$5:$C$204,""),"")</f>
        <v/>
      </c>
      <c r="F1004" s="8" t="str">
        <f ca="1">IFERROR(_xludf.XLOOKUP(D1004,STUDENTS!$A$5:$A$204,STUDENTS!$L$5:$L$204,""),"")</f>
        <v/>
      </c>
      <c r="G1004" s="8"/>
      <c r="H1004" s="14"/>
      <c r="I1004" s="14"/>
      <c r="J1004" s="15" t="str">
        <f>IF(H1004="","",H1004*SETTINGS!$B$9)</f>
        <v/>
      </c>
      <c r="K1004" s="15" t="str">
        <f>IF(I1004="","",I1004*SETTINGS!$B$10)</f>
        <v/>
      </c>
      <c r="L1004" s="15" t="str">
        <f t="shared" si="61"/>
        <v/>
      </c>
      <c r="M1004" s="10" t="str">
        <f t="shared" si="62"/>
        <v/>
      </c>
      <c r="N1004" s="10" t="str">
        <f t="shared" si="63"/>
        <v/>
      </c>
      <c r="O1004" s="8"/>
    </row>
  </sheetData>
  <mergeCells count="2">
    <mergeCell ref="A1:O1"/>
    <mergeCell ref="A2:O2"/>
  </mergeCells>
  <conditionalFormatting sqref="M5:M1004">
    <cfRule type="expression" dxfId="0" priority="1">
      <formula>M5="F"</formula>
    </cfRule>
  </conditionalFormatting>
  <dataValidations count="2">
    <dataValidation type="list" allowBlank="1" sqref="C5:C1004" xr:uid="{00000000-0002-0000-0700-000000000000}">
      <formula1>"Term 1,Term 2,Term 3,Annual"</formula1>
    </dataValidation>
    <dataValidation type="decimal" allowBlank="1" sqref="H5:I1004" xr:uid="{00000000-0002-0000-0700-000002000000}">
      <formula1>0</formula1>
      <formula2>100</formula2>
    </dataValidation>
  </dataValidations>
  <pageMargins left="0.25" right="0.25" top="0.4" bottom="0.4" header="0.2" footer="0.2"/>
  <pageSetup fitToHeight="0" orientation="portrait"/>
  <legacy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700-000001000000}">
          <x14:formula1>
            <xm:f>SETTINGS!$E$18:$E$24</xm:f>
          </x14:formula1>
          <xm:sqref>G5:G1004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27"/>
  <sheetViews>
    <sheetView showGridLines="0" workbookViewId="0">
      <pane ySplit="5" topLeftCell="A6" activePane="bottomLeft" state="frozen"/>
      <selection pane="bottomLeft" activeCell="E6" sqref="E6"/>
    </sheetView>
  </sheetViews>
  <sheetFormatPr baseColWidth="10" defaultColWidth="8.83203125" defaultRowHeight="15" x14ac:dyDescent="0.2"/>
  <cols>
    <col min="1" max="1" width="24" customWidth="1"/>
    <col min="2" max="4" width="15" customWidth="1"/>
    <col min="5" max="6" width="12" customWidth="1"/>
    <col min="7" max="7" width="34" customWidth="1"/>
    <col min="8" max="8" width="16" customWidth="1"/>
    <col min="9" max="10" width="3" customWidth="1"/>
  </cols>
  <sheetData>
    <row r="1" spans="1:10" ht="32" customHeight="1" x14ac:dyDescent="0.2">
      <c r="A1" s="24" t="s">
        <v>129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22" customHeight="1" x14ac:dyDescent="0.2">
      <c r="A2" s="26" t="s">
        <v>130</v>
      </c>
      <c r="B2" s="25"/>
      <c r="C2" s="25"/>
      <c r="D2" s="25"/>
      <c r="E2" s="25"/>
      <c r="F2" s="25"/>
      <c r="G2" s="25"/>
      <c r="H2" s="25"/>
      <c r="I2" s="25"/>
      <c r="J2" s="25"/>
    </row>
    <row r="4" spans="1:10" x14ac:dyDescent="0.2">
      <c r="A4" s="4" t="s">
        <v>75</v>
      </c>
      <c r="B4" s="16"/>
      <c r="D4" s="4" t="s">
        <v>120</v>
      </c>
      <c r="E4" s="16"/>
      <c r="G4" s="4" t="s">
        <v>38</v>
      </c>
      <c r="H4" t="str">
        <f>SETTINGS!B8</f>
        <v>2026/2027</v>
      </c>
    </row>
    <row r="6" spans="1:10" x14ac:dyDescent="0.2">
      <c r="A6" s="4" t="s">
        <v>99</v>
      </c>
      <c r="B6" s="10"/>
      <c r="D6" s="4" t="s">
        <v>86</v>
      </c>
      <c r="E6" s="10"/>
      <c r="G6" s="4" t="s">
        <v>79</v>
      </c>
      <c r="H6" s="10"/>
    </row>
    <row r="8" spans="1:10" ht="17" x14ac:dyDescent="0.2">
      <c r="A8" s="17" t="s">
        <v>131</v>
      </c>
    </row>
    <row r="9" spans="1:10" x14ac:dyDescent="0.2">
      <c r="B9" s="18" t="s">
        <v>114</v>
      </c>
      <c r="C9" s="18" t="s">
        <v>115</v>
      </c>
      <c r="D9" s="18" t="s">
        <v>116</v>
      </c>
    </row>
    <row r="10" spans="1:10" x14ac:dyDescent="0.2">
      <c r="B10" s="10">
        <f>COUNTIFS(ATTENDANCE!$C$5:$C$1204,$B$4,ATTENDANCE!$F$5:$F$1204,"Present")</f>
        <v>0</v>
      </c>
      <c r="C10" s="10">
        <f>COUNTIFS(ATTENDANCE!$C$5:$C$1204,$B$4,ATTENDANCE!$F$5:$F$1204,"Absent")</f>
        <v>0</v>
      </c>
      <c r="D10" s="13" t="str">
        <f>IF(B10+C10=0,"",B10/(B10+C10))</f>
        <v/>
      </c>
    </row>
    <row r="12" spans="1:10" ht="30" customHeight="1" x14ac:dyDescent="0.2">
      <c r="A12" s="1" t="s">
        <v>57</v>
      </c>
      <c r="B12" s="1" t="s">
        <v>132</v>
      </c>
      <c r="C12" s="1" t="s">
        <v>133</v>
      </c>
      <c r="D12" s="1" t="s">
        <v>125</v>
      </c>
      <c r="E12" s="1" t="s">
        <v>126</v>
      </c>
      <c r="F12" s="1" t="s">
        <v>127</v>
      </c>
      <c r="G12" s="1" t="s">
        <v>128</v>
      </c>
      <c r="H12" s="1"/>
      <c r="I12" s="1"/>
      <c r="J12" s="1"/>
    </row>
    <row r="13" spans="1:10" x14ac:dyDescent="0.2">
      <c r="A13" s="10" t="str">
        <f>IFERROR(INDEX(SETTINGS!$E$18:$E$24,1),"")</f>
        <v>Arabic Alphabet</v>
      </c>
      <c r="B13" s="15">
        <f>IFERROR(SUMIFS(RESULTS!$H$5:$H$1004,RESULTS!$D$5:$D$1004,$B$4,RESULTS!$C$5:$C$1004,$E$4,RESULTS!$G$5:$G$1004,$A13),"")</f>
        <v>0</v>
      </c>
      <c r="C13" s="15">
        <f>IFERROR(SUMIFS(RESULTS!$I$5:$I$1004,RESULTS!$D$5:$D$1004,$B$4,RESULTS!$C$5:$C$1004,$E$4,RESULTS!$G$5:$G$1004,$A13),"")</f>
        <v>0</v>
      </c>
      <c r="D13" s="15">
        <f>IF(OR(B13="",C13=""),"",B13*SETTINGS!$B$9+C13*SETTINGS!$B$10)</f>
        <v>0</v>
      </c>
      <c r="E13" s="10" t="str">
        <f t="shared" ref="E13:E19" si="0">IF(D13="","",IF(D13&gt;=80,"A",IF(D13&gt;=70,"B",IF(D13&gt;=60,"C",IF(D13&gt;=50,"D","F")))))</f>
        <v>F</v>
      </c>
      <c r="F13" s="10">
        <f>IF(D13="","",1+COUNTIFS(RESULTS!$F$5:$F$1004,$E$6,RESULTS!$C$5:$C$1004,$E$4,RESULTS!$G$5:$G$1004,$A13,RESULTS!$L$5:$L$1004,"&gt;"&amp;D13))</f>
        <v>1</v>
      </c>
      <c r="G13" s="10" t="str">
        <f>IFERROR(INDEX(RESULTS!$O$5:$O$1004,MATCH(1,(RESULTS!$D$5:$D$1004=$B$4)*(RESULTS!$C$5:$C$1004=$E$4)*(RESULTS!$G$5:$G$1004=$A13),0)),"")</f>
        <v/>
      </c>
    </row>
    <row r="14" spans="1:10" x14ac:dyDescent="0.2">
      <c r="A14" s="10" t="str">
        <f>IFERROR(INDEX(SETTINGS!$E$18:$E$24,2),"")</f>
        <v>Quran</v>
      </c>
      <c r="B14" s="15">
        <f>IFERROR(SUMIFS(RESULTS!$H$5:$H$1004,RESULTS!$D$5:$D$1004,$B$4,RESULTS!$C$5:$C$1004,$E$4,RESULTS!$G$5:$G$1004,$A14),"")</f>
        <v>0</v>
      </c>
      <c r="C14" s="15">
        <f>IFERROR(SUMIFS(RESULTS!$I$5:$I$1004,RESULTS!$D$5:$D$1004,$B$4,RESULTS!$C$5:$C$1004,$E$4,RESULTS!$G$5:$G$1004,$A14),"")</f>
        <v>0</v>
      </c>
      <c r="D14" s="15">
        <f>IF(OR(B14="",C14=""),"",B14*SETTINGS!$B$9+C14*SETTINGS!$B$10)</f>
        <v>0</v>
      </c>
      <c r="E14" s="10" t="str">
        <f t="shared" si="0"/>
        <v>F</v>
      </c>
      <c r="F14" s="10">
        <f>IF(D14="","",1+COUNTIFS(RESULTS!$F$5:$F$1004,$E$6,RESULTS!$C$5:$C$1004,$E$4,RESULTS!$G$5:$G$1004,$A14,RESULTS!$L$5:$L$1004,"&gt;"&amp;D14))</f>
        <v>1</v>
      </c>
      <c r="G14" s="10" t="str">
        <f>IFERROR(INDEX(RESULTS!$O$5:$O$1004,MATCH(1,(RESULTS!$D$5:$D$1004=$B$4)*(RESULTS!$C$5:$C$1004=$E$4)*(RESULTS!$G$5:$G$1004=$A14),0)),"")</f>
        <v/>
      </c>
    </row>
    <row r="15" spans="1:10" x14ac:dyDescent="0.2">
      <c r="A15" s="10" t="str">
        <f>IFERROR(INDEX(SETTINGS!$E$18:$E$24,3),"")</f>
        <v>Arabic Language</v>
      </c>
      <c r="B15" s="15">
        <f>IFERROR(SUMIFS(RESULTS!$H$5:$H$1004,RESULTS!$D$5:$D$1004,$B$4,RESULTS!$C$5:$C$1004,$E$4,RESULTS!$G$5:$G$1004,$A15),"")</f>
        <v>0</v>
      </c>
      <c r="C15" s="15">
        <f>IFERROR(SUMIFS(RESULTS!$I$5:$I$1004,RESULTS!$D$5:$D$1004,$B$4,RESULTS!$C$5:$C$1004,$E$4,RESULTS!$G$5:$G$1004,$A15),"")</f>
        <v>0</v>
      </c>
      <c r="D15" s="15">
        <f>IF(OR(B15="",C15=""),"",B15*SETTINGS!$B$9+C15*SETTINGS!$B$10)</f>
        <v>0</v>
      </c>
      <c r="E15" s="10" t="str">
        <f t="shared" si="0"/>
        <v>F</v>
      </c>
      <c r="F15" s="10">
        <f>IF(D15="","",1+COUNTIFS(RESULTS!$F$5:$F$1004,$E$6,RESULTS!$C$5:$C$1004,$E$4,RESULTS!$G$5:$G$1004,$A15,RESULTS!$L$5:$L$1004,"&gt;"&amp;D15))</f>
        <v>1</v>
      </c>
      <c r="G15" s="10" t="str">
        <f>IFERROR(INDEX(RESULTS!$O$5:$O$1004,MATCH(1,(RESULTS!$D$5:$D$1004=$B$4)*(RESULTS!$C$5:$C$1004=$E$4)*(RESULTS!$G$5:$G$1004=$A15),0)),"")</f>
        <v/>
      </c>
    </row>
    <row r="16" spans="1:10" x14ac:dyDescent="0.2">
      <c r="A16" s="10" t="str">
        <f>IFERROR(INDEX(SETTINGS!$E$18:$E$24,4),"")</f>
        <v>Hadith</v>
      </c>
      <c r="B16" s="15">
        <f>IFERROR(SUMIFS(RESULTS!$H$5:$H$1004,RESULTS!$D$5:$D$1004,$B$4,RESULTS!$C$5:$C$1004,$E$4,RESULTS!$G$5:$G$1004,$A16),"")</f>
        <v>0</v>
      </c>
      <c r="C16" s="15">
        <f>IFERROR(SUMIFS(RESULTS!$I$5:$I$1004,RESULTS!$D$5:$D$1004,$B$4,RESULTS!$C$5:$C$1004,$E$4,RESULTS!$G$5:$G$1004,$A16),"")</f>
        <v>0</v>
      </c>
      <c r="D16" s="15">
        <f>IF(OR(B16="",C16=""),"",B16*SETTINGS!$B$9+C16*SETTINGS!$B$10)</f>
        <v>0</v>
      </c>
      <c r="E16" s="10" t="str">
        <f t="shared" si="0"/>
        <v>F</v>
      </c>
      <c r="F16" s="10">
        <f>IF(D16="","",1+COUNTIFS(RESULTS!$F$5:$F$1004,$E$6,RESULTS!$C$5:$C$1004,$E$4,RESULTS!$G$5:$G$1004,$A16,RESULTS!$L$5:$L$1004,"&gt;"&amp;D16))</f>
        <v>1</v>
      </c>
      <c r="G16" s="10" t="str">
        <f>IFERROR(INDEX(RESULTS!$O$5:$O$1004,MATCH(1,(RESULTS!$D$5:$D$1004=$B$4)*(RESULTS!$C$5:$C$1004=$E$4)*(RESULTS!$G$5:$G$1004=$A16),0)),"")</f>
        <v/>
      </c>
    </row>
    <row r="17" spans="1:8" x14ac:dyDescent="0.2">
      <c r="A17" s="10" t="str">
        <f>IFERROR(INDEX(SETTINGS!$E$18:$E$24,5),"")</f>
        <v>Seerat</v>
      </c>
      <c r="B17" s="15">
        <f>IFERROR(SUMIFS(RESULTS!$H$5:$H$1004,RESULTS!$D$5:$D$1004,$B$4,RESULTS!$C$5:$C$1004,$E$4,RESULTS!$G$5:$G$1004,$A17),"")</f>
        <v>0</v>
      </c>
      <c r="C17" s="15">
        <f>IFERROR(SUMIFS(RESULTS!$I$5:$I$1004,RESULTS!$D$5:$D$1004,$B$4,RESULTS!$C$5:$C$1004,$E$4,RESULTS!$G$5:$G$1004,$A17),"")</f>
        <v>0</v>
      </c>
      <c r="D17" s="15">
        <f>IF(OR(B17="",C17=""),"",B17*SETTINGS!$B$9+C17*SETTINGS!$B$10)</f>
        <v>0</v>
      </c>
      <c r="E17" s="10" t="str">
        <f t="shared" si="0"/>
        <v>F</v>
      </c>
      <c r="F17" s="10">
        <f>IF(D17="","",1+COUNTIFS(RESULTS!$F$5:$F$1004,$E$6,RESULTS!$C$5:$C$1004,$E$4,RESULTS!$G$5:$G$1004,$A17,RESULTS!$L$5:$L$1004,"&gt;"&amp;D17))</f>
        <v>1</v>
      </c>
      <c r="G17" s="10" t="str">
        <f>IFERROR(INDEX(RESULTS!$O$5:$O$1004,MATCH(1,(RESULTS!$D$5:$D$1004=$B$4)*(RESULTS!$C$5:$C$1004=$E$4)*(RESULTS!$G$5:$G$1004=$A17),0)),"")</f>
        <v/>
      </c>
    </row>
    <row r="18" spans="1:8" x14ac:dyDescent="0.2">
      <c r="A18" s="10" t="str">
        <f>IFERROR(INDEX(SETTINGS!$E$18:$E$24,6),"")</f>
        <v>Tajweed</v>
      </c>
      <c r="B18" s="15">
        <f>IFERROR(SUMIFS(RESULTS!$H$5:$H$1004,RESULTS!$D$5:$D$1004,$B$4,RESULTS!$C$5:$C$1004,$E$4,RESULTS!$G$5:$G$1004,$A18),"")</f>
        <v>0</v>
      </c>
      <c r="C18" s="15">
        <f>IFERROR(SUMIFS(RESULTS!$I$5:$I$1004,RESULTS!$D$5:$D$1004,$B$4,RESULTS!$C$5:$C$1004,$E$4,RESULTS!$G$5:$G$1004,$A18),"")</f>
        <v>0</v>
      </c>
      <c r="D18" s="15">
        <f>IF(OR(B18="",C18=""),"",B18*SETTINGS!$B$9+C18*SETTINGS!$B$10)</f>
        <v>0</v>
      </c>
      <c r="E18" s="10" t="str">
        <f t="shared" si="0"/>
        <v>F</v>
      </c>
      <c r="F18" s="10">
        <f>IF(D18="","",1+COUNTIFS(RESULTS!$F$5:$F$1004,$E$6,RESULTS!$C$5:$C$1004,$E$4,RESULTS!$G$5:$G$1004,$A18,RESULTS!$L$5:$L$1004,"&gt;"&amp;D18))</f>
        <v>1</v>
      </c>
      <c r="G18" s="10" t="str">
        <f>IFERROR(INDEX(RESULTS!$O$5:$O$1004,MATCH(1,(RESULTS!$D$5:$D$1004=$B$4)*(RESULTS!$C$5:$C$1004=$E$4)*(RESULTS!$G$5:$G$1004=$A18),0)),"")</f>
        <v/>
      </c>
    </row>
    <row r="19" spans="1:8" x14ac:dyDescent="0.2">
      <c r="A19" s="10" t="str">
        <f>IFERROR(INDEX(SETTINGS!$E$18:$E$24,7),"")</f>
        <v>Fiqh</v>
      </c>
      <c r="B19" s="15">
        <f>IFERROR(SUMIFS(RESULTS!$H$5:$H$1004,RESULTS!$D$5:$D$1004,$B$4,RESULTS!$C$5:$C$1004,$E$4,RESULTS!$G$5:$G$1004,$A19),"")</f>
        <v>0</v>
      </c>
      <c r="C19" s="15">
        <f>IFERROR(SUMIFS(RESULTS!$I$5:$I$1004,RESULTS!$D$5:$D$1004,$B$4,RESULTS!$C$5:$C$1004,$E$4,RESULTS!$G$5:$G$1004,$A19),"")</f>
        <v>0</v>
      </c>
      <c r="D19" s="15">
        <f>IF(OR(B19="",C19=""),"",B19*SETTINGS!$B$9+C19*SETTINGS!$B$10)</f>
        <v>0</v>
      </c>
      <c r="E19" s="10" t="str">
        <f t="shared" si="0"/>
        <v>F</v>
      </c>
      <c r="F19" s="10">
        <f>IF(D19="","",1+COUNTIFS(RESULTS!$F$5:$F$1004,$E$6,RESULTS!$C$5:$C$1004,$E$4,RESULTS!$G$5:$G$1004,$A19,RESULTS!$L$5:$L$1004,"&gt;"&amp;D19))</f>
        <v>1</v>
      </c>
      <c r="G19" s="10" t="str">
        <f>IFERROR(INDEX(RESULTS!$O$5:$O$1004,MATCH(1,(RESULTS!$D$5:$D$1004=$B$4)*(RESULTS!$C$5:$C$1004=$E$4)*(RESULTS!$G$5:$G$1004=$A19),0)),"")</f>
        <v/>
      </c>
    </row>
    <row r="22" spans="1:8" ht="16" x14ac:dyDescent="0.2">
      <c r="A22" s="4" t="s">
        <v>134</v>
      </c>
      <c r="B22" s="19">
        <f>IFERROR(AVERAGE(D13:D19),"")</f>
        <v>0</v>
      </c>
      <c r="D22" s="4" t="s">
        <v>135</v>
      </c>
      <c r="E22" s="20" t="str">
        <f>IF(B22="","",IF(B22&gt;=80,"A",IF(B22&gt;=70,"B",IF(B22&gt;=60,"C",IF(B22&gt;=50,"D","F")))))</f>
        <v>F</v>
      </c>
      <c r="G22" s="4" t="s">
        <v>131</v>
      </c>
      <c r="H22" s="21" t="str">
        <f>D10</f>
        <v/>
      </c>
    </row>
    <row r="24" spans="1:8" x14ac:dyDescent="0.2">
      <c r="A24" s="4" t="s">
        <v>136</v>
      </c>
      <c r="B24" s="28" t="str">
        <f>IF($B$4="","",IF(B22&gt;=80,"Excellent performance. Keep it up.",IF(B22&gt;=70,"Very good performance. Continue working hard.",IF(B22&gt;=60,"Good performance. More effort can produce better results.",IF(B22&gt;=50,"Satisfactory performance. Improvement is needed.","Performance requires significant improvement.")))))</f>
        <v/>
      </c>
      <c r="C24" s="29"/>
      <c r="D24" s="29"/>
      <c r="E24" s="29"/>
      <c r="F24" s="29"/>
      <c r="G24" s="29"/>
      <c r="H24" s="30"/>
    </row>
    <row r="25" spans="1:8" x14ac:dyDescent="0.2">
      <c r="B25" s="31"/>
      <c r="C25" s="32"/>
      <c r="D25" s="32"/>
      <c r="E25" s="32"/>
      <c r="F25" s="32"/>
      <c r="G25" s="32"/>
      <c r="H25" s="33"/>
    </row>
    <row r="27" spans="1:8" x14ac:dyDescent="0.2">
      <c r="A27" t="s">
        <v>137</v>
      </c>
      <c r="F27" t="s">
        <v>138</v>
      </c>
    </row>
  </sheetData>
  <mergeCells count="3">
    <mergeCell ref="A1:J1"/>
    <mergeCell ref="B24:H25"/>
    <mergeCell ref="A2:J2"/>
  </mergeCells>
  <dataValidations count="1">
    <dataValidation type="list" sqref="E4" xr:uid="{00000000-0002-0000-0800-000001000000}">
      <formula1>"Term 1,Term 2,Term 3,Annual"</formula1>
    </dataValidation>
  </dataValidations>
  <pageMargins left="0.25" right="0.25" top="0.4" bottom="0.4" header="0.2" footer="0.2"/>
  <pageSetup scale="71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STUDENTS!$A$5:$A$204</xm:f>
          </x14:formula1>
          <xm:sqref>B4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H18"/>
  <sheetViews>
    <sheetView showGridLines="0" workbookViewId="0">
      <pane ySplit="4" topLeftCell="A5" activePane="bottomLeft" state="frozen"/>
      <selection pane="bottomLeft" sqref="A1:H1"/>
    </sheetView>
  </sheetViews>
  <sheetFormatPr baseColWidth="10" defaultColWidth="8.83203125" defaultRowHeight="15" x14ac:dyDescent="0.2"/>
  <cols>
    <col min="1" max="1" width="22" customWidth="1"/>
    <col min="2" max="2" width="38" customWidth="1"/>
    <col min="3" max="8" width="14" customWidth="1"/>
  </cols>
  <sheetData>
    <row r="1" spans="1:8" ht="32" customHeight="1" x14ac:dyDescent="0.2">
      <c r="A1" s="24" t="s">
        <v>139</v>
      </c>
      <c r="B1" s="25"/>
      <c r="C1" s="25"/>
      <c r="D1" s="25"/>
      <c r="E1" s="25"/>
      <c r="F1" s="25"/>
      <c r="G1" s="25"/>
      <c r="H1" s="25"/>
    </row>
    <row r="2" spans="1:8" ht="22" customHeight="1" x14ac:dyDescent="0.2">
      <c r="A2" s="26" t="s">
        <v>140</v>
      </c>
      <c r="B2" s="25"/>
      <c r="C2" s="25"/>
      <c r="D2" s="25"/>
      <c r="E2" s="25"/>
      <c r="F2" s="25"/>
      <c r="G2" s="25"/>
      <c r="H2" s="25"/>
    </row>
    <row r="4" spans="1:8" x14ac:dyDescent="0.2">
      <c r="A4" s="4" t="s">
        <v>107</v>
      </c>
      <c r="B4" s="16"/>
    </row>
    <row r="6" spans="1:8" x14ac:dyDescent="0.2">
      <c r="A6" s="4" t="s">
        <v>75</v>
      </c>
      <c r="B6" s="10" t="str">
        <f ca="1">IFERROR(_xludf.XLOOKUP($B$4,'EXAM FEES'!$A$5:$A$404,'EXAM FEES'!$C$5:$C$404,""),"")</f>
        <v/>
      </c>
    </row>
    <row r="7" spans="1:8" x14ac:dyDescent="0.2">
      <c r="A7" s="4" t="s">
        <v>99</v>
      </c>
      <c r="B7" s="10" t="str">
        <f ca="1">IFERROR(_xludf.XLOOKUP($B$4,'EXAM FEES'!$A$5:$A$404,'EXAM FEES'!$D$5:$D$404,""),"")</f>
        <v/>
      </c>
    </row>
    <row r="8" spans="1:8" x14ac:dyDescent="0.2">
      <c r="A8" s="4" t="s">
        <v>86</v>
      </c>
      <c r="B8" s="10" t="str">
        <f ca="1">IFERROR(_xludf.XLOOKUP($B$4,'EXAM FEES'!$A$5:$A$404,'EXAM FEES'!$E$5:$E$404,""),"")</f>
        <v/>
      </c>
    </row>
    <row r="9" spans="1:8" x14ac:dyDescent="0.2">
      <c r="A9" s="4" t="s">
        <v>108</v>
      </c>
      <c r="B9" s="10" t="str">
        <f ca="1">IFERROR(_xludf.XLOOKUP($B$4,'EXAM FEES'!$A$5:$A$404,'EXAM FEES'!$F$5:$F$404,""),"")</f>
        <v/>
      </c>
    </row>
    <row r="10" spans="1:8" x14ac:dyDescent="0.2">
      <c r="A10" s="4" t="s">
        <v>141</v>
      </c>
      <c r="B10" s="11" t="str">
        <f ca="1">IFERROR(_xludf.XLOOKUP($B$4,'EXAM FEES'!$A$5:$A$404,'EXAM FEES'!$H$5:$H$404,""),"")</f>
        <v/>
      </c>
    </row>
    <row r="11" spans="1:8" x14ac:dyDescent="0.2">
      <c r="A11" s="4" t="s">
        <v>98</v>
      </c>
      <c r="B11" s="22" t="str">
        <f ca="1">IFERROR(_xludf.XLOOKUP($B$4,'EXAM FEES'!$A$5:$A$404,'EXAM FEES'!$B$5:$B$404,""),"")</f>
        <v/>
      </c>
    </row>
    <row r="14" spans="1:8" x14ac:dyDescent="0.2">
      <c r="A14" s="34" t="s">
        <v>142</v>
      </c>
      <c r="B14" s="25"/>
      <c r="C14" s="25"/>
      <c r="D14" s="25"/>
      <c r="E14" s="25"/>
      <c r="F14" s="25"/>
      <c r="G14" s="25"/>
      <c r="H14" s="25"/>
    </row>
    <row r="15" spans="1:8" x14ac:dyDescent="0.2">
      <c r="A15" s="25"/>
      <c r="B15" s="25"/>
      <c r="C15" s="25"/>
      <c r="D15" s="25"/>
      <c r="E15" s="25"/>
      <c r="F15" s="25"/>
      <c r="G15" s="25"/>
      <c r="H15" s="25"/>
    </row>
    <row r="18" spans="1:6" x14ac:dyDescent="0.2">
      <c r="A18" t="s">
        <v>143</v>
      </c>
      <c r="F18" t="s">
        <v>138</v>
      </c>
    </row>
  </sheetData>
  <mergeCells count="3">
    <mergeCell ref="A2:H2"/>
    <mergeCell ref="A14:H15"/>
    <mergeCell ref="A1:H1"/>
  </mergeCells>
  <pageMargins left="0.25" right="0.25" top="0.4" bottom="0.4" header="0.2" footer="0.2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0000000}">
          <x14:formula1>
            <xm:f>'EXAM FEES'!$A$5:$A$404</xm:f>
          </x14:formula1>
          <xm:sqref>B4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L19"/>
  <sheetViews>
    <sheetView showGridLines="0" zoomScale="90" workbookViewId="0">
      <pane ySplit="4" topLeftCell="A5" activePane="bottomLeft" state="frozen"/>
      <selection pane="bottomLeft" activeCell="E30" sqref="E30"/>
    </sheetView>
  </sheetViews>
  <sheetFormatPr baseColWidth="10" defaultColWidth="8.83203125" defaultRowHeight="15" x14ac:dyDescent="0.2"/>
  <cols>
    <col min="1" max="1" width="18" customWidth="1"/>
    <col min="2" max="3" width="15" customWidth="1"/>
    <col min="4" max="4" width="18" customWidth="1"/>
    <col min="5" max="6" width="14" customWidth="1"/>
    <col min="7" max="7" width="18" customWidth="1"/>
    <col min="8" max="9" width="15" customWidth="1"/>
    <col min="10" max="10" width="18" customWidth="1"/>
    <col min="11" max="12" width="15" customWidth="1"/>
  </cols>
  <sheetData>
    <row r="1" spans="1:12" ht="32" customHeight="1" x14ac:dyDescent="0.2">
      <c r="A1" s="24" t="s">
        <v>144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spans="1:12" ht="22" customHeight="1" x14ac:dyDescent="0.2">
      <c r="A2" s="26" t="s">
        <v>145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4" spans="1:12" x14ac:dyDescent="0.2">
      <c r="A4" s="39" t="s">
        <v>146</v>
      </c>
      <c r="B4" s="25"/>
      <c r="D4" s="39" t="s">
        <v>147</v>
      </c>
      <c r="E4" s="25"/>
      <c r="G4" s="39" t="s">
        <v>148</v>
      </c>
      <c r="H4" s="25"/>
      <c r="J4" s="39" t="s">
        <v>149</v>
      </c>
      <c r="K4" s="25"/>
    </row>
    <row r="5" spans="1:12" ht="24" x14ac:dyDescent="0.3">
      <c r="A5" s="37">
        <f>COUNTIF(STUDENTS!$C$5:$C$204,"&lt;&gt;")</f>
        <v>42</v>
      </c>
      <c r="B5" s="36"/>
      <c r="D5" s="37">
        <f>COUNTIF(STUDENTS!$M$5:$M$204,"Active")</f>
        <v>42</v>
      </c>
      <c r="E5" s="36"/>
      <c r="G5" s="37">
        <f>COUNTIF(TEACHERS!$B$5:$B$24,"&lt;&gt;")</f>
        <v>0</v>
      </c>
      <c r="H5" s="36"/>
      <c r="J5" s="35">
        <f>SUM(FEES!$I$5:$I$1004)+SUM('EXAM FEES'!$H$5:$H$404)</f>
        <v>0</v>
      </c>
      <c r="K5" s="36"/>
    </row>
    <row r="8" spans="1:12" x14ac:dyDescent="0.2">
      <c r="A8" s="39" t="s">
        <v>150</v>
      </c>
      <c r="B8" s="25"/>
      <c r="D8" s="39" t="s">
        <v>116</v>
      </c>
      <c r="E8" s="25"/>
      <c r="G8" s="39" t="s">
        <v>151</v>
      </c>
      <c r="H8" s="25"/>
      <c r="J8" s="39" t="s">
        <v>152</v>
      </c>
      <c r="K8" s="25"/>
    </row>
    <row r="9" spans="1:12" ht="24" x14ac:dyDescent="0.3">
      <c r="A9" s="35">
        <f>SUM('EXAM FEES'!$I$5:$I$404)</f>
        <v>0</v>
      </c>
      <c r="B9" s="36"/>
      <c r="D9" s="38">
        <f>IFERROR(COUNTIF(ATTENDANCE!$F$5:$F$1204,"Present")/COUNTA(ATTENDANCE!$F$5:$F$1204),0)</f>
        <v>0</v>
      </c>
      <c r="E9" s="36"/>
      <c r="G9" s="37">
        <f>COUNT(RESULTS!$L$5:$L$1004)</f>
        <v>0</v>
      </c>
      <c r="H9" s="36"/>
      <c r="J9" s="40">
        <f>IFERROR(AVERAGE(RESULTS!$L$5:$L$1004),0)</f>
        <v>0</v>
      </c>
      <c r="K9" s="36"/>
    </row>
    <row r="12" spans="1:12" ht="19" x14ac:dyDescent="0.25">
      <c r="A12" s="23" t="s">
        <v>153</v>
      </c>
      <c r="E12" s="23" t="s">
        <v>154</v>
      </c>
    </row>
    <row r="13" spans="1:12" ht="30" customHeight="1" x14ac:dyDescent="0.2">
      <c r="A13" s="1" t="s">
        <v>126</v>
      </c>
      <c r="B13" s="1" t="s">
        <v>155</v>
      </c>
      <c r="C13" s="1"/>
    </row>
    <row r="14" spans="1:12" x14ac:dyDescent="0.2">
      <c r="A14" s="10" t="str">
        <f>SETTINGS!B18</f>
        <v>Class 1</v>
      </c>
      <c r="B14" s="10">
        <f>COUNTIF(STUDENTS!$L$5:$L$204,A14)</f>
        <v>0</v>
      </c>
      <c r="C14" s="10">
        <f>COUNTIFS(STUDENTS!$L$5:$L$204,A14,STUDENTS!$M$5:$M$204,"Active")</f>
        <v>0</v>
      </c>
      <c r="E14" s="10" t="s">
        <v>156</v>
      </c>
      <c r="F14" s="10">
        <f>COUNTIF(RESULTS!$M$5:$M$1004,E14)</f>
        <v>0</v>
      </c>
    </row>
    <row r="15" spans="1:12" x14ac:dyDescent="0.2">
      <c r="A15" s="10" t="str">
        <f>SETTINGS!B19</f>
        <v>Class 2</v>
      </c>
      <c r="B15" s="10">
        <f>COUNTIF(STUDENTS!$L$5:$L$204,A15)</f>
        <v>15</v>
      </c>
      <c r="C15" s="10">
        <f>COUNTIFS(STUDENTS!$L$5:$L$204,A15,STUDENTS!$M$5:$M$204,"Active")</f>
        <v>15</v>
      </c>
      <c r="E15" s="10" t="s">
        <v>157</v>
      </c>
      <c r="F15" s="10">
        <f>COUNTIF(RESULTS!$M$5:$M$1004,E15)</f>
        <v>0</v>
      </c>
    </row>
    <row r="16" spans="1:12" x14ac:dyDescent="0.2">
      <c r="A16" s="10" t="str">
        <f>SETTINGS!B20</f>
        <v>Class 3</v>
      </c>
      <c r="B16" s="10">
        <f>COUNTIF(STUDENTS!$L$5:$L$204,A16)</f>
        <v>10</v>
      </c>
      <c r="C16" s="10">
        <f>COUNTIFS(STUDENTS!$L$5:$L$204,A16,STUDENTS!$M$5:$M$204,"Active")</f>
        <v>10</v>
      </c>
      <c r="E16" s="10" t="s">
        <v>158</v>
      </c>
      <c r="F16" s="10">
        <f>COUNTIF(RESULTS!$M$5:$M$1004,E16)</f>
        <v>0</v>
      </c>
    </row>
    <row r="17" spans="1:6" x14ac:dyDescent="0.2">
      <c r="A17" s="10" t="str">
        <f>SETTINGS!B21</f>
        <v>Class 4</v>
      </c>
      <c r="B17" s="10">
        <f>COUNTIF(STUDENTS!$L$5:$L$204,A17)</f>
        <v>10</v>
      </c>
      <c r="C17" s="10">
        <f>COUNTIFS(STUDENTS!$L$5:$L$204,A17,STUDENTS!$M$5:$M$204,"Active")</f>
        <v>10</v>
      </c>
      <c r="E17" s="10" t="s">
        <v>159</v>
      </c>
      <c r="F17" s="10">
        <f>COUNTIF(RESULTS!$M$5:$M$1004,E17)</f>
        <v>0</v>
      </c>
    </row>
    <row r="18" spans="1:6" x14ac:dyDescent="0.2">
      <c r="A18" s="10" t="str">
        <f>SETTINGS!B22</f>
        <v>Class 5</v>
      </c>
      <c r="B18" s="10">
        <f>COUNTIF(STUDENTS!$L$5:$L$204,A18)</f>
        <v>7</v>
      </c>
      <c r="C18" s="10">
        <f>COUNTIFS(STUDENTS!$L$5:$L$204,A18,STUDENTS!$M$5:$M$204,"Active")</f>
        <v>7</v>
      </c>
      <c r="E18" s="10" t="s">
        <v>160</v>
      </c>
      <c r="F18" s="10">
        <f>COUNTIF(RESULTS!$M$5:$M$1004,E18)</f>
        <v>0</v>
      </c>
    </row>
    <row r="19" spans="1:6" x14ac:dyDescent="0.2">
      <c r="A19" s="10" t="str">
        <f>SETTINGS!B23</f>
        <v>Class 6</v>
      </c>
      <c r="B19" s="10">
        <f>COUNTIF(STUDENTS!$L$5:$L$204,A19)</f>
        <v>0</v>
      </c>
      <c r="C19" s="10">
        <f>COUNTIFS(STUDENTS!$L$5:$L$204,A19,STUDENTS!$M$5:$M$204,"Active")</f>
        <v>0</v>
      </c>
    </row>
  </sheetData>
  <mergeCells count="18">
    <mergeCell ref="A1:L1"/>
    <mergeCell ref="D5:E5"/>
    <mergeCell ref="A5:B5"/>
    <mergeCell ref="G5:H5"/>
    <mergeCell ref="J8:K8"/>
    <mergeCell ref="D4:E4"/>
    <mergeCell ref="A4:B4"/>
    <mergeCell ref="G4:H4"/>
    <mergeCell ref="A2:L2"/>
    <mergeCell ref="J4:K4"/>
    <mergeCell ref="D8:E8"/>
    <mergeCell ref="G8:H8"/>
    <mergeCell ref="J5:K5"/>
    <mergeCell ref="A9:B9"/>
    <mergeCell ref="G9:H9"/>
    <mergeCell ref="D9:E9"/>
    <mergeCell ref="A8:B8"/>
    <mergeCell ref="J9:K9"/>
  </mergeCells>
  <pageMargins left="0.25" right="0.25" top="0.4" bottom="0.4" header="0.2" footer="0.2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START HERE</vt:lpstr>
      <vt:lpstr>SETTINGS</vt:lpstr>
      <vt:lpstr>STUDENTS</vt:lpstr>
      <vt:lpstr>TEACHERS</vt:lpstr>
      <vt:lpstr>FEES</vt:lpstr>
      <vt:lpstr>EXAM FEES</vt:lpstr>
      <vt:lpstr>ATTENDANCE</vt:lpstr>
      <vt:lpstr>RESULTS</vt:lpstr>
      <vt:lpstr>REPORT CARD</vt:lpstr>
      <vt:lpstr>EXAM RECEIPT</vt:lpstr>
      <vt:lpstr>DASHBOARD</vt:lpstr>
      <vt:lpstr>'EXAM RECEIPT'!Print_Area</vt:lpstr>
      <vt:lpstr>'REPORT CARD'!Print_Area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MNA Management System</dc:title>
  <dc:subject>School management system for Madrasatul Nurul Absear</dc:subject>
  <dc:creator>MNA Management System</dc:creator>
  <dc:description>Excel-based school management system covering students, teachers, fees, attendance, results, report cards, receipts and dashboard.</dc:description>
  <cp:lastModifiedBy>Abdul Basit Mohammed</cp:lastModifiedBy>
  <cp:lastPrinted>2026-09-06T10:04:43Z</cp:lastPrinted>
  <dcterms:created xsi:type="dcterms:W3CDTF">2026-09-02T18:33:14Z</dcterms:created>
  <dcterms:modified xsi:type="dcterms:W3CDTF">2026-09-10T19:23:18Z</dcterms:modified>
</cp:coreProperties>
</file>